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ЭтаКнига"/>
  <mc:AlternateContent xmlns:mc="http://schemas.openxmlformats.org/markup-compatibility/2006">
    <mc:Choice Requires="x15">
      <x15ac:absPath xmlns:x15ac="http://schemas.microsoft.com/office/spreadsheetml/2010/11/ac" url="E:\AI Projects\RelayProtection\rza_calculator\data\input\"/>
    </mc:Choice>
  </mc:AlternateContent>
  <xr:revisionPtr revIDLastSave="0" documentId="13_ncr:1_{D24F62FC-C911-4B72-A929-1040397F3D57}" xr6:coauthVersionLast="47" xr6:coauthVersionMax="47" xr10:uidLastSave="{00000000-0000-0000-0000-000000000000}"/>
  <bookViews>
    <workbookView xWindow="19845" yWindow="1050" windowWidth="38400" windowHeight="19740" tabRatio="463" activeTab="2" xr2:uid="{EE8DB21C-91D5-42CF-87B8-EEE0625B4B17}"/>
  </bookViews>
  <sheets>
    <sheet name="Расчет" sheetId="3" r:id="rId1"/>
    <sheet name="Телефонограмма" sheetId="5" r:id="rId2"/>
    <sheet name="1" sheetId="6" r:id="rId3"/>
  </sheets>
  <externalReferences>
    <externalReference r:id="rId4"/>
  </externalReferences>
  <definedNames>
    <definedName name="_xlnm.Print_Area" localSheetId="0">Расчет!$A$1:$AB$50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6" l="1"/>
  <c r="E6" i="3"/>
  <c r="E5" i="3"/>
  <c r="F6" i="3"/>
  <c r="P49" i="6" s="1"/>
  <c r="F5" i="3"/>
  <c r="B20" i="6" s="1"/>
  <c r="E26" i="3"/>
  <c r="H44" i="3"/>
  <c r="K32" i="3"/>
  <c r="C192" i="6"/>
  <c r="C157" i="6"/>
  <c r="B67" i="6"/>
  <c r="B66" i="6"/>
  <c r="B65" i="6"/>
  <c r="B64" i="6"/>
  <c r="B63" i="6"/>
  <c r="B62" i="6"/>
  <c r="B61" i="6"/>
  <c r="B60" i="6"/>
  <c r="B59" i="6"/>
  <c r="B58" i="6"/>
  <c r="B57" i="6"/>
  <c r="B55" i="6"/>
  <c r="B54" i="6"/>
  <c r="B53" i="6"/>
  <c r="B52" i="6"/>
  <c r="B51" i="6"/>
  <c r="B50" i="6"/>
  <c r="B49" i="6"/>
  <c r="B48" i="6"/>
  <c r="B47" i="6"/>
  <c r="B46" i="6"/>
  <c r="B45" i="6"/>
  <c r="E5" i="5"/>
  <c r="I21" i="5"/>
  <c r="I15" i="5"/>
  <c r="K34" i="3"/>
  <c r="I24" i="5" s="1"/>
  <c r="L20" i="3"/>
  <c r="L19" i="3"/>
  <c r="F38" i="3"/>
  <c r="E38" i="3"/>
  <c r="F35" i="3"/>
  <c r="E35" i="3"/>
  <c r="F32" i="3"/>
  <c r="E32" i="3"/>
  <c r="F29" i="3"/>
  <c r="E29" i="3"/>
  <c r="F19" i="3"/>
  <c r="E19" i="3"/>
  <c r="F16" i="3"/>
  <c r="E16" i="3"/>
  <c r="F13" i="3"/>
  <c r="E13" i="3"/>
  <c r="F10" i="3"/>
  <c r="E10" i="3"/>
  <c r="F37" i="3"/>
  <c r="E37" i="3"/>
  <c r="F34" i="3"/>
  <c r="E34" i="3"/>
  <c r="F31" i="3"/>
  <c r="E31" i="3"/>
  <c r="F28" i="3"/>
  <c r="E28" i="3"/>
  <c r="F18" i="3"/>
  <c r="E18" i="3"/>
  <c r="F15" i="3"/>
  <c r="E15" i="3"/>
  <c r="F12" i="3"/>
  <c r="E12" i="3"/>
  <c r="F9" i="3"/>
  <c r="E9" i="3"/>
  <c r="L9" i="3"/>
  <c r="J10" i="3" s="1"/>
  <c r="J11" i="3" s="1"/>
  <c r="K31" i="3" s="1"/>
  <c r="D5" i="5"/>
  <c r="E2" i="5"/>
  <c r="E3" i="5"/>
  <c r="C8" i="5"/>
  <c r="C9" i="5"/>
  <c r="I11" i="5"/>
  <c r="I13" i="5"/>
  <c r="I16" i="5"/>
  <c r="I17" i="5"/>
  <c r="I18" i="5"/>
  <c r="I22" i="5"/>
  <c r="I23" i="5"/>
  <c r="H24" i="5"/>
  <c r="I27" i="5"/>
  <c r="I28" i="5"/>
  <c r="I29" i="5"/>
  <c r="C30" i="5"/>
  <c r="D20" i="3"/>
  <c r="D47" i="3"/>
  <c r="D39" i="3"/>
  <c r="B12" i="6" l="1"/>
  <c r="J48" i="6" s="1"/>
  <c r="I48" i="6" s="1"/>
  <c r="B16" i="6"/>
  <c r="B9" i="6"/>
  <c r="K11" i="6" s="1"/>
  <c r="L11" i="6" s="1"/>
  <c r="B13" i="6"/>
  <c r="K55" i="6" s="1"/>
  <c r="L55" i="6" s="1"/>
  <c r="B17" i="6"/>
  <c r="K99" i="6" s="1"/>
  <c r="L99" i="6" s="1"/>
  <c r="B11" i="6"/>
  <c r="K35" i="6" s="1"/>
  <c r="L35" i="6" s="1"/>
  <c r="B15" i="6"/>
  <c r="K79" i="6" s="1"/>
  <c r="L79" i="6" s="1"/>
  <c r="K90" i="6"/>
  <c r="L90" i="6" s="1"/>
  <c r="B14" i="6"/>
  <c r="K68" i="6" s="1"/>
  <c r="L68" i="6" s="1"/>
  <c r="B10" i="6"/>
  <c r="J22" i="6" s="1"/>
  <c r="I22" i="6" s="1"/>
  <c r="B18" i="6"/>
  <c r="K114" i="6" s="1"/>
  <c r="L114" i="6" s="1"/>
  <c r="K57" i="6"/>
  <c r="L57" i="6" s="1"/>
  <c r="J55" i="6"/>
  <c r="I55" i="6" s="1"/>
  <c r="K88" i="6"/>
  <c r="L88" i="6" s="1"/>
  <c r="K92" i="6"/>
  <c r="L92" i="6" s="1"/>
  <c r="P60" i="6"/>
  <c r="P55" i="6"/>
  <c r="K25" i="3"/>
  <c r="J118" i="6"/>
  <c r="B44" i="6" s="1"/>
  <c r="K24" i="3" s="1"/>
  <c r="D20" i="6"/>
  <c r="B180" i="6" s="1"/>
  <c r="B145" i="6"/>
  <c r="J119" i="6"/>
  <c r="P44" i="6" s="1"/>
  <c r="L24" i="3" s="1"/>
  <c r="P66" i="6"/>
  <c r="R157" i="6"/>
  <c r="R192" i="6"/>
  <c r="P61" i="6"/>
  <c r="P59" i="6"/>
  <c r="P45" i="6"/>
  <c r="P65" i="6"/>
  <c r="P64" i="6"/>
  <c r="P52" i="6"/>
  <c r="P67" i="6"/>
  <c r="P57" i="6"/>
  <c r="P47" i="6"/>
  <c r="P48" i="6"/>
  <c r="P54" i="6"/>
  <c r="P53" i="6"/>
  <c r="P20" i="6"/>
  <c r="P51" i="6"/>
  <c r="P46" i="6"/>
  <c r="P62" i="6"/>
  <c r="P50" i="6"/>
  <c r="P58" i="6"/>
  <c r="P63" i="6"/>
  <c r="J15" i="6" l="1"/>
  <c r="I15" i="6" s="1"/>
  <c r="K103" i="6"/>
  <c r="L103" i="6" s="1"/>
  <c r="K44" i="6"/>
  <c r="L44" i="6" s="1"/>
  <c r="K48" i="6"/>
  <c r="L48" i="6" s="1"/>
  <c r="J11" i="6"/>
  <c r="I11" i="6" s="1"/>
  <c r="K46" i="6"/>
  <c r="L46" i="6" s="1"/>
  <c r="J46" i="6"/>
  <c r="I46" i="6" s="1"/>
  <c r="K15" i="6"/>
  <c r="L15" i="6" s="1"/>
  <c r="K13" i="6"/>
  <c r="L13" i="6" s="1"/>
  <c r="I9" i="6"/>
  <c r="K9" i="6" s="1"/>
  <c r="J9" i="6" s="1"/>
  <c r="K59" i="6"/>
  <c r="L59" i="6" s="1"/>
  <c r="J57" i="6"/>
  <c r="I57" i="6" s="1"/>
  <c r="J59" i="6"/>
  <c r="I59" i="6" s="1"/>
  <c r="J90" i="6"/>
  <c r="I90" i="6" s="1"/>
  <c r="K97" i="6"/>
  <c r="L97" i="6" s="1"/>
  <c r="J92" i="6"/>
  <c r="I92" i="6" s="1"/>
  <c r="K77" i="6"/>
  <c r="L77" i="6" s="1"/>
  <c r="K101" i="6"/>
  <c r="L101" i="6" s="1"/>
  <c r="J79" i="6"/>
  <c r="I79" i="6" s="1"/>
  <c r="J13" i="6"/>
  <c r="I13" i="6" s="1"/>
  <c r="J24" i="6"/>
  <c r="I24" i="6" s="1"/>
  <c r="K66" i="6"/>
  <c r="L66" i="6" s="1"/>
  <c r="J70" i="6"/>
  <c r="I70" i="6" s="1"/>
  <c r="K81" i="6"/>
  <c r="L81" i="6" s="1"/>
  <c r="K24" i="6"/>
  <c r="L24" i="6" s="1"/>
  <c r="K70" i="6"/>
  <c r="L70" i="6" s="1"/>
  <c r="J26" i="6"/>
  <c r="I26" i="6" s="1"/>
  <c r="J35" i="6"/>
  <c r="I35" i="6" s="1"/>
  <c r="K108" i="6"/>
  <c r="L108" i="6" s="1"/>
  <c r="K112" i="6"/>
  <c r="L112" i="6" s="1"/>
  <c r="K37" i="6"/>
  <c r="L37" i="6" s="1"/>
  <c r="J114" i="6"/>
  <c r="I114" i="6" s="1"/>
  <c r="J37" i="6"/>
  <c r="I37" i="6" s="1"/>
  <c r="K33" i="6"/>
  <c r="L33" i="6" s="1"/>
  <c r="J68" i="6"/>
  <c r="I68" i="6" s="1"/>
  <c r="I20" i="6"/>
  <c r="K20" i="6" s="1"/>
  <c r="L20" i="6" s="1"/>
  <c r="K22" i="6"/>
  <c r="L22" i="6" s="1"/>
  <c r="K110" i="6"/>
  <c r="L110" i="6" s="1"/>
  <c r="K26" i="6"/>
  <c r="L26" i="6" s="1"/>
  <c r="J88" i="6"/>
  <c r="I88" i="6" s="1"/>
  <c r="J103" i="6"/>
  <c r="I103" i="6" s="1"/>
  <c r="J101" i="6"/>
  <c r="I101" i="6" s="1"/>
  <c r="J99" i="6"/>
  <c r="I99" i="6" s="1"/>
  <c r="Z206" i="6"/>
  <c r="X208" i="6"/>
  <c r="U205" i="6"/>
  <c r="AC203" i="6"/>
  <c r="Z209" i="6"/>
  <c r="AC207" i="6"/>
  <c r="W207" i="6"/>
  <c r="AC204" i="6"/>
  <c r="Y207" i="6"/>
  <c r="AA204" i="6"/>
  <c r="AC206" i="6"/>
  <c r="T203" i="6"/>
  <c r="U206" i="6"/>
  <c r="Y205" i="6"/>
  <c r="W206" i="6"/>
  <c r="T202" i="6"/>
  <c r="W204" i="6"/>
  <c r="X205" i="6"/>
  <c r="V208" i="6"/>
  <c r="AA211" i="6"/>
  <c r="Y209" i="6"/>
  <c r="R193" i="6"/>
  <c r="Z204" i="6"/>
  <c r="Z208" i="6"/>
  <c r="AC210" i="6"/>
  <c r="Z211" i="6"/>
  <c r="T204" i="6"/>
  <c r="X211" i="6"/>
  <c r="AB205" i="6"/>
  <c r="U211" i="6"/>
  <c r="V209" i="6"/>
  <c r="AA207" i="6"/>
  <c r="V210" i="6"/>
  <c r="X209" i="6"/>
  <c r="T211" i="6"/>
  <c r="T208" i="6"/>
  <c r="Y203" i="6"/>
  <c r="V205" i="6"/>
  <c r="Z203" i="6"/>
  <c r="AB206" i="6"/>
  <c r="T210" i="6"/>
  <c r="X207" i="6"/>
  <c r="T205" i="6"/>
  <c r="Y210" i="6"/>
  <c r="AA205" i="6"/>
  <c r="Y211" i="6"/>
  <c r="X204" i="6"/>
  <c r="AC211" i="6"/>
  <c r="AA208" i="6"/>
  <c r="Z210" i="6"/>
  <c r="Z207" i="6"/>
  <c r="AB202" i="6"/>
  <c r="AA209" i="6"/>
  <c r="U207" i="6"/>
  <c r="U210" i="6"/>
  <c r="X202" i="6"/>
  <c r="AB208" i="6"/>
  <c r="AA206" i="6"/>
  <c r="AB209" i="6"/>
  <c r="U208" i="6"/>
  <c r="W203" i="6"/>
  <c r="X203" i="6"/>
  <c r="Y204" i="6"/>
  <c r="AB210" i="6"/>
  <c r="V202" i="6"/>
  <c r="V204" i="6"/>
  <c r="V206" i="6"/>
  <c r="W208" i="6"/>
  <c r="X206" i="6"/>
  <c r="V211" i="6"/>
  <c r="AB207" i="6"/>
  <c r="T207" i="6"/>
  <c r="AB203" i="6"/>
  <c r="U209" i="6"/>
  <c r="AB211" i="6"/>
  <c r="Z205" i="6"/>
  <c r="Y208" i="6"/>
  <c r="W211" i="6"/>
  <c r="U202" i="6"/>
  <c r="AC202" i="6"/>
  <c r="AC208" i="6"/>
  <c r="U203" i="6"/>
  <c r="V207" i="6"/>
  <c r="T206" i="6"/>
  <c r="X210" i="6"/>
  <c r="V203" i="6"/>
  <c r="AA203" i="6"/>
  <c r="Y206" i="6"/>
  <c r="W205" i="6"/>
  <c r="AC205" i="6"/>
  <c r="W209" i="6"/>
  <c r="Z202" i="6"/>
  <c r="W202" i="6"/>
  <c r="T209" i="6"/>
  <c r="AB204" i="6"/>
  <c r="AC209" i="6"/>
  <c r="AA210" i="6"/>
  <c r="AA202" i="6"/>
  <c r="T212" i="6"/>
  <c r="Y202" i="6"/>
  <c r="U204" i="6"/>
  <c r="W210" i="6"/>
  <c r="Q145" i="6"/>
  <c r="R20" i="6"/>
  <c r="Q180" i="6" s="1"/>
  <c r="T177" i="6"/>
  <c r="AC167" i="6"/>
  <c r="Z171" i="6"/>
  <c r="X169" i="6"/>
  <c r="R158" i="6"/>
  <c r="W168" i="6"/>
  <c r="AA175" i="6"/>
  <c r="AA176" i="6"/>
  <c r="AB168" i="6"/>
  <c r="X168" i="6"/>
  <c r="V169" i="6"/>
  <c r="AA170" i="6"/>
  <c r="AC169" i="6"/>
  <c r="AB172" i="6"/>
  <c r="T171" i="6"/>
  <c r="AB175" i="6"/>
  <c r="T176" i="6"/>
  <c r="Z173" i="6"/>
  <c r="X170" i="6"/>
  <c r="T167" i="6"/>
  <c r="Y175" i="6"/>
  <c r="T173" i="6"/>
  <c r="U174" i="6"/>
  <c r="U173" i="6"/>
  <c r="V167" i="6"/>
  <c r="T175" i="6"/>
  <c r="Y168" i="6"/>
  <c r="AC170" i="6"/>
  <c r="Y176" i="6"/>
  <c r="U176" i="6"/>
  <c r="Y167" i="6"/>
  <c r="Y173" i="6"/>
  <c r="Y174" i="6"/>
  <c r="X175" i="6"/>
  <c r="AC173" i="6"/>
  <c r="AA167" i="6"/>
  <c r="Z172" i="6"/>
  <c r="U169" i="6"/>
  <c r="Y172" i="6"/>
  <c r="AC171" i="6"/>
  <c r="AC174" i="6"/>
  <c r="AA171" i="6"/>
  <c r="W169" i="6"/>
  <c r="Z170" i="6"/>
  <c r="V173" i="6"/>
  <c r="Z169" i="6"/>
  <c r="X171" i="6"/>
  <c r="Z174" i="6"/>
  <c r="W167" i="6"/>
  <c r="Y171" i="6"/>
  <c r="AB176" i="6"/>
  <c r="AA173" i="6"/>
  <c r="AB174" i="6"/>
  <c r="V176" i="6"/>
  <c r="W174" i="6"/>
  <c r="AC176" i="6"/>
  <c r="T172" i="6"/>
  <c r="U171" i="6"/>
  <c r="V168" i="6"/>
  <c r="V172" i="6"/>
  <c r="Z175" i="6"/>
  <c r="AB167" i="6"/>
  <c r="W170" i="6"/>
  <c r="Y170" i="6"/>
  <c r="X176" i="6"/>
  <c r="W171" i="6"/>
  <c r="AA174" i="6"/>
  <c r="Z168" i="6"/>
  <c r="W173" i="6"/>
  <c r="U168" i="6"/>
  <c r="T174" i="6"/>
  <c r="U172" i="6"/>
  <c r="AB170" i="6"/>
  <c r="Z176" i="6"/>
  <c r="T168" i="6"/>
  <c r="T170" i="6"/>
  <c r="AA172" i="6"/>
  <c r="AA169" i="6"/>
  <c r="V170" i="6"/>
  <c r="AC168" i="6"/>
  <c r="V175" i="6"/>
  <c r="AA168" i="6"/>
  <c r="X172" i="6"/>
  <c r="W176" i="6"/>
  <c r="W175" i="6"/>
  <c r="V171" i="6"/>
  <c r="AB169" i="6"/>
  <c r="X173" i="6"/>
  <c r="W172" i="6"/>
  <c r="U170" i="6"/>
  <c r="X174" i="6"/>
  <c r="U175" i="6"/>
  <c r="U167" i="6"/>
  <c r="AC175" i="6"/>
  <c r="Z167" i="6"/>
  <c r="T169" i="6"/>
  <c r="X167" i="6"/>
  <c r="AC172" i="6"/>
  <c r="V174" i="6"/>
  <c r="Y169" i="6"/>
  <c r="AB173" i="6"/>
  <c r="AB171" i="6"/>
  <c r="L9" i="6" l="1"/>
  <c r="M96" i="6"/>
  <c r="J44" i="6"/>
  <c r="I44" i="6" s="1"/>
  <c r="J104" i="6"/>
  <c r="B29" i="6" s="1"/>
  <c r="D29" i="6" s="1"/>
  <c r="B189" i="6" s="1"/>
  <c r="J105" i="6"/>
  <c r="P29" i="6" s="1"/>
  <c r="Q154" i="6" s="1"/>
  <c r="I108" i="6"/>
  <c r="J81" i="6"/>
  <c r="I81" i="6" s="1"/>
  <c r="J77" i="6"/>
  <c r="I77" i="6" s="1"/>
  <c r="J97" i="6"/>
  <c r="I97" i="6"/>
  <c r="J33" i="6"/>
  <c r="I33" i="6" s="1"/>
  <c r="J66" i="6"/>
  <c r="I66" i="6" s="1"/>
  <c r="J116" i="6"/>
  <c r="P30" i="6" s="1"/>
  <c r="P39" i="6" s="1"/>
  <c r="J112" i="6"/>
  <c r="I112" i="6" s="1"/>
  <c r="J110" i="6"/>
  <c r="I110" i="6" s="1"/>
  <c r="J108" i="6"/>
  <c r="M107" i="6"/>
  <c r="J115" i="6"/>
  <c r="B30" i="6" s="1"/>
  <c r="B33" i="6" s="1"/>
  <c r="J20" i="6"/>
  <c r="M19" i="6"/>
  <c r="J27" i="6"/>
  <c r="B22" i="6" s="1"/>
  <c r="J28" i="6"/>
  <c r="P22" i="6" s="1"/>
  <c r="M8" i="6"/>
  <c r="J17" i="6"/>
  <c r="P21" i="6" s="1"/>
  <c r="J16" i="6"/>
  <c r="B21" i="6" s="1"/>
  <c r="B154" i="6" l="1"/>
  <c r="R29" i="6"/>
  <c r="Q189" i="6" s="1"/>
  <c r="B32" i="6"/>
  <c r="B31" i="6"/>
  <c r="B34" i="6"/>
  <c r="K37" i="3"/>
  <c r="B39" i="6"/>
  <c r="D30" i="6"/>
  <c r="B190" i="6" s="1"/>
  <c r="C189" i="6" s="1"/>
  <c r="N189" i="6" s="1"/>
  <c r="N211" i="6" s="1"/>
  <c r="L37" i="3"/>
  <c r="P36" i="6"/>
  <c r="P32" i="6"/>
  <c r="P37" i="6"/>
  <c r="P34" i="6"/>
  <c r="B36" i="6"/>
  <c r="P38" i="6"/>
  <c r="R30" i="6"/>
  <c r="B41" i="6"/>
  <c r="P40" i="6"/>
  <c r="P41" i="6"/>
  <c r="P35" i="6"/>
  <c r="Q155" i="6"/>
  <c r="R154" i="6" s="1"/>
  <c r="U154" i="6" s="1"/>
  <c r="B38" i="6"/>
  <c r="P31" i="6"/>
  <c r="P33" i="6"/>
  <c r="B37" i="6"/>
  <c r="B35" i="6"/>
  <c r="B155" i="6"/>
  <c r="C154" i="6" s="1"/>
  <c r="L154" i="6" s="1"/>
  <c r="L176" i="6" s="1"/>
  <c r="B40" i="6"/>
  <c r="B146" i="6"/>
  <c r="D21" i="6"/>
  <c r="B181" i="6" s="1"/>
  <c r="R22" i="6"/>
  <c r="Q182" i="6" s="1"/>
  <c r="Q147" i="6"/>
  <c r="D22" i="6"/>
  <c r="B182" i="6" s="1"/>
  <c r="B147" i="6"/>
  <c r="R21" i="6"/>
  <c r="Q181" i="6" s="1"/>
  <c r="Q146" i="6"/>
  <c r="N154" i="6" l="1"/>
  <c r="N176" i="6" s="1"/>
  <c r="W154" i="6"/>
  <c r="Z154" i="6"/>
  <c r="Y154" i="6"/>
  <c r="T154" i="6"/>
  <c r="AB154" i="6"/>
  <c r="X154" i="6"/>
  <c r="AA154" i="6"/>
  <c r="AC154" i="6"/>
  <c r="V154" i="6"/>
  <c r="M154" i="6"/>
  <c r="M176" i="6" s="1"/>
  <c r="J189" i="6"/>
  <c r="J211" i="6" s="1"/>
  <c r="H189" i="6"/>
  <c r="H211" i="6" s="1"/>
  <c r="F154" i="6"/>
  <c r="F176" i="6" s="1"/>
  <c r="F189" i="6"/>
  <c r="F211" i="6" s="1"/>
  <c r="I189" i="6"/>
  <c r="I211" i="6" s="1"/>
  <c r="K189" i="6"/>
  <c r="K211" i="6" s="1"/>
  <c r="G154" i="6"/>
  <c r="G176" i="6" s="1"/>
  <c r="E189" i="6"/>
  <c r="E212" i="6" s="1"/>
  <c r="K154" i="6"/>
  <c r="K176" i="6" s="1"/>
  <c r="K35" i="3"/>
  <c r="L189" i="6"/>
  <c r="L211" i="6" s="1"/>
  <c r="I154" i="6"/>
  <c r="I176" i="6" s="1"/>
  <c r="J154" i="6"/>
  <c r="J176" i="6" s="1"/>
  <c r="G189" i="6"/>
  <c r="G211" i="6" s="1"/>
  <c r="M189" i="6"/>
  <c r="M211" i="6" s="1"/>
  <c r="L35" i="3"/>
  <c r="Q190" i="6"/>
  <c r="R189" i="6" s="1"/>
  <c r="E154" i="6"/>
  <c r="E177" i="6" s="1"/>
  <c r="H154" i="6"/>
  <c r="H176" i="6" s="1"/>
  <c r="R146" i="6"/>
  <c r="V146" i="6" s="1"/>
  <c r="R145" i="6"/>
  <c r="R181" i="6"/>
  <c r="R180" i="6"/>
  <c r="C180" i="6"/>
  <c r="C181" i="6"/>
  <c r="C145" i="6"/>
  <c r="C146" i="6"/>
  <c r="E176" i="6" l="1"/>
  <c r="E211" i="6"/>
  <c r="T189" i="6"/>
  <c r="AB189" i="6"/>
  <c r="AC189" i="6"/>
  <c r="AA189" i="6"/>
  <c r="X189" i="6"/>
  <c r="U189" i="6"/>
  <c r="Z189" i="6"/>
  <c r="V189" i="6"/>
  <c r="Y189" i="6"/>
  <c r="W189" i="6"/>
  <c r="AB146" i="6"/>
  <c r="G181" i="6"/>
  <c r="G203" i="6" s="1"/>
  <c r="I181" i="6"/>
  <c r="I203" i="6" s="1"/>
  <c r="E181" i="6"/>
  <c r="E203" i="6" s="1"/>
  <c r="L181" i="6"/>
  <c r="L203" i="6" s="1"/>
  <c r="F181" i="6"/>
  <c r="F203" i="6" s="1"/>
  <c r="N181" i="6"/>
  <c r="N203" i="6" s="1"/>
  <c r="J181" i="6"/>
  <c r="J203" i="6" s="1"/>
  <c r="H181" i="6"/>
  <c r="H203" i="6" s="1"/>
  <c r="K181" i="6"/>
  <c r="K203" i="6" s="1"/>
  <c r="M181" i="6"/>
  <c r="M203" i="6" s="1"/>
  <c r="E180" i="6"/>
  <c r="E202" i="6" s="1"/>
  <c r="I180" i="6"/>
  <c r="I202" i="6" s="1"/>
  <c r="M180" i="6"/>
  <c r="M202" i="6" s="1"/>
  <c r="L180" i="6"/>
  <c r="L202" i="6" s="1"/>
  <c r="K180" i="6"/>
  <c r="K202" i="6" s="1"/>
  <c r="H180" i="6"/>
  <c r="H202" i="6" s="1"/>
  <c r="G180" i="6"/>
  <c r="G202" i="6" s="1"/>
  <c r="N180" i="6"/>
  <c r="N202" i="6" s="1"/>
  <c r="J180" i="6"/>
  <c r="J202" i="6" s="1"/>
  <c r="F180" i="6"/>
  <c r="F202" i="6" s="1"/>
  <c r="Y180" i="6"/>
  <c r="AC180" i="6"/>
  <c r="V180" i="6"/>
  <c r="AA180" i="6"/>
  <c r="U180" i="6"/>
  <c r="X180" i="6"/>
  <c r="T180" i="6"/>
  <c r="AB180" i="6"/>
  <c r="W180" i="6"/>
  <c r="Z180" i="6"/>
  <c r="V181" i="6"/>
  <c r="T181" i="6"/>
  <c r="U181" i="6"/>
  <c r="AB181" i="6"/>
  <c r="X181" i="6"/>
  <c r="AA181" i="6"/>
  <c r="W181" i="6"/>
  <c r="Z181" i="6"/>
  <c r="Y181" i="6"/>
  <c r="AC181" i="6"/>
  <c r="U145" i="6"/>
  <c r="Z145" i="6"/>
  <c r="Y145" i="6"/>
  <c r="AA145" i="6"/>
  <c r="AC145" i="6"/>
  <c r="X145" i="6"/>
  <c r="W145" i="6"/>
  <c r="V145" i="6"/>
  <c r="T145" i="6"/>
  <c r="AB145" i="6"/>
  <c r="M146" i="6"/>
  <c r="M168" i="6" s="1"/>
  <c r="N146" i="6"/>
  <c r="N168" i="6" s="1"/>
  <c r="L146" i="6"/>
  <c r="L168" i="6" s="1"/>
  <c r="E146" i="6"/>
  <c r="E168" i="6" s="1"/>
  <c r="J146" i="6"/>
  <c r="J168" i="6" s="1"/>
  <c r="G146" i="6"/>
  <c r="G168" i="6" s="1"/>
  <c r="K146" i="6"/>
  <c r="K168" i="6" s="1"/>
  <c r="F146" i="6"/>
  <c r="F168" i="6" s="1"/>
  <c r="I146" i="6"/>
  <c r="I168" i="6" s="1"/>
  <c r="H146" i="6"/>
  <c r="H168" i="6" s="1"/>
  <c r="T146" i="6"/>
  <c r="Z146" i="6"/>
  <c r="U146" i="6"/>
  <c r="Y146" i="6"/>
  <c r="W146" i="6"/>
  <c r="X146" i="6"/>
  <c r="AA146" i="6"/>
  <c r="AC146" i="6"/>
  <c r="I145" i="6"/>
  <c r="I167" i="6" s="1"/>
  <c r="N145" i="6"/>
  <c r="N167" i="6" s="1"/>
  <c r="K145" i="6"/>
  <c r="K167" i="6" s="1"/>
  <c r="L145" i="6"/>
  <c r="L167" i="6" s="1"/>
  <c r="H145" i="6"/>
  <c r="H167" i="6" s="1"/>
  <c r="M145" i="6"/>
  <c r="M167" i="6" s="1"/>
  <c r="G145" i="6"/>
  <c r="G167" i="6" s="1"/>
  <c r="E145" i="6"/>
  <c r="E167" i="6" s="1"/>
  <c r="F145" i="6"/>
  <c r="F167" i="6" s="1"/>
  <c r="J145" i="6"/>
  <c r="J167" i="6" s="1"/>
  <c r="K86" i="6"/>
  <c r="L86" i="6" s="1"/>
  <c r="J86" i="6"/>
  <c r="I86" i="6"/>
  <c r="M85" i="6" l="1"/>
  <c r="J94" i="6"/>
  <c r="P28" i="6" s="1"/>
  <c r="J93" i="6"/>
  <c r="B28" i="6" s="1"/>
  <c r="Q153" i="6" l="1"/>
  <c r="R28" i="6"/>
  <c r="Q188" i="6" s="1"/>
  <c r="B153" i="6"/>
  <c r="D28" i="6"/>
  <c r="B188" i="6" s="1"/>
  <c r="C188" i="6" l="1"/>
  <c r="H188" i="6" s="1"/>
  <c r="H210" i="6" s="1"/>
  <c r="E188" i="6"/>
  <c r="E210" i="6" s="1"/>
  <c r="K188" i="6"/>
  <c r="K210" i="6" s="1"/>
  <c r="M188" i="6"/>
  <c r="M210" i="6" s="1"/>
  <c r="L188" i="6"/>
  <c r="L210" i="6" s="1"/>
  <c r="C153" i="6"/>
  <c r="E153" i="6" s="1"/>
  <c r="E175" i="6" s="1"/>
  <c r="F153" i="6"/>
  <c r="F175" i="6" s="1"/>
  <c r="N153" i="6"/>
  <c r="N175" i="6" s="1"/>
  <c r="I153" i="6"/>
  <c r="I175" i="6" s="1"/>
  <c r="L153" i="6"/>
  <c r="L175" i="6" s="1"/>
  <c r="H153" i="6"/>
  <c r="H175" i="6" s="1"/>
  <c r="R188" i="6"/>
  <c r="AC188" i="6" s="1"/>
  <c r="R153" i="6"/>
  <c r="AA153" i="6" s="1"/>
  <c r="J153" i="6" l="1"/>
  <c r="J175" i="6" s="1"/>
  <c r="M153" i="6"/>
  <c r="M175" i="6" s="1"/>
  <c r="G153" i="6"/>
  <c r="G175" i="6" s="1"/>
  <c r="F188" i="6"/>
  <c r="F210" i="6" s="1"/>
  <c r="AB153" i="6"/>
  <c r="T188" i="6"/>
  <c r="X153" i="6"/>
  <c r="Z188" i="6"/>
  <c r="G188" i="6"/>
  <c r="G210" i="6" s="1"/>
  <c r="U153" i="6"/>
  <c r="AB188" i="6"/>
  <c r="I188" i="6"/>
  <c r="I210" i="6" s="1"/>
  <c r="X188" i="6"/>
  <c r="U188" i="6"/>
  <c r="Y188" i="6"/>
  <c r="W153" i="6"/>
  <c r="J188" i="6"/>
  <c r="J210" i="6" s="1"/>
  <c r="W188" i="6"/>
  <c r="Y153" i="6"/>
  <c r="V153" i="6"/>
  <c r="Z153" i="6"/>
  <c r="T153" i="6"/>
  <c r="AA188" i="6"/>
  <c r="AC153" i="6"/>
  <c r="V188" i="6"/>
  <c r="K153" i="6"/>
  <c r="K175" i="6" s="1"/>
  <c r="N188" i="6"/>
  <c r="N210" i="6" s="1"/>
  <c r="K31" i="6"/>
  <c r="L31" i="6" s="1"/>
  <c r="K42" i="6"/>
  <c r="L42" i="6"/>
  <c r="M41" i="6" s="1"/>
  <c r="J49" i="6"/>
  <c r="B24" i="6" s="1"/>
  <c r="K53" i="6"/>
  <c r="J53" i="6" s="1"/>
  <c r="K64" i="6"/>
  <c r="L64" i="6" s="1"/>
  <c r="K75" i="6"/>
  <c r="L75" i="6" s="1"/>
  <c r="J31" i="6"/>
  <c r="J42" i="6"/>
  <c r="I42" i="6"/>
  <c r="L53" i="6" l="1"/>
  <c r="J60" i="6" s="1"/>
  <c r="B25" i="6" s="1"/>
  <c r="B150" i="6" s="1"/>
  <c r="I31" i="6"/>
  <c r="I64" i="6"/>
  <c r="J64" i="6"/>
  <c r="J71" i="6"/>
  <c r="B26" i="6" s="1"/>
  <c r="M63" i="6"/>
  <c r="J72" i="6"/>
  <c r="P26" i="6" s="1"/>
  <c r="Q151" i="6" s="1"/>
  <c r="M74" i="6"/>
  <c r="J82" i="6"/>
  <c r="B27" i="6" s="1"/>
  <c r="B152" i="6" s="1"/>
  <c r="J83" i="6"/>
  <c r="P27" i="6" s="1"/>
  <c r="R27" i="6" s="1"/>
  <c r="Q187" i="6" s="1"/>
  <c r="M30" i="6"/>
  <c r="J38" i="6"/>
  <c r="B23" i="6" s="1"/>
  <c r="D23" i="6" s="1"/>
  <c r="B183" i="6" s="1"/>
  <c r="J39" i="6"/>
  <c r="P23" i="6" s="1"/>
  <c r="Q148" i="6" s="1"/>
  <c r="J50" i="6"/>
  <c r="P24" i="6" s="1"/>
  <c r="Q149" i="6" s="1"/>
  <c r="I75" i="6"/>
  <c r="J75" i="6"/>
  <c r="I53" i="6"/>
  <c r="D24" i="6"/>
  <c r="B184" i="6" s="1"/>
  <c r="B149" i="6"/>
  <c r="D26" i="6"/>
  <c r="B186" i="6" s="1"/>
  <c r="B151" i="6"/>
  <c r="R26" i="6" l="1"/>
  <c r="Q186" i="6" s="1"/>
  <c r="Q152" i="6"/>
  <c r="M52" i="6"/>
  <c r="J61" i="6"/>
  <c r="P25" i="6" s="1"/>
  <c r="R24" i="6"/>
  <c r="Q184" i="6" s="1"/>
  <c r="B148" i="6"/>
  <c r="D25" i="6"/>
  <c r="B185" i="6" s="1"/>
  <c r="C184" i="6" s="1"/>
  <c r="D27" i="6"/>
  <c r="B187" i="6" s="1"/>
  <c r="C187" i="6" s="1"/>
  <c r="R23" i="6"/>
  <c r="Q183" i="6" s="1"/>
  <c r="C147" i="6"/>
  <c r="C148" i="6"/>
  <c r="E148" i="6" s="1"/>
  <c r="E170" i="6" s="1"/>
  <c r="R147" i="6"/>
  <c r="R148" i="6"/>
  <c r="AB148" i="6" s="1"/>
  <c r="R152" i="6"/>
  <c r="AB152" i="6" s="1"/>
  <c r="C151" i="6"/>
  <c r="I151" i="6" s="1"/>
  <c r="I173" i="6" s="1"/>
  <c r="C149" i="6"/>
  <c r="F149" i="6" s="1"/>
  <c r="F171" i="6" s="1"/>
  <c r="R186" i="6"/>
  <c r="X186" i="6" s="1"/>
  <c r="R151" i="6"/>
  <c r="W151" i="6" s="1"/>
  <c r="C152" i="6"/>
  <c r="H152" i="6" s="1"/>
  <c r="H174" i="6" s="1"/>
  <c r="R187" i="6"/>
  <c r="U187" i="6" s="1"/>
  <c r="C183" i="6"/>
  <c r="M183" i="6" s="1"/>
  <c r="M205" i="6" s="1"/>
  <c r="K183" i="6"/>
  <c r="K205" i="6" s="1"/>
  <c r="C182" i="6"/>
  <c r="C150" i="6"/>
  <c r="L150" i="6" s="1"/>
  <c r="L172" i="6" s="1"/>
  <c r="N184" i="6" l="1"/>
  <c r="N206" i="6" s="1"/>
  <c r="I184" i="6"/>
  <c r="I206" i="6" s="1"/>
  <c r="AC187" i="6"/>
  <c r="C186" i="6"/>
  <c r="F186" i="6" s="1"/>
  <c r="F208" i="6" s="1"/>
  <c r="I148" i="6"/>
  <c r="I170" i="6" s="1"/>
  <c r="E183" i="6"/>
  <c r="E205" i="6" s="1"/>
  <c r="AA187" i="6"/>
  <c r="M184" i="6"/>
  <c r="M206" i="6" s="1"/>
  <c r="U186" i="6"/>
  <c r="G184" i="6"/>
  <c r="G206" i="6" s="1"/>
  <c r="N151" i="6"/>
  <c r="N173" i="6" s="1"/>
  <c r="L184" i="6"/>
  <c r="L206" i="6" s="1"/>
  <c r="H151" i="6"/>
  <c r="H173" i="6" s="1"/>
  <c r="V186" i="6"/>
  <c r="F184" i="6"/>
  <c r="F206" i="6" s="1"/>
  <c r="M151" i="6"/>
  <c r="M173" i="6" s="1"/>
  <c r="AC186" i="6"/>
  <c r="H184" i="6"/>
  <c r="H206" i="6" s="1"/>
  <c r="G151" i="6"/>
  <c r="G173" i="6" s="1"/>
  <c r="R182" i="6"/>
  <c r="AC182" i="6" s="1"/>
  <c r="R25" i="6"/>
  <c r="Q185" i="6" s="1"/>
  <c r="Q150" i="6"/>
  <c r="AA186" i="6"/>
  <c r="K184" i="6"/>
  <c r="K206" i="6" s="1"/>
  <c r="L151" i="6"/>
  <c r="L173" i="6" s="1"/>
  <c r="R183" i="6"/>
  <c r="AB183" i="6" s="1"/>
  <c r="Y186" i="6"/>
  <c r="E184" i="6"/>
  <c r="E206" i="6" s="1"/>
  <c r="F151" i="6"/>
  <c r="F173" i="6" s="1"/>
  <c r="C185" i="6"/>
  <c r="H185" i="6" s="1"/>
  <c r="H207" i="6" s="1"/>
  <c r="T186" i="6"/>
  <c r="AB186" i="6"/>
  <c r="J184" i="6"/>
  <c r="J206" i="6" s="1"/>
  <c r="H187" i="6"/>
  <c r="H209" i="6" s="1"/>
  <c r="M187" i="6"/>
  <c r="M209" i="6" s="1"/>
  <c r="G187" i="6"/>
  <c r="G209" i="6" s="1"/>
  <c r="L187" i="6"/>
  <c r="L209" i="6" s="1"/>
  <c r="T183" i="6"/>
  <c r="I150" i="6"/>
  <c r="I172" i="6" s="1"/>
  <c r="M150" i="6"/>
  <c r="M172" i="6" s="1"/>
  <c r="W186" i="6"/>
  <c r="K151" i="6"/>
  <c r="K173" i="6" s="1"/>
  <c r="F187" i="6"/>
  <c r="F209" i="6" s="1"/>
  <c r="M185" i="6"/>
  <c r="M207" i="6" s="1"/>
  <c r="J150" i="6"/>
  <c r="J172" i="6" s="1"/>
  <c r="G150" i="6"/>
  <c r="G172" i="6" s="1"/>
  <c r="K187" i="6"/>
  <c r="K209" i="6" s="1"/>
  <c r="N150" i="6"/>
  <c r="N172" i="6" s="1"/>
  <c r="U151" i="6"/>
  <c r="H150" i="6"/>
  <c r="H172" i="6" s="1"/>
  <c r="T151" i="6"/>
  <c r="G183" i="6"/>
  <c r="G205" i="6" s="1"/>
  <c r="Z186" i="6"/>
  <c r="E187" i="6"/>
  <c r="E209" i="6" s="1"/>
  <c r="L185" i="6"/>
  <c r="L207" i="6" s="1"/>
  <c r="Z151" i="6"/>
  <c r="F150" i="6"/>
  <c r="F172" i="6" s="1"/>
  <c r="K150" i="6"/>
  <c r="K172" i="6" s="1"/>
  <c r="L183" i="6"/>
  <c r="L205" i="6" s="1"/>
  <c r="E150" i="6"/>
  <c r="E172" i="6" s="1"/>
  <c r="F183" i="6"/>
  <c r="F205" i="6" s="1"/>
  <c r="U152" i="6"/>
  <c r="T148" i="6"/>
  <c r="G152" i="6"/>
  <c r="G174" i="6" s="1"/>
  <c r="J148" i="6"/>
  <c r="J170" i="6" s="1"/>
  <c r="W152" i="6"/>
  <c r="AC148" i="6"/>
  <c r="N148" i="6"/>
  <c r="N170" i="6" s="1"/>
  <c r="J149" i="6"/>
  <c r="J171" i="6" s="1"/>
  <c r="I186" i="6"/>
  <c r="I208" i="6" s="1"/>
  <c r="I149" i="6"/>
  <c r="I171" i="6" s="1"/>
  <c r="Z152" i="6"/>
  <c r="W148" i="6"/>
  <c r="T182" i="6"/>
  <c r="Z182" i="6"/>
  <c r="AB182" i="6"/>
  <c r="AA182" i="6"/>
  <c r="H148" i="6"/>
  <c r="H170" i="6" s="1"/>
  <c r="T152" i="6"/>
  <c r="U148" i="6"/>
  <c r="M148" i="6"/>
  <c r="M170" i="6" s="1"/>
  <c r="K149" i="6"/>
  <c r="K171" i="6" s="1"/>
  <c r="G148" i="6"/>
  <c r="G170" i="6" s="1"/>
  <c r="N152" i="6"/>
  <c r="N174" i="6" s="1"/>
  <c r="X187" i="6"/>
  <c r="N149" i="6"/>
  <c r="N171" i="6" s="1"/>
  <c r="W187" i="6"/>
  <c r="Y151" i="6"/>
  <c r="H149" i="6"/>
  <c r="H171" i="6" s="1"/>
  <c r="M186" i="6"/>
  <c r="M208" i="6" s="1"/>
  <c r="M149" i="6"/>
  <c r="M171" i="6" s="1"/>
  <c r="E151" i="6"/>
  <c r="E173" i="6" s="1"/>
  <c r="Y152" i="6"/>
  <c r="X148" i="6"/>
  <c r="L148" i="6"/>
  <c r="L170" i="6" s="1"/>
  <c r="J152" i="6"/>
  <c r="J174" i="6" s="1"/>
  <c r="AA152" i="6"/>
  <c r="AA148" i="6"/>
  <c r="V187" i="6"/>
  <c r="F182" i="6"/>
  <c r="F204" i="6" s="1"/>
  <c r="L182" i="6"/>
  <c r="L204" i="6" s="1"/>
  <c r="G182" i="6"/>
  <c r="G204" i="6" s="1"/>
  <c r="M182" i="6"/>
  <c r="M204" i="6" s="1"/>
  <c r="H182" i="6"/>
  <c r="H204" i="6" s="1"/>
  <c r="N182" i="6"/>
  <c r="N204" i="6" s="1"/>
  <c r="K182" i="6"/>
  <c r="K204" i="6" s="1"/>
  <c r="I182" i="6"/>
  <c r="I204" i="6" s="1"/>
  <c r="E182" i="6"/>
  <c r="E204" i="6" s="1"/>
  <c r="J182" i="6"/>
  <c r="J204" i="6" s="1"/>
  <c r="AC152" i="6"/>
  <c r="V148" i="6"/>
  <c r="J187" i="6"/>
  <c r="J209" i="6" s="1"/>
  <c r="Y183" i="6"/>
  <c r="J185" i="6"/>
  <c r="J207" i="6" s="1"/>
  <c r="F148" i="6"/>
  <c r="F170" i="6" s="1"/>
  <c r="AA151" i="6"/>
  <c r="L152" i="6"/>
  <c r="L174" i="6" s="1"/>
  <c r="K152" i="6"/>
  <c r="K174" i="6" s="1"/>
  <c r="G186" i="6"/>
  <c r="G208" i="6" s="1"/>
  <c r="G149" i="6"/>
  <c r="G171" i="6" s="1"/>
  <c r="N183" i="6"/>
  <c r="N205" i="6" s="1"/>
  <c r="T187" i="6"/>
  <c r="E152" i="6"/>
  <c r="E174" i="6" s="1"/>
  <c r="X151" i="6"/>
  <c r="K186" i="6"/>
  <c r="K208" i="6" s="1"/>
  <c r="E149" i="6"/>
  <c r="E171" i="6" s="1"/>
  <c r="J151" i="6"/>
  <c r="J173" i="6" s="1"/>
  <c r="X152" i="6"/>
  <c r="Z147" i="6"/>
  <c r="T147" i="6"/>
  <c r="X147" i="6"/>
  <c r="U147" i="6"/>
  <c r="W147" i="6"/>
  <c r="AB147" i="6"/>
  <c r="AA147" i="6"/>
  <c r="Y147" i="6"/>
  <c r="V147" i="6"/>
  <c r="AC147" i="6"/>
  <c r="I187" i="6"/>
  <c r="I209" i="6" s="1"/>
  <c r="I185" i="6"/>
  <c r="I207" i="6" s="1"/>
  <c r="J147" i="6"/>
  <c r="J169" i="6" s="1"/>
  <c r="I147" i="6"/>
  <c r="I169" i="6" s="1"/>
  <c r="E147" i="6"/>
  <c r="E169" i="6" s="1"/>
  <c r="K147" i="6"/>
  <c r="K169" i="6" s="1"/>
  <c r="F147" i="6"/>
  <c r="F169" i="6" s="1"/>
  <c r="L147" i="6"/>
  <c r="L169" i="6" s="1"/>
  <c r="G147" i="6"/>
  <c r="G169" i="6" s="1"/>
  <c r="M147" i="6"/>
  <c r="M169" i="6" s="1"/>
  <c r="H147" i="6"/>
  <c r="H169" i="6" s="1"/>
  <c r="N147" i="6"/>
  <c r="N169" i="6" s="1"/>
  <c r="E186" i="6"/>
  <c r="E208" i="6" s="1"/>
  <c r="Z187" i="6"/>
  <c r="J183" i="6"/>
  <c r="J205" i="6" s="1"/>
  <c r="H186" i="6"/>
  <c r="H208" i="6" s="1"/>
  <c r="I183" i="6"/>
  <c r="I205" i="6" s="1"/>
  <c r="V151" i="6"/>
  <c r="AB187" i="6"/>
  <c r="I152" i="6"/>
  <c r="I174" i="6" s="1"/>
  <c r="AB151" i="6"/>
  <c r="H183" i="6"/>
  <c r="H205" i="6" s="1"/>
  <c r="Y187" i="6"/>
  <c r="M152" i="6"/>
  <c r="M174" i="6" s="1"/>
  <c r="AC151" i="6"/>
  <c r="L186" i="6"/>
  <c r="L208" i="6" s="1"/>
  <c r="L149" i="6"/>
  <c r="L171" i="6" s="1"/>
  <c r="V152" i="6"/>
  <c r="Y148" i="6"/>
  <c r="N187" i="6"/>
  <c r="N209" i="6" s="1"/>
  <c r="W183" i="6"/>
  <c r="N185" i="6"/>
  <c r="N207" i="6" s="1"/>
  <c r="K148" i="6"/>
  <c r="K170" i="6" s="1"/>
  <c r="J186" i="6"/>
  <c r="J208" i="6" s="1"/>
  <c r="Z148" i="6"/>
  <c r="F152" i="6"/>
  <c r="F174" i="6" s="1"/>
  <c r="N186" i="6"/>
  <c r="N208" i="6" s="1"/>
  <c r="U182" i="6" l="1"/>
  <c r="X182" i="6"/>
  <c r="W182" i="6"/>
  <c r="E185" i="6"/>
  <c r="E207" i="6" s="1"/>
  <c r="F185" i="6"/>
  <c r="F207" i="6" s="1"/>
  <c r="G185" i="6"/>
  <c r="G207" i="6" s="1"/>
  <c r="R149" i="6"/>
  <c r="R150" i="6"/>
  <c r="AB150" i="6" s="1"/>
  <c r="T150" i="6"/>
  <c r="R185" i="6"/>
  <c r="X185" i="6" s="1"/>
  <c r="AB185" i="6"/>
  <c r="X183" i="6"/>
  <c r="V182" i="6"/>
  <c r="K185" i="6"/>
  <c r="K207" i="6" s="1"/>
  <c r="C193" i="6"/>
  <c r="Y182" i="6"/>
  <c r="AC183" i="6"/>
  <c r="U183" i="6"/>
  <c r="Z183" i="6"/>
  <c r="AA183" i="6"/>
  <c r="V183" i="6"/>
  <c r="R184" i="6"/>
  <c r="C158" i="6"/>
  <c r="V150" i="6" l="1"/>
  <c r="AA185" i="6"/>
  <c r="AC185" i="6"/>
  <c r="U185" i="6"/>
  <c r="T185" i="6"/>
  <c r="V185" i="6"/>
  <c r="Y185" i="6"/>
  <c r="W185" i="6"/>
  <c r="Z149" i="6"/>
  <c r="T149" i="6"/>
  <c r="X149" i="6"/>
  <c r="AB149" i="6"/>
  <c r="AA149" i="6"/>
  <c r="W149" i="6"/>
  <c r="V149" i="6"/>
  <c r="AC149" i="6"/>
  <c r="U149" i="6"/>
  <c r="Y149" i="6"/>
  <c r="V184" i="6"/>
  <c r="T184" i="6"/>
  <c r="AB184" i="6"/>
  <c r="Y184" i="6"/>
  <c r="U184" i="6"/>
  <c r="AC184" i="6"/>
  <c r="W184" i="6"/>
  <c r="X184" i="6"/>
  <c r="AA184" i="6"/>
  <c r="Z184" i="6"/>
  <c r="X150" i="6"/>
  <c r="Y150" i="6"/>
  <c r="W150" i="6"/>
  <c r="AA150" i="6"/>
  <c r="Z150" i="6"/>
  <c r="U150" i="6"/>
  <c r="Z185" i="6"/>
  <c r="AC150" i="6"/>
</calcChain>
</file>

<file path=xl/sharedStrings.xml><?xml version="1.0" encoding="utf-8"?>
<sst xmlns="http://schemas.openxmlformats.org/spreadsheetml/2006/main" count="502" uniqueCount="156">
  <si>
    <t>min</t>
  </si>
  <si>
    <t>L=</t>
  </si>
  <si>
    <t>км</t>
  </si>
  <si>
    <t>Провод</t>
  </si>
  <si>
    <t>Кабель</t>
  </si>
  <si>
    <t>Длина,км</t>
  </si>
  <si>
    <t>Реактансы:</t>
  </si>
  <si>
    <t>0,1L=</t>
  </si>
  <si>
    <t>0,2L=</t>
  </si>
  <si>
    <t>0,3L=</t>
  </si>
  <si>
    <t>0,4L=</t>
  </si>
  <si>
    <t>0,5L=</t>
  </si>
  <si>
    <t>0,6L=</t>
  </si>
  <si>
    <t>0,7L=</t>
  </si>
  <si>
    <t>0,8L=</t>
  </si>
  <si>
    <t>0,9L=</t>
  </si>
  <si>
    <t>Итог</t>
  </si>
  <si>
    <t>Для первой точки</t>
  </si>
  <si>
    <t>Проверка</t>
  </si>
  <si>
    <t>Для второй точки</t>
  </si>
  <si>
    <t>Для четвертой точки</t>
  </si>
  <si>
    <t>Для пятой точки</t>
  </si>
  <si>
    <t>Для шестой точки</t>
  </si>
  <si>
    <t>Для седьмой точки</t>
  </si>
  <si>
    <t>Для восьмой точки</t>
  </si>
  <si>
    <t>Для девятой точки</t>
  </si>
  <si>
    <t>Для десятой точки</t>
  </si>
  <si>
    <t>}{min</t>
  </si>
  <si>
    <t>суммар:</t>
  </si>
  <si>
    <t>Длины:</t>
  </si>
  <si>
    <t>Токи 2-х фазного КЗ на КЛ:</t>
  </si>
  <si>
    <t>А</t>
  </si>
  <si>
    <t>на с.ш.=</t>
  </si>
  <si>
    <t>МТЗдоп=</t>
  </si>
  <si>
    <t>0L=</t>
  </si>
  <si>
    <r>
      <t>с уч.</t>
    </r>
    <r>
      <rPr>
        <b/>
        <i/>
        <sz val="11"/>
        <rFont val="Arial Cyr"/>
        <family val="2"/>
        <charset val="204"/>
      </rPr>
      <t>К</t>
    </r>
    <r>
      <rPr>
        <b/>
        <i/>
        <sz val="10"/>
        <rFont val="Arial Cyr"/>
        <family val="2"/>
        <charset val="204"/>
      </rPr>
      <t>чувств</t>
    </r>
  </si>
  <si>
    <t>Iном.=</t>
  </si>
  <si>
    <t>Iреал.=</t>
  </si>
  <si>
    <t>Ближайший мощный трансформатор</t>
  </si>
  <si>
    <t>Реле тока</t>
  </si>
  <si>
    <t>Для тока намагничивания:</t>
  </si>
  <si>
    <t>Для КЗ за трансформатором:</t>
  </si>
  <si>
    <t>МТО</t>
  </si>
  <si>
    <t>ток 3-х фазного КЗ за трансформатором</t>
  </si>
  <si>
    <t>}{max</t>
  </si>
  <si>
    <t>Длина линии до трансф.,км</t>
  </si>
  <si>
    <t>0,7Iн.=</t>
  </si>
  <si>
    <t>Токи 3-х фазного КЗ за тр.:</t>
  </si>
  <si>
    <t>I=</t>
  </si>
  <si>
    <t>МТЗ</t>
  </si>
  <si>
    <t>Значение тока:</t>
  </si>
  <si>
    <t>3-х фазного КЗ за тр-ом:</t>
  </si>
  <si>
    <t>от намагничивания:</t>
  </si>
  <si>
    <t>расчетного:</t>
  </si>
  <si>
    <t>реального:</t>
  </si>
  <si>
    <t>Нагрузка на фидере 6кВ:</t>
  </si>
  <si>
    <t>Длина линии до КЛ,км</t>
  </si>
  <si>
    <t>МТО:</t>
  </si>
  <si>
    <t>МТЗ:</t>
  </si>
  <si>
    <t>t,сек:</t>
  </si>
  <si>
    <t>Трансформатор тока:</t>
  </si>
  <si>
    <r>
      <t xml:space="preserve">/ </t>
    </r>
    <r>
      <rPr>
        <b/>
        <i/>
        <sz val="12"/>
        <rFont val="Arial Cyr"/>
        <family val="2"/>
        <charset val="204"/>
      </rPr>
      <t xml:space="preserve"> 5</t>
    </r>
  </si>
  <si>
    <t>Т.Т. соответствует нагрузке</t>
  </si>
  <si>
    <t>Т.Т. не соответствует нагрузке</t>
  </si>
  <si>
    <t>Участок 1:</t>
  </si>
  <si>
    <t>Участок 2:</t>
  </si>
  <si>
    <t>Участок 3:</t>
  </si>
  <si>
    <t>Участок 4:</t>
  </si>
  <si>
    <t xml:space="preserve">Т.Т. </t>
  </si>
  <si>
    <t>Кабель,провод</t>
  </si>
  <si>
    <t>АПВ,сек:</t>
  </si>
  <si>
    <t>Дата:</t>
  </si>
  <si>
    <t>от:</t>
  </si>
  <si>
    <t>Примечание:</t>
  </si>
  <si>
    <t>Расчет провел:</t>
  </si>
  <si>
    <r>
      <t>К</t>
    </r>
    <r>
      <rPr>
        <b/>
        <i/>
        <sz val="12"/>
        <rFont val="Arial Cyr"/>
        <family val="2"/>
        <charset val="204"/>
      </rPr>
      <t xml:space="preserve"> надеж.</t>
    </r>
  </si>
  <si>
    <t>______________</t>
  </si>
  <si>
    <r>
      <t>МТЗ</t>
    </r>
    <r>
      <rPr>
        <i/>
        <sz val="10"/>
        <rFont val="Arial Cyr"/>
        <family val="2"/>
        <charset val="204"/>
      </rPr>
      <t>доп</t>
    </r>
    <r>
      <rPr>
        <i/>
        <sz val="16"/>
        <rFont val="Arial Cyr"/>
        <family val="2"/>
        <charset val="204"/>
      </rPr>
      <t>:</t>
    </r>
  </si>
  <si>
    <t>2-х ф. КЗ в КЛ:</t>
  </si>
  <si>
    <t>Проверка правильности расчетов</t>
  </si>
  <si>
    <t>Промысловая-2    1,2с.ш.</t>
  </si>
  <si>
    <t>1.</t>
  </si>
  <si>
    <t>2.</t>
  </si>
  <si>
    <t>До конца линии:</t>
  </si>
  <si>
    <t>RA-95</t>
  </si>
  <si>
    <t>RA-120</t>
  </si>
  <si>
    <t>До ближ. трансф.:</t>
  </si>
  <si>
    <t>3.</t>
  </si>
  <si>
    <t>4.</t>
  </si>
  <si>
    <t>Нагрузка:</t>
  </si>
  <si>
    <t>5.</t>
  </si>
  <si>
    <t>Iн</t>
  </si>
  <si>
    <t>6.</t>
  </si>
  <si>
    <t>7.</t>
  </si>
  <si>
    <t>при КЗ за трасом. }{max=6,12</t>
  </si>
  <si>
    <t>Imax при 3-х фазном КЗ=</t>
  </si>
  <si>
    <t>при КЗ на конце линии }{min=4,24</t>
  </si>
  <si>
    <t>Imin при 2-х фазном КЗ на КЛ=</t>
  </si>
  <si>
    <t>РТ-80</t>
  </si>
  <si>
    <t>ТО:</t>
  </si>
  <si>
    <t>за тр.</t>
  </si>
  <si>
    <t>намагн.</t>
  </si>
  <si>
    <t>нагр.</t>
  </si>
  <si>
    <t>реальн.</t>
  </si>
  <si>
    <t>%</t>
  </si>
  <si>
    <t>ЗАЩИТА ЛИНИИ:</t>
  </si>
  <si>
    <t>Присоединение:</t>
  </si>
  <si>
    <t>Действие защиты:</t>
  </si>
  <si>
    <t>ПС/РУ:</t>
  </si>
  <si>
    <t>РАСЧЕТ ЗАЩИТЫ ЛИНИИ 6 кВ</t>
  </si>
  <si>
    <t>ЗОЗЗ:</t>
  </si>
  <si>
    <t>на сигнал</t>
  </si>
  <si>
    <t>ТЕЛЕФОНОГРАММА</t>
  </si>
  <si>
    <t>№</t>
  </si>
  <si>
    <t>от</t>
  </si>
  <si>
    <t>Первичный номинальный ток трансформаторов тока (А):</t>
  </si>
  <si>
    <t>Вторичный номинальный ток трансформаторов тока (А):</t>
  </si>
  <si>
    <t>АПВ (с):</t>
  </si>
  <si>
    <t>Максимальная токовая защита</t>
  </si>
  <si>
    <t>Тип реле защиты:</t>
  </si>
  <si>
    <t>Подпись:</t>
  </si>
  <si>
    <t>_________</t>
  </si>
  <si>
    <t>Исполнитель:</t>
  </si>
  <si>
    <t>____________</t>
  </si>
  <si>
    <t xml:space="preserve">Дата выполнения: </t>
  </si>
  <si>
    <t>Защита от однофазных замыканий на землю (ЗОЗЗ)</t>
  </si>
  <si>
    <r>
      <t xml:space="preserve">Начальнику сетевого района </t>
    </r>
    <r>
      <rPr>
        <b/>
        <sz val="12"/>
        <rFont val="Times New Roman"/>
        <family val="1"/>
        <charset val="204"/>
      </rPr>
      <t>№</t>
    </r>
  </si>
  <si>
    <t>Подстанция/РУ:</t>
  </si>
  <si>
    <t>Сетевой район:</t>
  </si>
  <si>
    <t>Токовая отсечка</t>
  </si>
  <si>
    <t>Ток срабатывания защиты (А):</t>
  </si>
  <si>
    <t>Ток срабатывания реле (А):</t>
  </si>
  <si>
    <t>Время срабатывания (с):</t>
  </si>
  <si>
    <t>Изменение согласовано "ФИО"</t>
  </si>
  <si>
    <t>max</t>
  </si>
  <si>
    <t>R, Ом</t>
  </si>
  <si>
    <t>X, Ом</t>
  </si>
  <si>
    <t xml:space="preserve">Р </t>
  </si>
  <si>
    <t xml:space="preserve">Н </t>
  </si>
  <si>
    <t xml:space="preserve">А </t>
  </si>
  <si>
    <r>
      <t>S</t>
    </r>
    <r>
      <rPr>
        <b/>
        <i/>
        <sz val="16"/>
        <rFont val="Arial Cyr"/>
        <family val="2"/>
        <charset val="204"/>
      </rPr>
      <t xml:space="preserve">           </t>
    </r>
    <r>
      <rPr>
        <b/>
        <i/>
        <sz val="14"/>
        <rFont val="Arial Cyr"/>
        <family val="2"/>
        <charset val="204"/>
      </rPr>
      <t>[кВА]</t>
    </r>
  </si>
  <si>
    <t>Н</t>
  </si>
  <si>
    <t>Для третьей точки</t>
  </si>
  <si>
    <t>X тр</t>
  </si>
  <si>
    <t>(А)</t>
  </si>
  <si>
    <t>После изменения уставок отправить факсом подписанное исполнителем задание в службу РЗА</t>
  </si>
  <si>
    <t>Перемитин А.В.</t>
  </si>
  <si>
    <t>Начальник РЗА_______________Перемитин А.В.</t>
  </si>
  <si>
    <t>от начальника службы РЗА Перемитина А.В.</t>
  </si>
  <si>
    <t>Начальник РЗА:</t>
  </si>
  <si>
    <t>Вед.инженер РЗА:</t>
  </si>
  <si>
    <t>Медведева А.В.</t>
  </si>
  <si>
    <t>211</t>
  </si>
  <si>
    <t>ПС 35/6кВ "Ачимовская-1"</t>
  </si>
  <si>
    <t>ф.6кВ №20</t>
  </si>
  <si>
    <r>
      <t>Тлеф</t>
    </r>
    <r>
      <rPr>
        <b/>
        <i/>
        <sz val="12"/>
        <rFont val="Arial Cyr"/>
        <family val="2"/>
        <charset val="204"/>
      </rPr>
      <t>№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</si>
</sst>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2">
    <font>
      <sz val="10"/>
      <name val="Arial Cyr"/>
      <charset val="204"/>
    </font>
    <font>
      <b/>
      <sz val="10"/>
      <name val="Arial CYR"/>
      <family val="2"/>
      <charset val="204"/>
    </font>
    <font>
      <b/>
      <i/>
      <sz val="10"/>
      <name val="Arial Cyr"/>
      <family val="2"/>
      <charset val="204"/>
    </font>
    <font>
      <sz val="8"/>
      <name val="Arial Cyr"/>
      <family val="2"/>
      <charset val="204"/>
    </font>
    <font>
      <b/>
      <sz val="8"/>
      <name val="Arial Cyr"/>
      <family val="2"/>
      <charset val="204"/>
    </font>
    <font>
      <sz val="10"/>
      <name val="Arial Cyr"/>
      <family val="2"/>
      <charset val="204"/>
    </font>
    <font>
      <b/>
      <i/>
      <sz val="11"/>
      <name val="Arial Cyr"/>
      <family val="2"/>
      <charset val="204"/>
    </font>
    <font>
      <i/>
      <sz val="10"/>
      <name val="Arial Cyr"/>
      <family val="2"/>
      <charset val="204"/>
    </font>
    <font>
      <b/>
      <i/>
      <sz val="16"/>
      <name val="Arial Cyr"/>
      <family val="2"/>
      <charset val="204"/>
    </font>
    <font>
      <b/>
      <i/>
      <sz val="12"/>
      <name val="Arial Cyr"/>
      <family val="2"/>
      <charset val="204"/>
    </font>
    <font>
      <b/>
      <i/>
      <sz val="14"/>
      <name val="Arial Cyr"/>
      <family val="2"/>
      <charset val="204"/>
    </font>
    <font>
      <b/>
      <i/>
      <sz val="9"/>
      <name val="Arial Cyr"/>
      <family val="2"/>
      <charset val="204"/>
    </font>
    <font>
      <b/>
      <i/>
      <sz val="24"/>
      <name val="Arial Cyr"/>
      <family val="2"/>
      <charset val="204"/>
    </font>
    <font>
      <b/>
      <i/>
      <sz val="10"/>
      <name val="BankGothic Lt BT"/>
      <family val="2"/>
    </font>
    <font>
      <b/>
      <i/>
      <u/>
      <sz val="16"/>
      <name val="Arial Cyr"/>
      <family val="2"/>
      <charset val="204"/>
    </font>
    <font>
      <b/>
      <i/>
      <sz val="19"/>
      <name val="Arial Cyr"/>
      <family val="2"/>
      <charset val="204"/>
    </font>
    <font>
      <i/>
      <sz val="16"/>
      <name val="Arial Cyr"/>
      <family val="2"/>
      <charset val="204"/>
    </font>
    <font>
      <i/>
      <sz val="12"/>
      <name val="Arial Cyr"/>
      <family val="2"/>
      <charset val="204"/>
    </font>
    <font>
      <i/>
      <sz val="14"/>
      <name val="Arial Cyr"/>
      <family val="2"/>
      <charset val="204"/>
    </font>
    <font>
      <sz val="12"/>
      <name val="Arial Cyr"/>
      <family val="2"/>
      <charset val="204"/>
    </font>
    <font>
      <b/>
      <i/>
      <sz val="10"/>
      <name val="Comic Sans MS"/>
      <family val="4"/>
    </font>
    <font>
      <i/>
      <sz val="10"/>
      <name val="Comic Sans MS"/>
      <family val="4"/>
    </font>
    <font>
      <i/>
      <sz val="14"/>
      <name val="Arial Cyr"/>
      <charset val="204"/>
    </font>
    <font>
      <b/>
      <i/>
      <sz val="22"/>
      <name val="Arial Cyr"/>
      <family val="2"/>
      <charset val="204"/>
    </font>
    <font>
      <i/>
      <sz val="10"/>
      <name val="Arial Cyr"/>
      <charset val="204"/>
    </font>
    <font>
      <u/>
      <sz val="10"/>
      <color indexed="12"/>
      <name val="Arial Cyr"/>
      <charset val="204"/>
    </font>
    <font>
      <sz val="8"/>
      <name val="Arial Cyr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u/>
      <sz val="12"/>
      <name val="Times New Roman"/>
      <family val="1"/>
      <charset val="204"/>
    </font>
    <font>
      <sz val="10"/>
      <name val="Times New Roman"/>
      <family val="1"/>
      <charset val="204"/>
    </font>
    <font>
      <sz val="12"/>
      <name val="Arial Cyr"/>
      <charset val="204"/>
    </font>
    <font>
      <b/>
      <sz val="14"/>
      <name val="Times New Roman"/>
      <family val="1"/>
      <charset val="204"/>
    </font>
    <font>
      <sz val="12"/>
      <color indexed="9"/>
      <name val="Times New Roman"/>
      <family val="1"/>
      <charset val="204"/>
    </font>
    <font>
      <b/>
      <sz val="8"/>
      <name val="Arial Cyr"/>
      <charset val="204"/>
    </font>
    <font>
      <b/>
      <sz val="10"/>
      <name val="Arial Cyr"/>
      <charset val="204"/>
    </font>
    <font>
      <sz val="22"/>
      <name val="Arial Cyr"/>
      <charset val="204"/>
    </font>
    <font>
      <b/>
      <i/>
      <sz val="11"/>
      <name val="Arial Cyr"/>
      <charset val="204"/>
    </font>
    <font>
      <i/>
      <sz val="12"/>
      <name val="Arial Cyr"/>
      <charset val="204"/>
    </font>
    <font>
      <b/>
      <i/>
      <sz val="10"/>
      <name val="Arial Cyr"/>
      <charset val="204"/>
    </font>
    <font>
      <b/>
      <i/>
      <sz val="16"/>
      <name val="Arial Cyr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FFCC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5" fillId="0" borderId="0" applyNumberFormat="0" applyFill="0" applyBorder="0" applyAlignment="0" applyProtection="0">
      <alignment vertical="top"/>
      <protection locked="0"/>
    </xf>
  </cellStyleXfs>
  <cellXfs count="34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0" fillId="2" borderId="3" xfId="0" applyFill="1" applyBorder="1"/>
    <xf numFmtId="0" fontId="0" fillId="0" borderId="15" xfId="0" applyBorder="1" applyAlignment="1">
      <alignment horizontal="center"/>
    </xf>
    <xf numFmtId="0" fontId="0" fillId="0" borderId="15" xfId="0" applyBorder="1" applyAlignment="1">
      <alignment horizontal="left"/>
    </xf>
    <xf numFmtId="0" fontId="0" fillId="3" borderId="16" xfId="0" applyFill="1" applyBorder="1"/>
    <xf numFmtId="0" fontId="0" fillId="3" borderId="17" xfId="0" applyFill="1" applyBorder="1"/>
    <xf numFmtId="0" fontId="0" fillId="4" borderId="7" xfId="0" applyFill="1" applyBorder="1" applyAlignment="1">
      <alignment horizontal="left"/>
    </xf>
    <xf numFmtId="0" fontId="5" fillId="5" borderId="16" xfId="0" applyFont="1" applyFill="1" applyBorder="1"/>
    <xf numFmtId="0" fontId="2" fillId="5" borderId="18" xfId="0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textRotation="90"/>
    </xf>
    <xf numFmtId="0" fontId="2" fillId="0" borderId="15" xfId="0" applyFont="1" applyBorder="1"/>
    <xf numFmtId="0" fontId="0" fillId="5" borderId="18" xfId="0" applyFill="1" applyBorder="1"/>
    <xf numFmtId="0" fontId="0" fillId="5" borderId="17" xfId="0" applyFill="1" applyBorder="1"/>
    <xf numFmtId="0" fontId="2" fillId="5" borderId="16" xfId="0" applyFont="1" applyFill="1" applyBorder="1"/>
    <xf numFmtId="0" fontId="0" fillId="0" borderId="4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19" xfId="0" applyBorder="1" applyAlignment="1">
      <alignment horizontal="right"/>
    </xf>
    <xf numFmtId="0" fontId="0" fillId="6" borderId="3" xfId="0" applyFill="1" applyBorder="1" applyAlignment="1">
      <alignment horizontal="right"/>
    </xf>
    <xf numFmtId="0" fontId="0" fillId="6" borderId="2" xfId="0" applyFill="1" applyBorder="1" applyAlignment="1">
      <alignment horizontal="right"/>
    </xf>
    <xf numFmtId="0" fontId="0" fillId="0" borderId="8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2" borderId="15" xfId="0" applyFill="1" applyBorder="1"/>
    <xf numFmtId="0" fontId="0" fillId="2" borderId="1" xfId="0" applyFill="1" applyBorder="1" applyAlignment="1">
      <alignment horizontal="right"/>
    </xf>
    <xf numFmtId="0" fontId="0" fillId="2" borderId="16" xfId="0" applyFill="1" applyBorder="1" applyAlignment="1">
      <alignment horizontal="right"/>
    </xf>
    <xf numFmtId="0" fontId="0" fillId="2" borderId="17" xfId="0" applyFill="1" applyBorder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5" borderId="15" xfId="0" applyFont="1" applyFill="1" applyBorder="1"/>
    <xf numFmtId="0" fontId="0" fillId="2" borderId="6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1" xfId="0" applyFill="1" applyBorder="1"/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9" xfId="0" applyFill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2" fillId="0" borderId="19" xfId="0" applyFont="1" applyBorder="1" applyAlignment="1">
      <alignment horizontal="center"/>
    </xf>
    <xf numFmtId="0" fontId="0" fillId="2" borderId="7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2" xfId="0" applyFill="1" applyBorder="1" applyAlignment="1">
      <alignment horizontal="right"/>
    </xf>
    <xf numFmtId="0" fontId="0" fillId="3" borderId="6" xfId="0" applyFill="1" applyBorder="1"/>
    <xf numFmtId="0" fontId="4" fillId="7" borderId="8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right"/>
    </xf>
    <xf numFmtId="0" fontId="2" fillId="4" borderId="7" xfId="0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0" fillId="0" borderId="19" xfId="0" applyBorder="1"/>
    <xf numFmtId="0" fontId="1" fillId="0" borderId="7" xfId="0" applyFont="1" applyBorder="1" applyAlignment="1">
      <alignment horizontal="center" vertical="center"/>
    </xf>
    <xf numFmtId="0" fontId="2" fillId="0" borderId="9" xfId="0" applyFont="1" applyBorder="1"/>
    <xf numFmtId="2" fontId="10" fillId="0" borderId="0" xfId="0" applyNumberFormat="1" applyFont="1" applyAlignment="1">
      <alignment horizontal="right"/>
    </xf>
    <xf numFmtId="0" fontId="0" fillId="4" borderId="5" xfId="0" applyFill="1" applyBorder="1"/>
    <xf numFmtId="0" fontId="0" fillId="4" borderId="0" xfId="0" applyFill="1"/>
    <xf numFmtId="0" fontId="0" fillId="8" borderId="20" xfId="0" applyFill="1" applyBorder="1"/>
    <xf numFmtId="0" fontId="0" fillId="8" borderId="21" xfId="0" applyFill="1" applyBorder="1"/>
    <xf numFmtId="0" fontId="0" fillId="6" borderId="20" xfId="0" applyFill="1" applyBorder="1"/>
    <xf numFmtId="0" fontId="19" fillId="4" borderId="5" xfId="0" applyFont="1" applyFill="1" applyBorder="1"/>
    <xf numFmtId="0" fontId="0" fillId="8" borderId="0" xfId="0" applyFill="1"/>
    <xf numFmtId="0" fontId="0" fillId="8" borderId="5" xfId="0" applyFill="1" applyBorder="1"/>
    <xf numFmtId="0" fontId="0" fillId="8" borderId="6" xfId="0" applyFill="1" applyBorder="1"/>
    <xf numFmtId="0" fontId="0" fillId="4" borderId="7" xfId="0" applyFill="1" applyBorder="1"/>
    <xf numFmtId="0" fontId="0" fillId="8" borderId="11" xfId="0" applyFill="1" applyBorder="1"/>
    <xf numFmtId="0" fontId="0" fillId="6" borderId="0" xfId="0" applyFill="1"/>
    <xf numFmtId="0" fontId="0" fillId="6" borderId="11" xfId="0" applyFill="1" applyBorder="1"/>
    <xf numFmtId="0" fontId="0" fillId="8" borderId="8" xfId="0" applyFill="1" applyBorder="1"/>
    <xf numFmtId="0" fontId="0" fillId="6" borderId="22" xfId="0" applyFill="1" applyBorder="1"/>
    <xf numFmtId="0" fontId="0" fillId="0" borderId="7" xfId="0" applyBorder="1" applyAlignment="1">
      <alignment textRotation="90"/>
    </xf>
    <xf numFmtId="0" fontId="21" fillId="0" borderId="7" xfId="0" applyFont="1" applyBorder="1" applyAlignment="1">
      <alignment horizontal="right"/>
    </xf>
    <xf numFmtId="0" fontId="21" fillId="0" borderId="0" xfId="0" applyFont="1"/>
    <xf numFmtId="0" fontId="0" fillId="0" borderId="10" xfId="0" applyBorder="1" applyProtection="1">
      <protection locked="0"/>
    </xf>
    <xf numFmtId="0" fontId="0" fillId="0" borderId="8" xfId="0" applyBorder="1" applyProtection="1">
      <protection locked="0"/>
    </xf>
    <xf numFmtId="0" fontId="0" fillId="0" borderId="0" xfId="0" applyProtection="1">
      <protection locked="0"/>
    </xf>
    <xf numFmtId="0" fontId="10" fillId="4" borderId="15" xfId="0" applyFont="1" applyFill="1" applyBorder="1" applyAlignment="1" applyProtection="1">
      <alignment horizontal="center" vertical="center"/>
      <protection locked="0"/>
    </xf>
    <xf numFmtId="0" fontId="9" fillId="4" borderId="0" xfId="0" applyFont="1" applyFill="1" applyAlignment="1" applyProtection="1">
      <alignment horizontal="left" vertical="center"/>
      <protection locked="0"/>
    </xf>
    <xf numFmtId="0" fontId="9" fillId="0" borderId="5" xfId="0" applyFont="1" applyBorder="1" applyAlignment="1" applyProtection="1">
      <alignment horizontal="right" vertical="center"/>
      <protection locked="0"/>
    </xf>
    <xf numFmtId="0" fontId="2" fillId="4" borderId="0" xfId="0" applyFont="1" applyFill="1" applyAlignment="1" applyProtection="1">
      <alignment horizontal="center"/>
      <protection locked="0"/>
    </xf>
    <xf numFmtId="0" fontId="2" fillId="0" borderId="23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0" fillId="9" borderId="0" xfId="0" applyFill="1"/>
    <xf numFmtId="0" fontId="15" fillId="9" borderId="0" xfId="0" applyFont="1" applyFill="1" applyAlignment="1" applyProtection="1">
      <alignment horizontal="center" vertical="center" wrapText="1"/>
      <protection locked="0"/>
    </xf>
    <xf numFmtId="0" fontId="15" fillId="9" borderId="5" xfId="0" applyFont="1" applyFill="1" applyBorder="1" applyAlignment="1" applyProtection="1">
      <alignment horizontal="center" vertical="center" wrapText="1"/>
      <protection locked="0"/>
    </xf>
    <xf numFmtId="0" fontId="9" fillId="9" borderId="4" xfId="0" applyFont="1" applyFill="1" applyBorder="1" applyAlignment="1" applyProtection="1">
      <alignment horizontal="left" vertical="center"/>
      <protection locked="0"/>
    </xf>
    <xf numFmtId="0" fontId="9" fillId="9" borderId="7" xfId="0" applyFont="1" applyFill="1" applyBorder="1" applyAlignment="1" applyProtection="1">
      <alignment horizontal="left" vertical="center"/>
      <protection locked="0"/>
    </xf>
    <xf numFmtId="0" fontId="10" fillId="4" borderId="7" xfId="0" applyFont="1" applyFill="1" applyBorder="1" applyAlignment="1">
      <alignment vertical="center"/>
    </xf>
    <xf numFmtId="0" fontId="10" fillId="4" borderId="0" xfId="0" applyFont="1" applyFill="1" applyAlignment="1">
      <alignment vertical="center"/>
    </xf>
    <xf numFmtId="0" fontId="5" fillId="4" borderId="0" xfId="0" applyFont="1" applyFill="1"/>
    <xf numFmtId="0" fontId="5" fillId="4" borderId="9" xfId="0" applyFont="1" applyFill="1" applyBorder="1"/>
    <xf numFmtId="0" fontId="9" fillId="4" borderId="9" xfId="0" applyFont="1" applyFill="1" applyBorder="1" applyAlignment="1">
      <alignment horizontal="left" vertical="center"/>
    </xf>
    <xf numFmtId="0" fontId="9" fillId="4" borderId="9" xfId="0" applyFont="1" applyFill="1" applyBorder="1" applyAlignment="1" applyProtection="1">
      <alignment horizontal="center" vertical="center"/>
      <protection locked="0"/>
    </xf>
    <xf numFmtId="0" fontId="28" fillId="9" borderId="0" xfId="0" applyFont="1" applyFill="1"/>
    <xf numFmtId="0" fontId="27" fillId="9" borderId="0" xfId="0" applyFont="1" applyFill="1" applyAlignment="1">
      <alignment horizontal="right"/>
    </xf>
    <xf numFmtId="49" fontId="27" fillId="9" borderId="0" xfId="0" applyNumberFormat="1" applyFont="1" applyFill="1" applyAlignment="1">
      <alignment horizontal="center"/>
    </xf>
    <xf numFmtId="14" fontId="27" fillId="9" borderId="0" xfId="0" applyNumberFormat="1" applyFont="1" applyFill="1"/>
    <xf numFmtId="0" fontId="27" fillId="9" borderId="0" xfId="0" applyFont="1" applyFill="1"/>
    <xf numFmtId="0" fontId="28" fillId="9" borderId="0" xfId="0" applyFont="1" applyFill="1" applyAlignment="1">
      <alignment horizontal="left"/>
    </xf>
    <xf numFmtId="0" fontId="29" fillId="9" borderId="0" xfId="0" applyFont="1" applyFill="1" applyAlignment="1">
      <alignment horizontal="left"/>
    </xf>
    <xf numFmtId="0" fontId="28" fillId="9" borderId="0" xfId="0" applyFont="1" applyFill="1" applyAlignment="1">
      <alignment horizontal="right"/>
    </xf>
    <xf numFmtId="0" fontId="31" fillId="9" borderId="0" xfId="0" applyFont="1" applyFill="1" applyAlignment="1">
      <alignment horizontal="right" vertical="center"/>
    </xf>
    <xf numFmtId="0" fontId="31" fillId="9" borderId="0" xfId="0" applyFont="1" applyFill="1" applyAlignment="1">
      <alignment vertical="top"/>
    </xf>
    <xf numFmtId="2" fontId="28" fillId="9" borderId="0" xfId="0" applyNumberFormat="1" applyFont="1" applyFill="1" applyAlignment="1">
      <alignment horizontal="left"/>
    </xf>
    <xf numFmtId="0" fontId="30" fillId="9" borderId="0" xfId="0" applyFont="1" applyFill="1"/>
    <xf numFmtId="0" fontId="28" fillId="0" borderId="0" xfId="0" applyFont="1"/>
    <xf numFmtId="0" fontId="32" fillId="0" borderId="0" xfId="0" applyFont="1"/>
    <xf numFmtId="0" fontId="0" fillId="9" borderId="5" xfId="0" applyFill="1" applyBorder="1"/>
    <xf numFmtId="49" fontId="28" fillId="9" borderId="0" xfId="0" applyNumberFormat="1" applyFont="1" applyFill="1" applyAlignment="1">
      <alignment vertical="top" wrapText="1"/>
    </xf>
    <xf numFmtId="0" fontId="27" fillId="9" borderId="0" xfId="0" applyFont="1" applyFill="1" applyAlignment="1">
      <alignment horizontal="left"/>
    </xf>
    <xf numFmtId="14" fontId="28" fillId="9" borderId="0" xfId="0" applyNumberFormat="1" applyFont="1" applyFill="1"/>
    <xf numFmtId="49" fontId="28" fillId="9" borderId="0" xfId="0" applyNumberFormat="1" applyFont="1" applyFill="1" applyAlignment="1">
      <alignment vertical="top"/>
    </xf>
    <xf numFmtId="0" fontId="22" fillId="9" borderId="5" xfId="0" applyFont="1" applyFill="1" applyBorder="1" applyAlignment="1" applyProtection="1">
      <alignment horizontal="center" vertical="center"/>
      <protection locked="0"/>
    </xf>
    <xf numFmtId="0" fontId="34" fillId="9" borderId="0" xfId="0" applyFont="1" applyFill="1" applyAlignment="1">
      <alignment horizontal="left"/>
    </xf>
    <xf numFmtId="0" fontId="24" fillId="9" borderId="0" xfId="0" applyFont="1" applyFill="1" applyAlignment="1" applyProtection="1">
      <alignment horizontal="left" vertical="center"/>
      <protection locked="0"/>
    </xf>
    <xf numFmtId="0" fontId="35" fillId="3" borderId="24" xfId="0" applyFont="1" applyFill="1" applyBorder="1" applyAlignment="1">
      <alignment horizontal="center" vertical="center"/>
    </xf>
    <xf numFmtId="0" fontId="35" fillId="3" borderId="25" xfId="0" applyFont="1" applyFill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2" fillId="9" borderId="0" xfId="0" applyFont="1" applyFill="1" applyAlignment="1" applyProtection="1">
      <alignment horizontal="left" vertical="center"/>
      <protection locked="0"/>
    </xf>
    <xf numFmtId="0" fontId="0" fillId="3" borderId="26" xfId="0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3" borderId="15" xfId="0" applyFill="1" applyBorder="1" applyAlignment="1">
      <alignment horizontal="right" vertical="center"/>
    </xf>
    <xf numFmtId="0" fontId="36" fillId="0" borderId="27" xfId="0" applyFont="1" applyBorder="1" applyAlignment="1">
      <alignment horizontal="right"/>
    </xf>
    <xf numFmtId="0" fontId="36" fillId="0" borderId="28" xfId="0" applyFont="1" applyBorder="1" applyAlignment="1">
      <alignment horizontal="right"/>
    </xf>
    <xf numFmtId="0" fontId="0" fillId="3" borderId="25" xfId="0" applyFill="1" applyBorder="1" applyAlignment="1">
      <alignment horizontal="center" vertical="center"/>
    </xf>
    <xf numFmtId="0" fontId="0" fillId="11" borderId="8" xfId="0" applyFill="1" applyBorder="1"/>
    <xf numFmtId="0" fontId="0" fillId="11" borderId="10" xfId="0" applyFill="1" applyBorder="1"/>
    <xf numFmtId="164" fontId="26" fillId="0" borderId="12" xfId="0" applyNumberFormat="1" applyFont="1" applyBorder="1" applyAlignment="1">
      <alignment horizontal="center" vertical="center"/>
    </xf>
    <xf numFmtId="164" fontId="4" fillId="0" borderId="29" xfId="0" applyNumberFormat="1" applyFont="1" applyBorder="1" applyAlignment="1">
      <alignment horizontal="center" vertical="center"/>
    </xf>
    <xf numFmtId="164" fontId="4" fillId="0" borderId="30" xfId="0" applyNumberFormat="1" applyFont="1" applyBorder="1" applyAlignment="1">
      <alignment horizontal="center" vertical="center"/>
    </xf>
    <xf numFmtId="164" fontId="26" fillId="0" borderId="31" xfId="0" applyNumberFormat="1" applyFont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left" vertical="center"/>
    </xf>
    <xf numFmtId="0" fontId="9" fillId="4" borderId="19" xfId="0" applyFont="1" applyFill="1" applyBorder="1" applyAlignment="1">
      <alignment horizontal="left" vertical="center"/>
    </xf>
    <xf numFmtId="0" fontId="37" fillId="0" borderId="0" xfId="0" applyFont="1" applyAlignment="1">
      <alignment vertical="center"/>
    </xf>
    <xf numFmtId="0" fontId="0" fillId="0" borderId="0" xfId="0" applyAlignment="1">
      <alignment vertical="center" textRotation="90"/>
    </xf>
    <xf numFmtId="0" fontId="5" fillId="0" borderId="0" xfId="0" applyFont="1"/>
    <xf numFmtId="0" fontId="2" fillId="0" borderId="0" xfId="0" applyFont="1"/>
    <xf numFmtId="0" fontId="5" fillId="0" borderId="0" xfId="0" applyFont="1" applyAlignment="1">
      <alignment horizontal="right"/>
    </xf>
    <xf numFmtId="0" fontId="38" fillId="0" borderId="0" xfId="0" applyFont="1" applyAlignment="1">
      <alignment horizontal="left"/>
    </xf>
    <xf numFmtId="0" fontId="5" fillId="5" borderId="19" xfId="0" applyFont="1" applyFill="1" applyBorder="1"/>
    <xf numFmtId="0" fontId="2" fillId="5" borderId="9" xfId="0" applyFont="1" applyFill="1" applyBorder="1"/>
    <xf numFmtId="0" fontId="2" fillId="0" borderId="2" xfId="0" applyFont="1" applyBorder="1"/>
    <xf numFmtId="0" fontId="38" fillId="5" borderId="19" xfId="0" applyFont="1" applyFill="1" applyBorder="1" applyAlignment="1">
      <alignment horizontal="left"/>
    </xf>
    <xf numFmtId="0" fontId="0" fillId="4" borderId="19" xfId="0" applyFill="1" applyBorder="1" applyAlignment="1">
      <alignment horizontal="left"/>
    </xf>
    <xf numFmtId="0" fontId="0" fillId="2" borderId="2" xfId="0" applyFill="1" applyBorder="1"/>
    <xf numFmtId="0" fontId="0" fillId="12" borderId="9" xfId="0" applyFill="1" applyBorder="1"/>
    <xf numFmtId="0" fontId="0" fillId="12" borderId="10" xfId="0" applyFill="1" applyBorder="1"/>
    <xf numFmtId="0" fontId="0" fillId="3" borderId="18" xfId="0" applyFill="1" applyBorder="1"/>
    <xf numFmtId="2" fontId="10" fillId="0" borderId="9" xfId="0" applyNumberFormat="1" applyFont="1" applyBorder="1"/>
    <xf numFmtId="2" fontId="10" fillId="0" borderId="9" xfId="0" applyNumberFormat="1" applyFont="1" applyBorder="1" applyAlignment="1">
      <alignment horizontal="center" vertical="center"/>
    </xf>
    <xf numFmtId="0" fontId="10" fillId="11" borderId="15" xfId="0" applyFont="1" applyFill="1" applyBorder="1" applyAlignment="1" applyProtection="1">
      <alignment horizontal="center" vertical="center"/>
      <protection locked="0"/>
    </xf>
    <xf numFmtId="2" fontId="2" fillId="4" borderId="0" xfId="0" applyNumberFormat="1" applyFont="1" applyFill="1" applyAlignment="1">
      <alignment horizontal="left" vertical="top"/>
    </xf>
    <xf numFmtId="0" fontId="2" fillId="6" borderId="7" xfId="0" applyFont="1" applyFill="1" applyBorder="1" applyAlignment="1" applyProtection="1">
      <alignment horizontal="center" vertical="top"/>
      <protection locked="0"/>
    </xf>
    <xf numFmtId="0" fontId="2" fillId="6" borderId="0" xfId="0" applyFont="1" applyFill="1" applyAlignment="1" applyProtection="1">
      <alignment horizontal="center" vertical="top"/>
      <protection locked="0"/>
    </xf>
    <xf numFmtId="0" fontId="1" fillId="0" borderId="19" xfId="0" applyFont="1" applyBorder="1" applyAlignment="1">
      <alignment horizontal="center" vertical="center"/>
    </xf>
    <xf numFmtId="0" fontId="2" fillId="0" borderId="2" xfId="0" applyFont="1" applyBorder="1" applyAlignment="1" applyProtection="1">
      <alignment horizontal="center" vertical="center"/>
      <protection locked="0"/>
    </xf>
    <xf numFmtId="0" fontId="9" fillId="11" borderId="0" xfId="0" applyFont="1" applyFill="1" applyAlignment="1" applyProtection="1">
      <alignment horizontal="left" vertical="center"/>
      <protection locked="0"/>
    </xf>
    <xf numFmtId="0" fontId="10" fillId="11" borderId="0" xfId="0" applyFont="1" applyFill="1" applyAlignment="1" applyProtection="1">
      <alignment vertical="center"/>
      <protection locked="0"/>
    </xf>
    <xf numFmtId="2" fontId="10" fillId="0" borderId="0" xfId="0" applyNumberFormat="1" applyFont="1"/>
    <xf numFmtId="0" fontId="24" fillId="0" borderId="0" xfId="0" applyFont="1"/>
    <xf numFmtId="2" fontId="39" fillId="0" borderId="9" xfId="0" applyNumberFormat="1" applyFont="1" applyBorder="1" applyAlignment="1">
      <alignment horizontal="center" vertical="center"/>
    </xf>
    <xf numFmtId="2" fontId="39" fillId="0" borderId="0" xfId="0" applyNumberFormat="1" applyFont="1" applyAlignment="1">
      <alignment horizontal="right"/>
    </xf>
    <xf numFmtId="0" fontId="11" fillId="4" borderId="0" xfId="0" applyFont="1" applyFill="1" applyAlignment="1">
      <alignment horizontal="left" vertical="top"/>
    </xf>
    <xf numFmtId="0" fontId="11" fillId="4" borderId="9" xfId="0" applyFont="1" applyFill="1" applyBorder="1" applyAlignment="1">
      <alignment horizontal="left" vertical="top"/>
    </xf>
    <xf numFmtId="0" fontId="40" fillId="0" borderId="8" xfId="0" applyFont="1" applyBorder="1"/>
    <xf numFmtId="0" fontId="40" fillId="11" borderId="8" xfId="0" applyFont="1" applyFill="1" applyBorder="1"/>
    <xf numFmtId="0" fontId="40" fillId="0" borderId="0" xfId="0" applyFont="1"/>
    <xf numFmtId="0" fontId="40" fillId="11" borderId="0" xfId="0" applyFont="1" applyFill="1"/>
    <xf numFmtId="0" fontId="40" fillId="0" borderId="10" xfId="0" applyFont="1" applyBorder="1"/>
    <xf numFmtId="0" fontId="0" fillId="0" borderId="15" xfId="0" applyBorder="1"/>
    <xf numFmtId="0" fontId="0" fillId="13" borderId="15" xfId="0" applyFill="1" applyBorder="1"/>
    <xf numFmtId="0" fontId="0" fillId="14" borderId="1" xfId="0" applyFill="1" applyBorder="1"/>
    <xf numFmtId="0" fontId="0" fillId="14" borderId="3" xfId="0" applyFill="1" applyBorder="1"/>
    <xf numFmtId="0" fontId="0" fillId="14" borderId="2" xfId="0" applyFill="1" applyBorder="1"/>
    <xf numFmtId="0" fontId="0" fillId="0" borderId="9" xfId="0" applyBorder="1" applyAlignment="1">
      <alignment horizontal="left"/>
    </xf>
    <xf numFmtId="0" fontId="24" fillId="0" borderId="0" xfId="0" applyFont="1" applyAlignment="1">
      <alignment horizontal="right"/>
    </xf>
    <xf numFmtId="0" fontId="40" fillId="0" borderId="0" xfId="0" applyFont="1" applyAlignment="1">
      <alignment horizontal="right"/>
    </xf>
    <xf numFmtId="0" fontId="0" fillId="14" borderId="0" xfId="0" applyFill="1" applyAlignment="1">
      <alignment horizontal="right"/>
    </xf>
    <xf numFmtId="0" fontId="21" fillId="0" borderId="0" xfId="0" applyFont="1" applyAlignment="1">
      <alignment horizontal="right"/>
    </xf>
    <xf numFmtId="0" fontId="2" fillId="6" borderId="7" xfId="0" applyFont="1" applyFill="1" applyBorder="1" applyAlignment="1" applyProtection="1">
      <alignment horizontal="center" vertical="center"/>
      <protection locked="0"/>
    </xf>
    <xf numFmtId="0" fontId="10" fillId="4" borderId="9" xfId="0" applyFont="1" applyFill="1" applyBorder="1" applyAlignment="1" applyProtection="1">
      <alignment horizontal="left" vertical="top"/>
      <protection locked="0"/>
    </xf>
    <xf numFmtId="0" fontId="0" fillId="11" borderId="0" xfId="0" applyFill="1"/>
    <xf numFmtId="0" fontId="9" fillId="4" borderId="0" xfId="0" applyFont="1" applyFill="1"/>
    <xf numFmtId="0" fontId="2" fillId="4" borderId="0" xfId="0" applyFont="1" applyFill="1"/>
    <xf numFmtId="0" fontId="25" fillId="11" borderId="4" xfId="1" applyFill="1" applyBorder="1" applyAlignment="1" applyProtection="1">
      <alignment horizontal="left"/>
    </xf>
    <xf numFmtId="0" fontId="2" fillId="11" borderId="5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vertical="center"/>
    </xf>
    <xf numFmtId="0" fontId="0" fillId="11" borderId="5" xfId="0" applyFill="1" applyBorder="1"/>
    <xf numFmtId="2" fontId="2" fillId="4" borderId="0" xfId="0" applyNumberFormat="1" applyFont="1" applyFill="1" applyAlignment="1">
      <alignment horizontal="left" vertical="center"/>
    </xf>
    <xf numFmtId="0" fontId="11" fillId="4" borderId="0" xfId="0" applyFont="1" applyFill="1" applyAlignment="1">
      <alignment horizontal="left" vertical="center"/>
    </xf>
    <xf numFmtId="0" fontId="2" fillId="6" borderId="0" xfId="0" applyFont="1" applyFill="1" applyAlignment="1" applyProtection="1">
      <alignment horizontal="center" vertical="center"/>
      <protection locked="0"/>
    </xf>
    <xf numFmtId="0" fontId="2" fillId="4" borderId="0" xfId="0" applyFont="1" applyFill="1" applyAlignment="1">
      <alignment horizontal="right" vertical="center"/>
    </xf>
    <xf numFmtId="0" fontId="2" fillId="4" borderId="0" xfId="0" applyFont="1" applyFill="1" applyAlignment="1">
      <alignment horizontal="right" vertical="top"/>
    </xf>
    <xf numFmtId="0" fontId="2" fillId="4" borderId="9" xfId="0" applyFont="1" applyFill="1" applyBorder="1" applyAlignment="1">
      <alignment horizontal="right" vertical="center"/>
    </xf>
    <xf numFmtId="0" fontId="2" fillId="6" borderId="4" xfId="0" applyFont="1" applyFill="1" applyBorder="1" applyAlignment="1" applyProtection="1">
      <alignment horizontal="center" vertical="top"/>
      <protection locked="0"/>
    </xf>
    <xf numFmtId="0" fontId="2" fillId="6" borderId="5" xfId="0" applyFont="1" applyFill="1" applyBorder="1" applyAlignment="1" applyProtection="1">
      <alignment horizontal="center" vertical="top"/>
      <protection locked="0"/>
    </xf>
    <xf numFmtId="0" fontId="2" fillId="6" borderId="19" xfId="0" applyFont="1" applyFill="1" applyBorder="1" applyAlignment="1" applyProtection="1">
      <alignment horizontal="center" vertical="center"/>
      <protection locked="0"/>
    </xf>
    <xf numFmtId="0" fontId="2" fillId="6" borderId="9" xfId="0" applyFont="1" applyFill="1" applyBorder="1" applyAlignment="1" applyProtection="1">
      <alignment horizontal="center" vertical="center"/>
      <protection locked="0"/>
    </xf>
    <xf numFmtId="2" fontId="10" fillId="11" borderId="15" xfId="0" applyNumberFormat="1" applyFont="1" applyFill="1" applyBorder="1" applyAlignment="1" applyProtection="1">
      <alignment horizontal="center" vertical="center"/>
      <protection locked="0"/>
    </xf>
    <xf numFmtId="0" fontId="2" fillId="0" borderId="26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3" fillId="4" borderId="4" xfId="0" applyFont="1" applyFill="1" applyBorder="1" applyAlignment="1" applyProtection="1">
      <alignment horizontal="center" vertical="center" wrapText="1"/>
      <protection locked="0"/>
    </xf>
    <xf numFmtId="0" fontId="23" fillId="4" borderId="5" xfId="0" applyFont="1" applyFill="1" applyBorder="1" applyAlignment="1" applyProtection="1">
      <alignment horizontal="center" vertical="center" wrapText="1"/>
      <protection locked="0"/>
    </xf>
    <xf numFmtId="0" fontId="23" fillId="4" borderId="6" xfId="0" applyFont="1" applyFill="1" applyBorder="1" applyAlignment="1" applyProtection="1">
      <alignment horizontal="center" vertical="center" wrapText="1"/>
      <protection locked="0"/>
    </xf>
    <xf numFmtId="0" fontId="23" fillId="4" borderId="7" xfId="0" applyFont="1" applyFill="1" applyBorder="1" applyAlignment="1" applyProtection="1">
      <alignment horizontal="center" vertical="center" wrapText="1"/>
      <protection locked="0"/>
    </xf>
    <xf numFmtId="0" fontId="23" fillId="4" borderId="0" xfId="0" applyFont="1" applyFill="1" applyAlignment="1" applyProtection="1">
      <alignment horizontal="center" vertical="center" wrapText="1"/>
      <protection locked="0"/>
    </xf>
    <xf numFmtId="0" fontId="23" fillId="4" borderId="8" xfId="0" applyFont="1" applyFill="1" applyBorder="1" applyAlignment="1" applyProtection="1">
      <alignment horizontal="center" vertical="center" wrapText="1"/>
      <protection locked="0"/>
    </xf>
    <xf numFmtId="0" fontId="23" fillId="4" borderId="19" xfId="0" applyFont="1" applyFill="1" applyBorder="1" applyAlignment="1" applyProtection="1">
      <alignment horizontal="center" vertical="center" wrapText="1"/>
      <protection locked="0"/>
    </xf>
    <xf numFmtId="0" fontId="23" fillId="4" borderId="9" xfId="0" applyFont="1" applyFill="1" applyBorder="1" applyAlignment="1" applyProtection="1">
      <alignment horizontal="center" vertical="center" wrapText="1"/>
      <protection locked="0"/>
    </xf>
    <xf numFmtId="0" fontId="23" fillId="4" borderId="10" xfId="0" applyFont="1" applyFill="1" applyBorder="1" applyAlignment="1" applyProtection="1">
      <alignment horizontal="center" vertical="center" wrapText="1"/>
      <protection locked="0"/>
    </xf>
    <xf numFmtId="0" fontId="2" fillId="7" borderId="19" xfId="0" applyFont="1" applyFill="1" applyBorder="1" applyAlignment="1">
      <alignment horizontal="left"/>
    </xf>
    <xf numFmtId="0" fontId="2" fillId="7" borderId="9" xfId="0" applyFont="1" applyFill="1" applyBorder="1" applyAlignment="1">
      <alignment horizontal="left"/>
    </xf>
    <xf numFmtId="0" fontId="41" fillId="11" borderId="8" xfId="0" applyFont="1" applyFill="1" applyBorder="1" applyAlignment="1">
      <alignment horizontal="left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7" fillId="0" borderId="7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9" fillId="11" borderId="0" xfId="0" applyFont="1" applyFill="1" applyAlignment="1">
      <alignment horizontal="center" vertical="center"/>
    </xf>
    <xf numFmtId="0" fontId="9" fillId="11" borderId="7" xfId="0" applyFont="1" applyFill="1" applyBorder="1" applyAlignment="1">
      <alignment horizontal="left" vertical="center"/>
    </xf>
    <xf numFmtId="0" fontId="9" fillId="11" borderId="0" xfId="0" applyFont="1" applyFill="1" applyAlignment="1">
      <alignment horizontal="left" vertical="center"/>
    </xf>
    <xf numFmtId="0" fontId="9" fillId="11" borderId="0" xfId="0" applyFont="1" applyFill="1" applyAlignment="1" applyProtection="1">
      <alignment horizontal="left" vertical="center"/>
      <protection locked="0"/>
    </xf>
    <xf numFmtId="0" fontId="12" fillId="6" borderId="5" xfId="0" applyFont="1" applyFill="1" applyBorder="1" applyAlignment="1">
      <alignment horizontal="center" vertical="center" wrapText="1"/>
    </xf>
    <xf numFmtId="0" fontId="12" fillId="6" borderId="6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2" fillId="6" borderId="8" xfId="0" applyFont="1" applyFill="1" applyBorder="1" applyAlignment="1">
      <alignment horizontal="center" vertical="center" wrapText="1"/>
    </xf>
    <xf numFmtId="0" fontId="10" fillId="6" borderId="9" xfId="0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textRotation="90"/>
    </xf>
    <xf numFmtId="0" fontId="11" fillId="6" borderId="3" xfId="0" applyFont="1" applyFill="1" applyBorder="1" applyAlignment="1">
      <alignment horizontal="center" vertical="center" textRotation="90"/>
    </xf>
    <xf numFmtId="0" fontId="11" fillId="6" borderId="2" xfId="0" applyFont="1" applyFill="1" applyBorder="1" applyAlignment="1">
      <alignment horizontal="center" vertical="center" textRotation="90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10" fillId="4" borderId="0" xfId="0" applyFont="1" applyFill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2" fontId="39" fillId="11" borderId="0" xfId="0" applyNumberFormat="1" applyFont="1" applyFill="1" applyAlignment="1">
      <alignment horizontal="center" vertical="center"/>
    </xf>
    <xf numFmtId="0" fontId="18" fillId="0" borderId="19" xfId="0" applyFont="1" applyBorder="1" applyAlignment="1">
      <alignment horizontal="left" vertical="center" wrapText="1"/>
    </xf>
    <xf numFmtId="0" fontId="17" fillId="0" borderId="9" xfId="0" applyFont="1" applyBorder="1" applyAlignment="1">
      <alignment horizontal="left" vertical="center" wrapText="1"/>
    </xf>
    <xf numFmtId="14" fontId="10" fillId="0" borderId="5" xfId="0" applyNumberFormat="1" applyFont="1" applyBorder="1" applyAlignment="1">
      <alignment horizontal="center" vertical="center"/>
    </xf>
    <xf numFmtId="14" fontId="10" fillId="0" borderId="9" xfId="0" applyNumberFormat="1" applyFont="1" applyBorder="1" applyAlignment="1">
      <alignment horizontal="center" vertical="center"/>
    </xf>
    <xf numFmtId="2" fontId="10" fillId="11" borderId="0" xfId="0" applyNumberFormat="1" applyFont="1" applyFill="1" applyAlignment="1">
      <alignment horizontal="center" vertical="center"/>
    </xf>
    <xf numFmtId="0" fontId="24" fillId="0" borderId="7" xfId="0" applyFont="1" applyBorder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/>
    </xf>
    <xf numFmtId="0" fontId="8" fillId="0" borderId="19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49" fontId="10" fillId="0" borderId="5" xfId="0" applyNumberFormat="1" applyFont="1" applyBorder="1" applyAlignment="1">
      <alignment horizontal="center" vertical="center"/>
    </xf>
    <xf numFmtId="49" fontId="10" fillId="0" borderId="9" xfId="0" applyNumberFormat="1" applyFont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10" fillId="7" borderId="1" xfId="0" applyFont="1" applyFill="1" applyBorder="1" applyAlignment="1">
      <alignment horizontal="center" vertical="center" textRotation="90" wrapText="1"/>
    </xf>
    <xf numFmtId="0" fontId="0" fillId="0" borderId="3" xfId="0" applyBorder="1"/>
    <xf numFmtId="0" fontId="13" fillId="0" borderId="7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6" fillId="11" borderId="7" xfId="0" applyFont="1" applyFill="1" applyBorder="1" applyAlignment="1">
      <alignment horizontal="left" vertical="center" wrapText="1"/>
    </xf>
    <xf numFmtId="0" fontId="7" fillId="11" borderId="0" xfId="0" applyFont="1" applyFill="1" applyAlignment="1">
      <alignment horizontal="left" vertical="center" wrapText="1"/>
    </xf>
    <xf numFmtId="0" fontId="7" fillId="11" borderId="7" xfId="0" applyFont="1" applyFill="1" applyBorder="1" applyAlignment="1">
      <alignment horizontal="left" vertical="center" wrapText="1"/>
    </xf>
    <xf numFmtId="14" fontId="6" fillId="4" borderId="0" xfId="0" applyNumberFormat="1" applyFont="1" applyFill="1" applyAlignment="1">
      <alignment horizontal="center" vertical="center"/>
    </xf>
    <xf numFmtId="14" fontId="6" fillId="4" borderId="9" xfId="0" applyNumberFormat="1" applyFont="1" applyFill="1" applyBorder="1" applyAlignment="1">
      <alignment horizontal="center" vertical="center"/>
    </xf>
    <xf numFmtId="0" fontId="9" fillId="11" borderId="19" xfId="0" applyFont="1" applyFill="1" applyBorder="1" applyAlignment="1">
      <alignment horizontal="left"/>
    </xf>
    <xf numFmtId="0" fontId="9" fillId="11" borderId="9" xfId="0" applyFont="1" applyFill="1" applyBorder="1" applyAlignment="1">
      <alignment horizontal="left"/>
    </xf>
    <xf numFmtId="49" fontId="9" fillId="11" borderId="9" xfId="0" applyNumberFormat="1" applyFont="1" applyFill="1" applyBorder="1" applyAlignment="1" applyProtection="1">
      <alignment horizontal="left"/>
      <protection locked="0"/>
    </xf>
    <xf numFmtId="0" fontId="2" fillId="6" borderId="16" xfId="0" applyFont="1" applyFill="1" applyBorder="1" applyAlignment="1">
      <alignment horizontal="center"/>
    </xf>
    <xf numFmtId="0" fontId="2" fillId="6" borderId="18" xfId="0" applyFont="1" applyFill="1" applyBorder="1" applyAlignment="1">
      <alignment horizontal="center"/>
    </xf>
    <xf numFmtId="0" fontId="9" fillId="0" borderId="4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3" borderId="6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2" fillId="7" borderId="7" xfId="0" applyFont="1" applyFill="1" applyBorder="1" applyAlignment="1">
      <alignment horizontal="left"/>
    </xf>
    <xf numFmtId="0" fontId="2" fillId="7" borderId="0" xfId="0" applyFont="1" applyFill="1" applyAlignment="1">
      <alignment horizontal="left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33" fillId="9" borderId="0" xfId="0" applyFont="1" applyFill="1" applyAlignment="1">
      <alignment horizontal="left" wrapText="1"/>
    </xf>
    <xf numFmtId="0" fontId="27" fillId="9" borderId="0" xfId="0" applyFont="1" applyFill="1" applyAlignment="1">
      <alignment horizontal="center"/>
    </xf>
    <xf numFmtId="0" fontId="30" fillId="9" borderId="0" xfId="0" applyFont="1" applyFill="1" applyAlignment="1">
      <alignment horizontal="center"/>
    </xf>
    <xf numFmtId="49" fontId="27" fillId="9" borderId="0" xfId="0" applyNumberFormat="1" applyFont="1" applyFill="1" applyAlignment="1">
      <alignment horizontal="left" vertical="center" wrapText="1"/>
    </xf>
    <xf numFmtId="0" fontId="0" fillId="10" borderId="3" xfId="0" applyFill="1" applyBorder="1" applyAlignment="1">
      <alignment horizontal="center" vertical="center" textRotation="90"/>
    </xf>
    <xf numFmtId="0" fontId="20" fillId="0" borderId="0" xfId="0" applyFont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5" borderId="4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0" fontId="0" fillId="10" borderId="2" xfId="0" applyFill="1" applyBorder="1" applyAlignment="1">
      <alignment horizontal="center" vertical="center" textRotation="90"/>
    </xf>
    <xf numFmtId="0" fontId="2" fillId="5" borderId="16" xfId="0" applyFont="1" applyFill="1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325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rPr lang="ru-RU"/>
              <a:t>Ток 2-х фазного КЗ до КЛ:</a:t>
            </a:r>
          </a:p>
        </c:rich>
      </c:tx>
      <c:layout>
        <c:manualLayout>
          <c:xMode val="edge"/>
          <c:yMode val="edge"/>
          <c:x val="0.29536282628580424"/>
          <c:y val="2.587322268169715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1733870967741937E-2"/>
          <c:y val="9.6071134917088533E-2"/>
          <c:w val="0.8911290322580645"/>
          <c:h val="0.70233684381650963"/>
        </c:manualLayout>
      </c:layout>
      <c:scatterChart>
        <c:scatterStyle val="smoothMarker"/>
        <c:varyColors val="0"/>
        <c:ser>
          <c:idx val="4"/>
          <c:order val="0"/>
          <c:tx>
            <c:v>Реал.Н</c:v>
          </c:tx>
          <c:spPr>
            <a:ln w="28575">
              <a:solidFill>
                <a:srgbClr val="C0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 w="28575">
                <a:solidFill>
                  <a:srgbClr val="C00000"/>
                </a:solidFill>
                <a:prstDash val="solid"/>
              </a:ln>
            </c:spPr>
          </c:marker>
          <c:xVal>
            <c:numRef>
              <c:f>'1'!$B$8:$B$18</c:f>
              <c:numCache>
                <c:formatCode>General</c:formatCode>
                <c:ptCount val="11"/>
                <c:pt idx="0">
                  <c:v>0</c:v>
                </c:pt>
                <c:pt idx="1">
                  <c:v>0.8</c:v>
                </c:pt>
                <c:pt idx="2">
                  <c:v>1.6</c:v>
                </c:pt>
                <c:pt idx="3">
                  <c:v>2.4</c:v>
                </c:pt>
                <c:pt idx="4">
                  <c:v>3.2</c:v>
                </c:pt>
                <c:pt idx="5">
                  <c:v>4</c:v>
                </c:pt>
                <c:pt idx="6">
                  <c:v>4.8</c:v>
                </c:pt>
                <c:pt idx="7">
                  <c:v>5.6</c:v>
                </c:pt>
                <c:pt idx="8">
                  <c:v>6.4</c:v>
                </c:pt>
                <c:pt idx="9">
                  <c:v>7.2</c:v>
                </c:pt>
                <c:pt idx="10">
                  <c:v>8</c:v>
                </c:pt>
              </c:numCache>
            </c:numRef>
          </c:xVal>
          <c:yVal>
            <c:numRef>
              <c:f>'1'!$B$20:$B$30</c:f>
              <c:numCache>
                <c:formatCode>General</c:formatCode>
                <c:ptCount val="11"/>
                <c:pt idx="0">
                  <c:v>5478.2608695652179</c:v>
                </c:pt>
                <c:pt idx="1">
                  <c:v>891.95577358326875</c:v>
                </c:pt>
                <c:pt idx="2">
                  <c:v>454.86457853061512</c:v>
                </c:pt>
                <c:pt idx="3">
                  <c:v>304.82500824396641</c:v>
                </c:pt>
                <c:pt idx="4">
                  <c:v>229.15214187618625</c:v>
                </c:pt>
                <c:pt idx="5">
                  <c:v>183.56199987721141</c:v>
                </c:pt>
                <c:pt idx="6">
                  <c:v>153.09628526363929</c:v>
                </c:pt>
                <c:pt idx="7">
                  <c:v>131.30137977998902</c:v>
                </c:pt>
                <c:pt idx="8">
                  <c:v>114.93744856736167</c:v>
                </c:pt>
                <c:pt idx="9">
                  <c:v>102.19972160433029</c:v>
                </c:pt>
                <c:pt idx="10">
                  <c:v>92.003242367296878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6E-4017-8FE8-70229FFF8F32}"/>
            </c:ext>
          </c:extLst>
        </c:ser>
        <c:ser>
          <c:idx val="0"/>
          <c:order val="1"/>
          <c:tx>
            <c:v>С коэф.чувств.Н</c:v>
          </c:tx>
          <c:spPr>
            <a:ln w="28575">
              <a:solidFill>
                <a:srgbClr val="C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FFCC"/>
              </a:solidFill>
              <a:ln w="28575">
                <a:solidFill>
                  <a:srgbClr val="C00000"/>
                </a:solidFill>
                <a:prstDash val="solid"/>
              </a:ln>
            </c:spPr>
          </c:marker>
          <c:xVal>
            <c:numRef>
              <c:f>'1'!$B$8:$B$18</c:f>
              <c:numCache>
                <c:formatCode>General</c:formatCode>
                <c:ptCount val="11"/>
                <c:pt idx="0">
                  <c:v>0</c:v>
                </c:pt>
                <c:pt idx="1">
                  <c:v>0.8</c:v>
                </c:pt>
                <c:pt idx="2">
                  <c:v>1.6</c:v>
                </c:pt>
                <c:pt idx="3">
                  <c:v>2.4</c:v>
                </c:pt>
                <c:pt idx="4">
                  <c:v>3.2</c:v>
                </c:pt>
                <c:pt idx="5">
                  <c:v>4</c:v>
                </c:pt>
                <c:pt idx="6">
                  <c:v>4.8</c:v>
                </c:pt>
                <c:pt idx="7">
                  <c:v>5.6</c:v>
                </c:pt>
                <c:pt idx="8">
                  <c:v>6.4</c:v>
                </c:pt>
                <c:pt idx="9">
                  <c:v>7.2</c:v>
                </c:pt>
                <c:pt idx="10">
                  <c:v>8</c:v>
                </c:pt>
              </c:numCache>
            </c:numRef>
          </c:xVal>
          <c:yVal>
            <c:numRef>
              <c:f>'1'!$D$20:$D$30</c:f>
              <c:numCache>
                <c:formatCode>General</c:formatCode>
                <c:ptCount val="11"/>
                <c:pt idx="0">
                  <c:v>3652.1739130434785</c:v>
                </c:pt>
                <c:pt idx="1">
                  <c:v>594.63718238884587</c:v>
                </c:pt>
                <c:pt idx="2">
                  <c:v>303.24305235374339</c:v>
                </c:pt>
                <c:pt idx="3">
                  <c:v>203.21667216264427</c:v>
                </c:pt>
                <c:pt idx="4">
                  <c:v>152.76809458412416</c:v>
                </c:pt>
                <c:pt idx="5">
                  <c:v>122.3746665848076</c:v>
                </c:pt>
                <c:pt idx="6">
                  <c:v>102.06419017575952</c:v>
                </c:pt>
                <c:pt idx="7">
                  <c:v>87.534253186659342</c:v>
                </c:pt>
                <c:pt idx="8">
                  <c:v>76.624965711574447</c:v>
                </c:pt>
                <c:pt idx="9">
                  <c:v>68.133147736220195</c:v>
                </c:pt>
                <c:pt idx="10">
                  <c:v>61.335494911531249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46E-4017-8FE8-70229FFF8F32}"/>
            </c:ext>
          </c:extLst>
        </c:ser>
        <c:ser>
          <c:idx val="5"/>
          <c:order val="2"/>
          <c:tx>
            <c:v>Реал.А</c:v>
          </c:tx>
          <c:spPr>
            <a:ln w="28575">
              <a:solidFill>
                <a:schemeClr val="accent5">
                  <a:lumMod val="50000"/>
                </a:schemeClr>
              </a:solidFill>
              <a:prstDash val="lgDash"/>
            </a:ln>
          </c:spPr>
          <c:marker>
            <c:spPr>
              <a:solidFill>
                <a:schemeClr val="accent5">
                  <a:lumMod val="50000"/>
                </a:schemeClr>
              </a:solidFill>
              <a:ln w="28575">
                <a:solidFill>
                  <a:schemeClr val="accent5">
                    <a:lumMod val="50000"/>
                  </a:schemeClr>
                </a:solidFill>
                <a:prstDash val="lgDash"/>
              </a:ln>
            </c:spPr>
          </c:marker>
          <c:xVal>
            <c:numRef>
              <c:f>'1'!$B$8:$B$18</c:f>
              <c:numCache>
                <c:formatCode>General</c:formatCode>
                <c:ptCount val="11"/>
                <c:pt idx="0">
                  <c:v>0</c:v>
                </c:pt>
                <c:pt idx="1">
                  <c:v>0.8</c:v>
                </c:pt>
                <c:pt idx="2">
                  <c:v>1.6</c:v>
                </c:pt>
                <c:pt idx="3">
                  <c:v>2.4</c:v>
                </c:pt>
                <c:pt idx="4">
                  <c:v>3.2</c:v>
                </c:pt>
                <c:pt idx="5">
                  <c:v>4</c:v>
                </c:pt>
                <c:pt idx="6">
                  <c:v>4.8</c:v>
                </c:pt>
                <c:pt idx="7">
                  <c:v>5.6</c:v>
                </c:pt>
                <c:pt idx="8">
                  <c:v>6.4</c:v>
                </c:pt>
                <c:pt idx="9">
                  <c:v>7.2</c:v>
                </c:pt>
                <c:pt idx="10">
                  <c:v>8</c:v>
                </c:pt>
              </c:numCache>
            </c:numRef>
          </c:xVal>
          <c:yVal>
            <c:numRef>
              <c:f>'1'!$P$20:$P$30</c:f>
              <c:numCache>
                <c:formatCode>General</c:formatCode>
                <c:ptCount val="1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46E-4017-8FE8-70229FFF8F32}"/>
            </c:ext>
          </c:extLst>
        </c:ser>
        <c:ser>
          <c:idx val="6"/>
          <c:order val="3"/>
          <c:tx>
            <c:v>С коэф.чувств.А</c:v>
          </c:tx>
          <c:spPr>
            <a:ln w="28575">
              <a:solidFill>
                <a:schemeClr val="accent5">
                  <a:lumMod val="50000"/>
                </a:schemeClr>
              </a:solidFill>
              <a:prstDash val="lgDash"/>
            </a:ln>
          </c:spPr>
          <c:marker>
            <c:spPr>
              <a:ln w="28575">
                <a:solidFill>
                  <a:schemeClr val="accent5">
                    <a:lumMod val="50000"/>
                  </a:schemeClr>
                </a:solidFill>
                <a:prstDash val="lgDash"/>
              </a:ln>
            </c:spPr>
          </c:marker>
          <c:xVal>
            <c:numRef>
              <c:f>'1'!$B$8:$B$18</c:f>
              <c:numCache>
                <c:formatCode>General</c:formatCode>
                <c:ptCount val="11"/>
                <c:pt idx="0">
                  <c:v>0</c:v>
                </c:pt>
                <c:pt idx="1">
                  <c:v>0.8</c:v>
                </c:pt>
                <c:pt idx="2">
                  <c:v>1.6</c:v>
                </c:pt>
                <c:pt idx="3">
                  <c:v>2.4</c:v>
                </c:pt>
                <c:pt idx="4">
                  <c:v>3.2</c:v>
                </c:pt>
                <c:pt idx="5">
                  <c:v>4</c:v>
                </c:pt>
                <c:pt idx="6">
                  <c:v>4.8</c:v>
                </c:pt>
                <c:pt idx="7">
                  <c:v>5.6</c:v>
                </c:pt>
                <c:pt idx="8">
                  <c:v>6.4</c:v>
                </c:pt>
                <c:pt idx="9">
                  <c:v>7.2</c:v>
                </c:pt>
                <c:pt idx="10">
                  <c:v>8</c:v>
                </c:pt>
              </c:numCache>
            </c:numRef>
          </c:xVal>
          <c:yVal>
            <c:numRef>
              <c:f>'1'!$R$20:$R$30</c:f>
              <c:numCache>
                <c:formatCode>General</c:formatCode>
                <c:ptCount val="1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46E-4017-8FE8-70229FFF8F32}"/>
            </c:ext>
          </c:extLst>
        </c:ser>
        <c:ser>
          <c:idx val="1"/>
          <c:order val="4"/>
          <c:tx>
            <c:v>МТО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'1'!$B$8:$B$18</c:f>
              <c:numCache>
                <c:formatCode>General</c:formatCode>
                <c:ptCount val="11"/>
                <c:pt idx="0">
                  <c:v>0</c:v>
                </c:pt>
                <c:pt idx="1">
                  <c:v>0.8</c:v>
                </c:pt>
                <c:pt idx="2">
                  <c:v>1.6</c:v>
                </c:pt>
                <c:pt idx="3">
                  <c:v>2.4</c:v>
                </c:pt>
                <c:pt idx="4">
                  <c:v>3.2</c:v>
                </c:pt>
                <c:pt idx="5">
                  <c:v>4</c:v>
                </c:pt>
                <c:pt idx="6">
                  <c:v>4.8</c:v>
                </c:pt>
                <c:pt idx="7">
                  <c:v>5.6</c:v>
                </c:pt>
                <c:pt idx="8">
                  <c:v>6.4</c:v>
                </c:pt>
                <c:pt idx="9">
                  <c:v>7.2</c:v>
                </c:pt>
                <c:pt idx="10">
                  <c:v>8</c:v>
                </c:pt>
              </c:numCache>
            </c:numRef>
          </c:xVal>
          <c:yVal>
            <c:numRef>
              <c:f>'1'!$B$45:$B$55</c:f>
              <c:numCache>
                <c:formatCode>General</c:formatCode>
                <c:ptCount val="11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46E-4017-8FE8-70229FFF8F32}"/>
            </c:ext>
          </c:extLst>
        </c:ser>
        <c:ser>
          <c:idx val="3"/>
          <c:order val="5"/>
          <c:tx>
            <c:v>МТЗ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'1'!$B$8:$B$18</c:f>
              <c:numCache>
                <c:formatCode>General</c:formatCode>
                <c:ptCount val="11"/>
                <c:pt idx="0">
                  <c:v>0</c:v>
                </c:pt>
                <c:pt idx="1">
                  <c:v>0.8</c:v>
                </c:pt>
                <c:pt idx="2">
                  <c:v>1.6</c:v>
                </c:pt>
                <c:pt idx="3">
                  <c:v>2.4</c:v>
                </c:pt>
                <c:pt idx="4">
                  <c:v>3.2</c:v>
                </c:pt>
                <c:pt idx="5">
                  <c:v>4</c:v>
                </c:pt>
                <c:pt idx="6">
                  <c:v>4.8</c:v>
                </c:pt>
                <c:pt idx="7">
                  <c:v>5.6</c:v>
                </c:pt>
                <c:pt idx="8">
                  <c:v>6.4</c:v>
                </c:pt>
                <c:pt idx="9">
                  <c:v>7.2</c:v>
                </c:pt>
                <c:pt idx="10">
                  <c:v>8</c:v>
                </c:pt>
              </c:numCache>
            </c:numRef>
          </c:xVal>
          <c:yVal>
            <c:numRef>
              <c:f>'1'!$B$57:$B$67</c:f>
              <c:numCache>
                <c:formatCode>General</c:formatCode>
                <c:ptCount val="11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46E-4017-8FE8-70229FFF8F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0800816"/>
        <c:axId val="1"/>
      </c:scatterChart>
      <c:valAx>
        <c:axId val="1820800816"/>
        <c:scaling>
          <c:orientation val="minMax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 algn="r">
                  <a:defRPr sz="1675" b="1" i="1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r>
                  <a:rPr lang="ru-RU"/>
                  <a:t>Длина линии,км</a:t>
                </a:r>
              </a:p>
            </c:rich>
          </c:tx>
          <c:layout>
            <c:manualLayout>
              <c:xMode val="edge"/>
              <c:yMode val="edge"/>
              <c:x val="0.79637105858148294"/>
              <c:y val="0.86341622764780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1"/>
        <c:crosses val="autoZero"/>
        <c:crossBetween val="midCat"/>
        <c:majorUnit val="1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 rot="0" vert="horz"/>
              <a:lstStyle/>
              <a:p>
                <a:pPr algn="l">
                  <a:defRPr sz="1675" b="1" i="1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r>
                  <a:rPr lang="ru-RU"/>
                  <a:t>Ток,А</a:t>
                </a:r>
              </a:p>
            </c:rich>
          </c:tx>
          <c:layout>
            <c:manualLayout>
              <c:xMode val="edge"/>
              <c:yMode val="edge"/>
              <c:x val="2.1169349694783499E-2"/>
              <c:y val="1.1642969089295492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1820800816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0991072858395286"/>
          <c:y val="0.91269145313670319"/>
          <c:w val="0.84137199499493798"/>
          <c:h val="6.434801764887299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100" b="1" i="1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025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trlProps/ctrlProp1.xml><?xml version="1.0" encoding="utf-8"?>
<formControlPr xmlns="http://schemas.microsoft.com/office/spreadsheetml/2009/9/main" objectType="Drop" dropLines="10" dropStyle="combo" dx="22" fmlaLink="$C$9" fmlaRange="[1]Провода!$B$2:$E$27" noThreeD="1" sel="1" val="0"/>
</file>

<file path=xl/ctrlProps/ctrlProp2.xml><?xml version="1.0" encoding="utf-8"?>
<formControlPr xmlns="http://schemas.microsoft.com/office/spreadsheetml/2009/9/main" objectType="Drop" dropStyle="combo" dx="22" fmlaLink="$C$10" fmlaRange="[1]Кабели!$B$2:$E$68" noThreeD="1" sel="1" val="0"/>
</file>

<file path=xl/ctrlProps/ctrlProp3.xml><?xml version="1.0" encoding="utf-8"?>
<formControlPr xmlns="http://schemas.microsoft.com/office/spreadsheetml/2009/9/main" objectType="Drop" dropStyle="combo" dx="22" fmlaLink="$C$12" fmlaRange="[1]Провода!$B$2:$E$27" noThreeD="1" sel="1" val="0"/>
</file>

<file path=xl/ctrlProps/ctrlProp4.xml><?xml version="1.0" encoding="utf-8"?>
<formControlPr xmlns="http://schemas.microsoft.com/office/spreadsheetml/2009/9/main" objectType="Drop" dropStyle="combo" dx="22" fmlaLink="$C$13" fmlaRange="[1]Кабели!$B$2:$E$68" noThreeD="1" sel="1" val="0"/>
</file>

<file path=xl/ctrlProps/ctrlProp5.xml><?xml version="1.0" encoding="utf-8"?>
<formControlPr xmlns="http://schemas.microsoft.com/office/spreadsheetml/2009/9/main" objectType="Drop" dropStyle="combo" dx="22" fmlaLink="$C$15" fmlaRange="[1]Провода!$B$2:$E$27" noThreeD="1" sel="1" val="0"/>
</file>

<file path=xl/ctrlProps/ctrlProp6.xml><?xml version="1.0" encoding="utf-8"?>
<formControlPr xmlns="http://schemas.microsoft.com/office/spreadsheetml/2009/9/main" objectType="Drop" dropStyle="combo" dx="22" fmlaLink="$C$16" fmlaRange="[1]Кабели!$B$2:$E$68" noThreeD="1" sel="1" val="0"/>
</file>

<file path=xl/ctrlProps/ctrlProp7.xml><?xml version="1.0" encoding="utf-8"?>
<formControlPr xmlns="http://schemas.microsoft.com/office/spreadsheetml/2009/9/main" objectType="Drop" dropStyle="combo" dx="22" fmlaLink="$C$18" fmlaRange="[1]Провода!$B$2:$E$27" noThreeD="1" sel="1" val="0"/>
</file>

<file path=xl/ctrlProps/ctrlProp8.xml><?xml version="1.0" encoding="utf-8"?>
<formControlPr xmlns="http://schemas.microsoft.com/office/spreadsheetml/2009/9/main" objectType="Drop" dropStyle="combo" dx="22" fmlaLink="$C$19" fmlaRange="[1]Кабели!$B$2:$E$68" noThreeD="1" sel="1" val="0"/>
</file>

<file path=xl/ctrlProps/ctrlProp9.xml><?xml version="1.0" encoding="utf-8"?>
<formControlPr xmlns="http://schemas.microsoft.com/office/spreadsheetml/2009/9/main" objectType="Drop" dropLines="10" dropStyle="combo" dx="22" fmlaLink="$C$5" fmlaRange="[1]Реактансы!$B$2:$D$450" noThreeD="1" sel="401" val="398"/>
</file>

<file path=xl/ctrlProps/ctrlProp10.xml><?xml version="1.0" encoding="utf-8"?>
<formControlPr xmlns="http://schemas.microsoft.com/office/spreadsheetml/2009/9/main" objectType="Drop" dropLines="10" dropStyle="combo" dx="22" fmlaLink="$D$26" fmlaRange="[1]Трансформаторы!$B$2:$C$12" noThreeD="1" sel="2" val="0"/>
</file>

<file path=xl/ctrlProps/ctrlProp11.xml><?xml version="1.0" encoding="utf-8"?>
<formControlPr xmlns="http://schemas.microsoft.com/office/spreadsheetml/2009/9/main" objectType="Drop" dropLines="10" dropStyle="combo" dx="22" fmlaLink="$K$16" fmlaRange="[1]Реле!$B$2:$F$10" noThreeD="1" sel="6" val="0"/>
</file>

<file path=xl/ctrlProps/ctrlProp12.xml><?xml version="1.0" encoding="utf-8"?>
<formControlPr xmlns="http://schemas.microsoft.com/office/spreadsheetml/2009/9/main" objectType="Drop" dropLines="10" dropStyle="combo" dx="22" fmlaLink="$C$28" fmlaRange="[1]Провода!$B$2:$E$27" noThreeD="1" sel="1" val="0"/>
</file>

<file path=xl/ctrlProps/ctrlProp13.xml><?xml version="1.0" encoding="utf-8"?>
<formControlPr xmlns="http://schemas.microsoft.com/office/spreadsheetml/2009/9/main" objectType="Drop" dropStyle="combo" dx="22" fmlaLink="$C$29" fmlaRange="[1]Кабели!$B$2:$E$68" noThreeD="1" sel="1" val="0"/>
</file>

<file path=xl/ctrlProps/ctrlProp14.xml><?xml version="1.0" encoding="utf-8"?>
<formControlPr xmlns="http://schemas.microsoft.com/office/spreadsheetml/2009/9/main" objectType="Drop" dropStyle="combo" dx="22" fmlaLink="$C$31" fmlaRange="[1]Провода!$B$2:$E$27" noThreeD="1" sel="1" val="0"/>
</file>

<file path=xl/ctrlProps/ctrlProp15.xml><?xml version="1.0" encoding="utf-8"?>
<formControlPr xmlns="http://schemas.microsoft.com/office/spreadsheetml/2009/9/main" objectType="Drop" dropStyle="combo" dx="22" fmlaLink="$C$32" fmlaRange="[1]Кабели!$B$2:$E$68" noThreeD="1" sel="1" val="0"/>
</file>

<file path=xl/ctrlProps/ctrlProp16.xml><?xml version="1.0" encoding="utf-8"?>
<formControlPr xmlns="http://schemas.microsoft.com/office/spreadsheetml/2009/9/main" objectType="Drop" dropStyle="combo" dx="22" fmlaLink="$C$34" fmlaRange="[1]Провода!$B$2:$E$27" noThreeD="1" sel="1" val="0"/>
</file>

<file path=xl/ctrlProps/ctrlProp17.xml><?xml version="1.0" encoding="utf-8"?>
<formControlPr xmlns="http://schemas.microsoft.com/office/spreadsheetml/2009/9/main" objectType="Drop" dropStyle="combo" dx="22" fmlaLink="$C$35" fmlaRange="[1]Кабели!$B$2:$E$68" noThreeD="1" sel="1" val="0"/>
</file>

<file path=xl/ctrlProps/ctrlProp18.xml><?xml version="1.0" encoding="utf-8"?>
<formControlPr xmlns="http://schemas.microsoft.com/office/spreadsheetml/2009/9/main" objectType="Drop" dropStyle="combo" dx="22" fmlaLink="$C$37" fmlaRange="[1]Провода!$B$2:$E$27" noThreeD="1" sel="1" val="0"/>
</file>

<file path=xl/ctrlProps/ctrlProp19.xml><?xml version="1.0" encoding="utf-8"?>
<formControlPr xmlns="http://schemas.microsoft.com/office/spreadsheetml/2009/9/main" objectType="Drop" dropStyle="combo" dx="22" fmlaLink="$C$38" fmlaRange="[1]Кабели!$B$2:$E$68" noThreeD="1" sel="1" val="0"/>
</file>

<file path=xl/ctrlProps/ctrlProp20.xml><?xml version="1.0" encoding="utf-8"?>
<formControlPr xmlns="http://schemas.microsoft.com/office/spreadsheetml/2009/9/main" objectType="Drop" dropStyle="combo" dx="22" fmlaLink="$B$47" fmlaRange="'[1]Расчет провел'!$B$1:$B$5" noThreeD="1" sel="2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5" Type="http://schemas.openxmlformats.org/officeDocument/2006/relationships/image" Target="../media/image4.emf"/><Relationship Id="rId4" Type="http://schemas.openxmlformats.org/officeDocument/2006/relationships/image" Target="../media/image3.em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9.emf"/><Relationship Id="rId2" Type="http://schemas.openxmlformats.org/officeDocument/2006/relationships/image" Target="../media/image8.emf"/><Relationship Id="rId1" Type="http://schemas.openxmlformats.org/officeDocument/2006/relationships/image" Target="../media/image7.emf"/><Relationship Id="rId6" Type="http://schemas.openxmlformats.org/officeDocument/2006/relationships/image" Target="../media/image12.emf"/><Relationship Id="rId5" Type="http://schemas.openxmlformats.org/officeDocument/2006/relationships/image" Target="../media/image11.emf"/><Relationship Id="rId4" Type="http://schemas.openxmlformats.org/officeDocument/2006/relationships/image" Target="../media/image10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13</xdr:col>
      <xdr:colOff>9525</xdr:colOff>
      <xdr:row>3</xdr:row>
      <xdr:rowOff>9525</xdr:rowOff>
    </xdr:from>
    <xdr:to>
      <xdr:col>27</xdr:col>
      <xdr:colOff>600075</xdr:colOff>
      <xdr:row>38</xdr:row>
      <xdr:rowOff>200025</xdr:rowOff>
    </xdr:to>
    <xdr:graphicFrame macro="">
      <xdr:nvGraphicFramePr>
        <xdr:cNvPr id="3386" name="Chart 10">
          <a:extLst>
            <a:ext uri="{FF2B5EF4-FFF2-40B4-BE49-F238E27FC236}">
              <a16:creationId xmlns:a16="http://schemas.microsoft.com/office/drawing/2014/main" id="{23853B74-3157-FB3D-67BF-B380091DF1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0</xdr:rowOff>
        </xdr:from>
        <xdr:to>
          <xdr:col>2</xdr:col>
          <xdr:colOff>771525</xdr:colOff>
          <xdr:row>9</xdr:row>
          <xdr:rowOff>0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0</xdr:rowOff>
        </xdr:from>
        <xdr:to>
          <xdr:col>2</xdr:col>
          <xdr:colOff>771525</xdr:colOff>
          <xdr:row>10</xdr:row>
          <xdr:rowOff>0</xdr:rowOff>
        </xdr:to>
        <xdr:sp macro="" textlink="">
          <xdr:nvSpPr>
            <xdr:cNvPr id="3074" name="Drop Down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</xdr:row>
          <xdr:rowOff>0</xdr:rowOff>
        </xdr:from>
        <xdr:to>
          <xdr:col>2</xdr:col>
          <xdr:colOff>771525</xdr:colOff>
          <xdr:row>12</xdr:row>
          <xdr:rowOff>0</xdr:rowOff>
        </xdr:to>
        <xdr:sp macro="" textlink="">
          <xdr:nvSpPr>
            <xdr:cNvPr id="3075" name="Drop Down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</xdr:row>
          <xdr:rowOff>0</xdr:rowOff>
        </xdr:from>
        <xdr:to>
          <xdr:col>2</xdr:col>
          <xdr:colOff>771525</xdr:colOff>
          <xdr:row>13</xdr:row>
          <xdr:rowOff>0</xdr:rowOff>
        </xdr:to>
        <xdr:sp macro="" textlink="">
          <xdr:nvSpPr>
            <xdr:cNvPr id="3076" name="Drop Down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14</xdr:row>
          <xdr:rowOff>0</xdr:rowOff>
        </xdr:from>
        <xdr:to>
          <xdr:col>2</xdr:col>
          <xdr:colOff>771525</xdr:colOff>
          <xdr:row>15</xdr:row>
          <xdr:rowOff>0</xdr:rowOff>
        </xdr:to>
        <xdr:sp macro="" textlink="">
          <xdr:nvSpPr>
            <xdr:cNvPr id="3077" name="Drop Down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0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</xdr:row>
          <xdr:rowOff>0</xdr:rowOff>
        </xdr:from>
        <xdr:to>
          <xdr:col>2</xdr:col>
          <xdr:colOff>771525</xdr:colOff>
          <xdr:row>16</xdr:row>
          <xdr:rowOff>0</xdr:rowOff>
        </xdr:to>
        <xdr:sp macro="" textlink="">
          <xdr:nvSpPr>
            <xdr:cNvPr id="3078" name="Drop Down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0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17</xdr:row>
          <xdr:rowOff>0</xdr:rowOff>
        </xdr:from>
        <xdr:to>
          <xdr:col>2</xdr:col>
          <xdr:colOff>771525</xdr:colOff>
          <xdr:row>18</xdr:row>
          <xdr:rowOff>0</xdr:rowOff>
        </xdr:to>
        <xdr:sp macro="" textlink="">
          <xdr:nvSpPr>
            <xdr:cNvPr id="3079" name="Drop Down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0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18</xdr:row>
          <xdr:rowOff>0</xdr:rowOff>
        </xdr:from>
        <xdr:to>
          <xdr:col>2</xdr:col>
          <xdr:colOff>771525</xdr:colOff>
          <xdr:row>19</xdr:row>
          <xdr:rowOff>0</xdr:rowOff>
        </xdr:to>
        <xdr:sp macro="" textlink="">
          <xdr:nvSpPr>
            <xdr:cNvPr id="3080" name="Drop Down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0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9525</xdr:rowOff>
        </xdr:from>
        <xdr:to>
          <xdr:col>3</xdr:col>
          <xdr:colOff>314325</xdr:colOff>
          <xdr:row>6</xdr:row>
          <xdr:rowOff>0</xdr:rowOff>
        </xdr:to>
        <xdr:sp macro="" textlink="">
          <xdr:nvSpPr>
            <xdr:cNvPr id="3081" name="Drop Down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0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24</xdr:row>
          <xdr:rowOff>0</xdr:rowOff>
        </xdr:from>
        <xdr:to>
          <xdr:col>4</xdr:col>
          <xdr:colOff>0</xdr:colOff>
          <xdr:row>26</xdr:row>
          <xdr:rowOff>0</xdr:rowOff>
        </xdr:to>
        <xdr:sp macro="" textlink="">
          <xdr:nvSpPr>
            <xdr:cNvPr id="3083" name="Drop Down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0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15</xdr:row>
          <xdr:rowOff>0</xdr:rowOff>
        </xdr:from>
        <xdr:to>
          <xdr:col>11</xdr:col>
          <xdr:colOff>0</xdr:colOff>
          <xdr:row>18</xdr:row>
          <xdr:rowOff>0</xdr:rowOff>
        </xdr:to>
        <xdr:sp macro="" textlink="">
          <xdr:nvSpPr>
            <xdr:cNvPr id="3084" name="Drop Down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0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27</xdr:row>
          <xdr:rowOff>0</xdr:rowOff>
        </xdr:from>
        <xdr:to>
          <xdr:col>2</xdr:col>
          <xdr:colOff>771525</xdr:colOff>
          <xdr:row>28</xdr:row>
          <xdr:rowOff>0</xdr:rowOff>
        </xdr:to>
        <xdr:sp macro="" textlink="">
          <xdr:nvSpPr>
            <xdr:cNvPr id="3085" name="Drop Down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0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28</xdr:row>
          <xdr:rowOff>0</xdr:rowOff>
        </xdr:from>
        <xdr:to>
          <xdr:col>2</xdr:col>
          <xdr:colOff>771525</xdr:colOff>
          <xdr:row>29</xdr:row>
          <xdr:rowOff>0</xdr:rowOff>
        </xdr:to>
        <xdr:sp macro="" textlink="">
          <xdr:nvSpPr>
            <xdr:cNvPr id="3086" name="Drop Down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0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30</xdr:row>
          <xdr:rowOff>0</xdr:rowOff>
        </xdr:from>
        <xdr:to>
          <xdr:col>2</xdr:col>
          <xdr:colOff>771525</xdr:colOff>
          <xdr:row>31</xdr:row>
          <xdr:rowOff>0</xdr:rowOff>
        </xdr:to>
        <xdr:sp macro="" textlink="">
          <xdr:nvSpPr>
            <xdr:cNvPr id="3087" name="Drop Down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0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31</xdr:row>
          <xdr:rowOff>0</xdr:rowOff>
        </xdr:from>
        <xdr:to>
          <xdr:col>2</xdr:col>
          <xdr:colOff>771525</xdr:colOff>
          <xdr:row>32</xdr:row>
          <xdr:rowOff>0</xdr:rowOff>
        </xdr:to>
        <xdr:sp macro="" textlink="">
          <xdr:nvSpPr>
            <xdr:cNvPr id="3088" name="Drop Down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0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33</xdr:row>
          <xdr:rowOff>0</xdr:rowOff>
        </xdr:from>
        <xdr:to>
          <xdr:col>2</xdr:col>
          <xdr:colOff>771525</xdr:colOff>
          <xdr:row>34</xdr:row>
          <xdr:rowOff>0</xdr:rowOff>
        </xdr:to>
        <xdr:sp macro="" textlink="">
          <xdr:nvSpPr>
            <xdr:cNvPr id="3089" name="Drop Down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0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34</xdr:row>
          <xdr:rowOff>0</xdr:rowOff>
        </xdr:from>
        <xdr:to>
          <xdr:col>2</xdr:col>
          <xdr:colOff>771525</xdr:colOff>
          <xdr:row>35</xdr:row>
          <xdr:rowOff>0</xdr:rowOff>
        </xdr:to>
        <xdr:sp macro="" textlink="">
          <xdr:nvSpPr>
            <xdr:cNvPr id="3090" name="Drop Down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0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36</xdr:row>
          <xdr:rowOff>0</xdr:rowOff>
        </xdr:from>
        <xdr:to>
          <xdr:col>2</xdr:col>
          <xdr:colOff>771525</xdr:colOff>
          <xdr:row>37</xdr:row>
          <xdr:rowOff>0</xdr:rowOff>
        </xdr:to>
        <xdr:sp macro="" textlink="">
          <xdr:nvSpPr>
            <xdr:cNvPr id="3091" name="Drop Down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0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37</xdr:row>
          <xdr:rowOff>0</xdr:rowOff>
        </xdr:from>
        <xdr:to>
          <xdr:col>2</xdr:col>
          <xdr:colOff>771525</xdr:colOff>
          <xdr:row>38</xdr:row>
          <xdr:rowOff>0</xdr:rowOff>
        </xdr:to>
        <xdr:sp macro="" textlink="">
          <xdr:nvSpPr>
            <xdr:cNvPr id="3092" name="Drop Down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0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46</xdr:row>
          <xdr:rowOff>0</xdr:rowOff>
        </xdr:from>
        <xdr:to>
          <xdr:col>2</xdr:col>
          <xdr:colOff>304800</xdr:colOff>
          <xdr:row>47</xdr:row>
          <xdr:rowOff>85725</xdr:rowOff>
        </xdr:to>
        <xdr:sp macro="" textlink="">
          <xdr:nvSpPr>
            <xdr:cNvPr id="3093" name="Drop Down 21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0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95250</xdr:colOff>
          <xdr:row>8</xdr:row>
          <xdr:rowOff>219075</xdr:rowOff>
        </xdr:from>
        <xdr:to>
          <xdr:col>27</xdr:col>
          <xdr:colOff>133350</xdr:colOff>
          <xdr:row>11</xdr:row>
          <xdr:rowOff>238125</xdr:rowOff>
        </xdr:to>
        <xdr:pic>
          <xdr:nvPicPr>
            <xdr:cNvPr id="3387" name="Label1">
              <a:extLst>
                <a:ext uri="{FF2B5EF4-FFF2-40B4-BE49-F238E27FC236}">
                  <a16:creationId xmlns:a16="http://schemas.microsoft.com/office/drawing/2014/main" id="{7F6D3A35-3F56-4688-2CC4-85BF19A8EBA9}"/>
                </a:ext>
              </a:extLst>
            </xdr:cNvPr>
            <xdr:cNvPicPr preferRelativeResize="0">
              <a:picLocks noChangeArrowheads="1" noChangeShapeType="1"/>
              <a:extLst>
                <a:ext uri="{84589F7E-364E-4C9E-8A38-B11213B215E9}">
                  <a14:cameraTool cellRange="'1'!C158:D158" spid="_x0000_s3457"/>
                </a:ext>
              </a:extLst>
            </xdr:cNvPicPr>
          </xdr:nvPicPr>
          <xdr:blipFill>
            <a:blip xmlns:r="http://schemas.openxmlformats.org/officeDocument/2006/relationships" r:embed="rId2"/>
            <a:srcRect l="14647" t="14661" r="14647" b="20944"/>
            <a:stretch>
              <a:fillRect/>
            </a:stretch>
          </xdr:blipFill>
          <xdr:spPr bwMode="auto">
            <a:xfrm>
              <a:off x="12915900" y="1924050"/>
              <a:ext cx="3086100" cy="7048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352425</xdr:colOff>
          <xdr:row>9</xdr:row>
          <xdr:rowOff>0</xdr:rowOff>
        </xdr:from>
        <xdr:to>
          <xdr:col>23</xdr:col>
          <xdr:colOff>152400</xdr:colOff>
          <xdr:row>12</xdr:row>
          <xdr:rowOff>114300</xdr:rowOff>
        </xdr:to>
        <xdr:pic>
          <xdr:nvPicPr>
            <xdr:cNvPr id="3388" name="CommandButton1">
              <a:extLst>
                <a:ext uri="{FF2B5EF4-FFF2-40B4-BE49-F238E27FC236}">
                  <a16:creationId xmlns:a16="http://schemas.microsoft.com/office/drawing/2014/main" id="{1569555B-DF84-8EF5-8502-4D2977770BF4}"/>
                </a:ext>
              </a:extLst>
            </xdr:cNvPr>
            <xdr:cNvPicPr preferRelativeResize="0">
              <a:picLocks noChangeArrowheads="1" noChangeShapeType="1"/>
              <a:extLst>
                <a:ext uri="{84589F7E-364E-4C9E-8A38-B11213B215E9}">
                  <a14:cameraTool cellRange="'1'!B158" spid="_x0000_s3458"/>
                </a:ext>
              </a:extLst>
            </xdr:cNvPicPr>
          </xdr:nvPicPr>
          <xdr:blipFill>
            <a:blip xmlns:r="http://schemas.openxmlformats.org/officeDocument/2006/relationships" r:embed="rId3"/>
            <a:srcRect l="5811" r="5811"/>
            <a:stretch>
              <a:fillRect/>
            </a:stretch>
          </xdr:blipFill>
          <xdr:spPr bwMode="auto">
            <a:xfrm>
              <a:off x="11953875" y="1952625"/>
              <a:ext cx="1628775" cy="80010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95250</xdr:colOff>
          <xdr:row>11</xdr:row>
          <xdr:rowOff>219075</xdr:rowOff>
        </xdr:from>
        <xdr:to>
          <xdr:col>27</xdr:col>
          <xdr:colOff>171450</xdr:colOff>
          <xdr:row>14</xdr:row>
          <xdr:rowOff>171450</xdr:rowOff>
        </xdr:to>
        <xdr:pic>
          <xdr:nvPicPr>
            <xdr:cNvPr id="3389" name="Label1">
              <a:extLst>
                <a:ext uri="{FF2B5EF4-FFF2-40B4-BE49-F238E27FC236}">
                  <a16:creationId xmlns:a16="http://schemas.microsoft.com/office/drawing/2014/main" id="{29052741-9492-946E-C614-75ED832DD091}"/>
                </a:ext>
              </a:extLst>
            </xdr:cNvPr>
            <xdr:cNvPicPr preferRelativeResize="0">
              <a:picLocks noChangeArrowheads="1" noChangeShapeType="1"/>
              <a:extLst>
                <a:ext uri="{84589F7E-364E-4C9E-8A38-B11213B215E9}">
                  <a14:cameraTool cellRange="'1'!C193:D193" spid="_x0000_s3459"/>
                </a:ext>
              </a:extLst>
            </xdr:cNvPicPr>
          </xdr:nvPicPr>
          <xdr:blipFill>
            <a:blip xmlns:r="http://schemas.openxmlformats.org/officeDocument/2006/relationships" r:embed="rId4"/>
            <a:srcRect l="14647" t="14661" r="14647" b="20944"/>
            <a:stretch>
              <a:fillRect/>
            </a:stretch>
          </xdr:blipFill>
          <xdr:spPr bwMode="auto">
            <a:xfrm>
              <a:off x="12915900" y="2609850"/>
              <a:ext cx="3124200" cy="63817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352425</xdr:colOff>
          <xdr:row>11</xdr:row>
          <xdr:rowOff>161925</xdr:rowOff>
        </xdr:from>
        <xdr:to>
          <xdr:col>23</xdr:col>
          <xdr:colOff>95250</xdr:colOff>
          <xdr:row>15</xdr:row>
          <xdr:rowOff>57150</xdr:rowOff>
        </xdr:to>
        <xdr:pic>
          <xdr:nvPicPr>
            <xdr:cNvPr id="3390" name="CommandButton1">
              <a:extLst>
                <a:ext uri="{FF2B5EF4-FFF2-40B4-BE49-F238E27FC236}">
                  <a16:creationId xmlns:a16="http://schemas.microsoft.com/office/drawing/2014/main" id="{F8A75CA4-C77F-C22C-3644-5210E97F5A2F}"/>
                </a:ext>
              </a:extLst>
            </xdr:cNvPr>
            <xdr:cNvPicPr preferRelativeResize="0">
              <a:picLocks noChangeArrowheads="1" noChangeShapeType="1"/>
              <a:extLst>
                <a:ext uri="{84589F7E-364E-4C9E-8A38-B11213B215E9}">
                  <a14:cameraTool cellRange="'1'!B193" spid="_x0000_s3460"/>
                </a:ext>
              </a:extLst>
            </xdr:cNvPicPr>
          </xdr:nvPicPr>
          <xdr:blipFill>
            <a:blip xmlns:r="http://schemas.openxmlformats.org/officeDocument/2006/relationships" r:embed="rId5"/>
            <a:srcRect l="5811" r="5811"/>
            <a:stretch>
              <a:fillRect/>
            </a:stretch>
          </xdr:blipFill>
          <xdr:spPr bwMode="auto">
            <a:xfrm>
              <a:off x="11953875" y="2552700"/>
              <a:ext cx="1571625" cy="82867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542925</xdr:colOff>
          <xdr:row>7</xdr:row>
          <xdr:rowOff>19050</xdr:rowOff>
        </xdr:from>
        <xdr:to>
          <xdr:col>26</xdr:col>
          <xdr:colOff>409575</xdr:colOff>
          <xdr:row>9</xdr:row>
          <xdr:rowOff>47625</xdr:rowOff>
        </xdr:to>
        <xdr:pic>
          <xdr:nvPicPr>
            <xdr:cNvPr id="3391" name="CommandButton2">
              <a:extLst>
                <a:ext uri="{FF2B5EF4-FFF2-40B4-BE49-F238E27FC236}">
                  <a16:creationId xmlns:a16="http://schemas.microsoft.com/office/drawing/2014/main" id="{4D2A3D01-9159-6E45-6D1D-456874B81D1D}"/>
                </a:ext>
              </a:extLst>
            </xdr:cNvPr>
            <xdr:cNvPicPr preferRelativeResize="0">
              <a:picLocks noChangeArrowheads="1" noChangeShapeType="1"/>
              <a:extLst>
                <a:ext uri="{84589F7E-364E-4C9E-8A38-B11213B215E9}">
                  <a14:cameraTool cellRange="'1'!A215" spid="_x0000_s3461"/>
                </a:ext>
              </a:extLst>
            </xdr:cNvPicPr>
          </xdr:nvPicPr>
          <xdr:blipFill>
            <a:blip xmlns:r="http://schemas.openxmlformats.org/officeDocument/2006/relationships" r:embed="rId6"/>
            <a:srcRect l="2930" t="17967" r="2930" b="17967"/>
            <a:stretch>
              <a:fillRect/>
            </a:stretch>
          </xdr:blipFill>
          <xdr:spPr bwMode="auto">
            <a:xfrm>
              <a:off x="12144375" y="1533525"/>
              <a:ext cx="3524250" cy="46672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104775</xdr:colOff>
          <xdr:row>9</xdr:row>
          <xdr:rowOff>38100</xdr:rowOff>
        </xdr:from>
        <xdr:to>
          <xdr:col>28</xdr:col>
          <xdr:colOff>257175</xdr:colOff>
          <xdr:row>11</xdr:row>
          <xdr:rowOff>104775</xdr:rowOff>
        </xdr:to>
        <xdr:pic>
          <xdr:nvPicPr>
            <xdr:cNvPr id="3392" name="Label1">
              <a:extLst>
                <a:ext uri="{FF2B5EF4-FFF2-40B4-BE49-F238E27FC236}">
                  <a16:creationId xmlns:a16="http://schemas.microsoft.com/office/drawing/2014/main" id="{03D618CF-CF78-F64E-7169-B464B9776E88}"/>
                </a:ext>
              </a:extLst>
            </xdr:cNvPr>
            <xdr:cNvPicPr preferRelativeResize="0">
              <a:picLocks noChangeArrowheads="1" noChangeShapeType="1"/>
              <a:extLst>
                <a:ext uri="{84589F7E-364E-4C9E-8A38-B11213B215E9}">
                  <a14:cameraTool cellRange="'1'!R158:S158" spid="_x0000_s3462"/>
                </a:ext>
              </a:extLst>
            </xdr:cNvPicPr>
          </xdr:nvPicPr>
          <xdr:blipFill>
            <a:blip xmlns:r="http://schemas.openxmlformats.org/officeDocument/2006/relationships" r:embed="rId7"/>
            <a:srcRect l="14647" t="14661" r="14647" b="20944"/>
            <a:stretch>
              <a:fillRect/>
            </a:stretch>
          </xdr:blipFill>
          <xdr:spPr bwMode="auto">
            <a:xfrm>
              <a:off x="14754225" y="1990725"/>
              <a:ext cx="1981200" cy="50482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19050</xdr:colOff>
          <xdr:row>12</xdr:row>
          <xdr:rowOff>85725</xdr:rowOff>
        </xdr:from>
        <xdr:to>
          <xdr:col>28</xdr:col>
          <xdr:colOff>333375</xdr:colOff>
          <xdr:row>14</xdr:row>
          <xdr:rowOff>95250</xdr:rowOff>
        </xdr:to>
        <xdr:pic>
          <xdr:nvPicPr>
            <xdr:cNvPr id="3393" name="Label1">
              <a:extLst>
                <a:ext uri="{FF2B5EF4-FFF2-40B4-BE49-F238E27FC236}">
                  <a16:creationId xmlns:a16="http://schemas.microsoft.com/office/drawing/2014/main" id="{2881CD33-4864-A794-A7B4-3C3F3048AA28}"/>
                </a:ext>
              </a:extLst>
            </xdr:cNvPr>
            <xdr:cNvPicPr preferRelativeResize="0">
              <a:picLocks noChangeArrowheads="1" noChangeShapeType="1"/>
              <a:extLst>
                <a:ext uri="{84589F7E-364E-4C9E-8A38-B11213B215E9}">
                  <a14:cameraTool cellRange="'1'!R193:S193" spid="_x0000_s3463"/>
                </a:ext>
              </a:extLst>
            </xdr:cNvPicPr>
          </xdr:nvPicPr>
          <xdr:blipFill>
            <a:blip xmlns:r="http://schemas.openxmlformats.org/officeDocument/2006/relationships" r:embed="rId7"/>
            <a:srcRect l="14647" t="14661" r="14647" b="20944"/>
            <a:stretch>
              <a:fillRect/>
            </a:stretch>
          </xdr:blipFill>
          <xdr:spPr bwMode="auto">
            <a:xfrm>
              <a:off x="14668500" y="2724150"/>
              <a:ext cx="2143125" cy="44767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AI%20Projects\RelayProtection\rza_calculator\data\input\&#1069;&#1050;&#1057;&#1055;&#1045;&#1056;&#1058;.xlsx" TargetMode="External"/><Relationship Id="rId1" Type="http://schemas.openxmlformats.org/officeDocument/2006/relationships/externalLinkPath" Target="&#1069;&#1050;&#1057;&#1055;&#1045;&#1056;&#105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Провода"/>
      <sheetName val="Кабели"/>
      <sheetName val="Реактансы и письма"/>
      <sheetName val="Реактансы"/>
      <sheetName val="Трансформаторы"/>
      <sheetName val="Длительно доп.ток"/>
      <sheetName val="Расчет провел"/>
      <sheetName val="Реле"/>
      <sheetName val="Двигатели"/>
      <sheetName val="СР"/>
      <sheetName val="Параметры Т.Т."/>
      <sheetName val="Шинопровод"/>
      <sheetName val="Автоматы"/>
    </sheetNames>
    <sheetDataSet>
      <sheetData sheetId="0">
        <row r="1">
          <cell r="B1" t="str">
            <v xml:space="preserve">ТИП </v>
          </cell>
          <cell r="C1" t="str">
            <v>R</v>
          </cell>
          <cell r="D1" t="str">
            <v>Х</v>
          </cell>
        </row>
        <row r="2">
          <cell r="A2">
            <v>1</v>
          </cell>
          <cell r="B2" t="str">
            <v>R-Аl-25</v>
          </cell>
          <cell r="C2">
            <v>1.1399999999999999</v>
          </cell>
          <cell r="D2">
            <v>0.4</v>
          </cell>
          <cell r="E2" t="str">
            <v>Х-Аl-25</v>
          </cell>
        </row>
        <row r="3">
          <cell r="A3">
            <v>2</v>
          </cell>
          <cell r="B3" t="str">
            <v>R-Аl-35</v>
          </cell>
          <cell r="C3">
            <v>0.83</v>
          </cell>
          <cell r="D3">
            <v>0.4</v>
          </cell>
          <cell r="E3" t="str">
            <v>Х-Аl-35</v>
          </cell>
        </row>
        <row r="4">
          <cell r="A4">
            <v>3</v>
          </cell>
          <cell r="B4" t="str">
            <v>R-Аl-50</v>
          </cell>
          <cell r="C4">
            <v>0.57599999999999996</v>
          </cell>
          <cell r="D4">
            <v>0.4</v>
          </cell>
          <cell r="E4" t="str">
            <v>Х-Аl-50</v>
          </cell>
        </row>
        <row r="5">
          <cell r="A5">
            <v>4</v>
          </cell>
          <cell r="B5" t="str">
            <v>R-Аl-70</v>
          </cell>
          <cell r="C5">
            <v>0.41199999999999998</v>
          </cell>
          <cell r="D5">
            <v>0.4</v>
          </cell>
          <cell r="E5" t="str">
            <v>Х-Аl-70</v>
          </cell>
        </row>
        <row r="6">
          <cell r="A6">
            <v>5</v>
          </cell>
          <cell r="B6" t="str">
            <v>R-Аl-95</v>
          </cell>
          <cell r="C6">
            <v>0.308</v>
          </cell>
          <cell r="D6">
            <v>0.4</v>
          </cell>
          <cell r="E6" t="str">
            <v>Х-Аl-95</v>
          </cell>
        </row>
        <row r="7">
          <cell r="A7">
            <v>6</v>
          </cell>
          <cell r="B7" t="str">
            <v>R-Аl-120</v>
          </cell>
          <cell r="C7">
            <v>0.246</v>
          </cell>
          <cell r="D7">
            <v>0.4</v>
          </cell>
          <cell r="E7" t="str">
            <v>Х-Аl-120</v>
          </cell>
        </row>
        <row r="8">
          <cell r="A8">
            <v>7</v>
          </cell>
          <cell r="B8" t="str">
            <v>R-Аl-150</v>
          </cell>
          <cell r="C8">
            <v>0.19400000000000001</v>
          </cell>
          <cell r="D8">
            <v>0.4</v>
          </cell>
          <cell r="E8" t="str">
            <v>Х-Аl-150</v>
          </cell>
        </row>
        <row r="9">
          <cell r="A9">
            <v>8</v>
          </cell>
          <cell r="B9" t="str">
            <v>R-Аl-185</v>
          </cell>
          <cell r="C9">
            <v>0.17</v>
          </cell>
          <cell r="D9">
            <v>0.4</v>
          </cell>
          <cell r="E9" t="str">
            <v>Х-Аl-185</v>
          </cell>
        </row>
        <row r="10">
          <cell r="A10">
            <v>9</v>
          </cell>
          <cell r="B10" t="str">
            <v>R-Аl-240</v>
          </cell>
          <cell r="C10">
            <v>0.13100000000000001</v>
          </cell>
          <cell r="D10">
            <v>0.4</v>
          </cell>
          <cell r="E10" t="str">
            <v>Х-Аl-240</v>
          </cell>
        </row>
        <row r="11">
          <cell r="A11">
            <v>10</v>
          </cell>
          <cell r="B11" t="str">
            <v>R-Аlст-25</v>
          </cell>
          <cell r="C11">
            <v>1.1459999999999999</v>
          </cell>
          <cell r="D11">
            <v>0.4</v>
          </cell>
          <cell r="E11" t="str">
            <v>Х-Аlст-25</v>
          </cell>
        </row>
        <row r="12">
          <cell r="A12">
            <v>11</v>
          </cell>
          <cell r="B12" t="str">
            <v>R-Аlст-35</v>
          </cell>
          <cell r="C12">
            <v>0.77300000000000002</v>
          </cell>
          <cell r="D12">
            <v>0.4</v>
          </cell>
          <cell r="E12" t="str">
            <v>Х-Аlст-35</v>
          </cell>
        </row>
        <row r="13">
          <cell r="A13">
            <v>12</v>
          </cell>
          <cell r="B13" t="str">
            <v>R-Аlст-50</v>
          </cell>
          <cell r="C13">
            <v>0.59199999999999997</v>
          </cell>
          <cell r="D13">
            <v>0.4</v>
          </cell>
          <cell r="E13" t="str">
            <v>Х-Аlст-50</v>
          </cell>
        </row>
        <row r="14">
          <cell r="A14">
            <v>13</v>
          </cell>
          <cell r="B14" t="str">
            <v>R-Аlст-70</v>
          </cell>
          <cell r="C14">
            <v>0.42</v>
          </cell>
          <cell r="D14">
            <v>0.4</v>
          </cell>
          <cell r="E14" t="str">
            <v>Х-Аlст-70</v>
          </cell>
        </row>
        <row r="15">
          <cell r="A15">
            <v>14</v>
          </cell>
          <cell r="B15" t="str">
            <v>R-Аlст-95</v>
          </cell>
          <cell r="C15">
            <v>0.314</v>
          </cell>
          <cell r="D15">
            <v>0.4</v>
          </cell>
          <cell r="E15" t="str">
            <v>Х-Аlст-95</v>
          </cell>
        </row>
        <row r="16">
          <cell r="A16">
            <v>15</v>
          </cell>
          <cell r="B16" t="str">
            <v>R-Аlст-120</v>
          </cell>
          <cell r="C16">
            <v>0.249</v>
          </cell>
          <cell r="D16">
            <v>0.4</v>
          </cell>
          <cell r="E16" t="str">
            <v>Х-Аlст-120</v>
          </cell>
        </row>
        <row r="17">
          <cell r="A17">
            <v>16</v>
          </cell>
          <cell r="B17" t="str">
            <v>R-Аlст-150</v>
          </cell>
          <cell r="C17">
            <v>0.19500000000000001</v>
          </cell>
          <cell r="D17">
            <v>0.4</v>
          </cell>
          <cell r="E17" t="str">
            <v>Х-Аlст-150</v>
          </cell>
        </row>
        <row r="18">
          <cell r="A18">
            <v>17</v>
          </cell>
          <cell r="B18" t="str">
            <v>R-Аlст-185</v>
          </cell>
          <cell r="C18">
            <v>0.159</v>
          </cell>
          <cell r="D18">
            <v>0.4</v>
          </cell>
          <cell r="E18" t="str">
            <v>Х-Аlст-185</v>
          </cell>
        </row>
        <row r="19">
          <cell r="A19">
            <v>18</v>
          </cell>
          <cell r="B19" t="str">
            <v>R-Аlст-240</v>
          </cell>
          <cell r="C19">
            <v>0.13100000000000001</v>
          </cell>
          <cell r="D19">
            <v>0.4</v>
          </cell>
          <cell r="E19" t="str">
            <v>Х-Аlст-240</v>
          </cell>
        </row>
        <row r="20">
          <cell r="A20">
            <v>19</v>
          </cell>
          <cell r="B20" t="str">
            <v>R-Аlст-400</v>
          </cell>
          <cell r="C20">
            <v>7.2999999999999995E-2</v>
          </cell>
          <cell r="D20">
            <v>0.4</v>
          </cell>
          <cell r="E20" t="str">
            <v>Х-Аlст-400</v>
          </cell>
        </row>
        <row r="21">
          <cell r="A21">
            <v>20</v>
          </cell>
          <cell r="B21" t="str">
            <v>R-Аlст-500</v>
          </cell>
          <cell r="C21">
            <v>0.06</v>
          </cell>
          <cell r="D21">
            <v>0.4</v>
          </cell>
          <cell r="E21" t="str">
            <v>Х-Аlст-500</v>
          </cell>
        </row>
        <row r="22">
          <cell r="A22">
            <v>21</v>
          </cell>
          <cell r="B22" t="str">
            <v>СИП-3-50</v>
          </cell>
          <cell r="C22">
            <v>0.72</v>
          </cell>
          <cell r="D22">
            <v>0.29899999999999999</v>
          </cell>
        </row>
        <row r="23">
          <cell r="A23">
            <v>22</v>
          </cell>
          <cell r="B23" t="str">
            <v>СИП-3-70</v>
          </cell>
          <cell r="C23">
            <v>0.49299999999999999</v>
          </cell>
          <cell r="D23">
            <v>0.29099999999999998</v>
          </cell>
        </row>
        <row r="24">
          <cell r="A24">
            <v>23</v>
          </cell>
          <cell r="B24" t="str">
            <v>СИП-3-95</v>
          </cell>
          <cell r="C24">
            <v>0.36299999999999999</v>
          </cell>
          <cell r="D24">
            <v>0.28399999999999997</v>
          </cell>
        </row>
        <row r="25">
          <cell r="A25">
            <v>24</v>
          </cell>
          <cell r="B25" t="str">
            <v>СИП-3-120</v>
          </cell>
          <cell r="C25">
            <v>0.28799999999999998</v>
          </cell>
          <cell r="D25">
            <v>0.27800000000000002</v>
          </cell>
        </row>
        <row r="26">
          <cell r="A26">
            <v>25</v>
          </cell>
          <cell r="B26" t="str">
            <v>СИП-3-150</v>
          </cell>
          <cell r="C26">
            <v>0.23599999999999999</v>
          </cell>
          <cell r="D26">
            <v>0.27300000000000002</v>
          </cell>
        </row>
        <row r="27">
          <cell r="A27">
            <v>26</v>
          </cell>
        </row>
      </sheetData>
      <sheetData sheetId="1">
        <row r="1">
          <cell r="B1" t="str">
            <v xml:space="preserve">ТИП </v>
          </cell>
          <cell r="C1" t="str">
            <v>R</v>
          </cell>
          <cell r="D1" t="str">
            <v>Х</v>
          </cell>
        </row>
        <row r="2">
          <cell r="A2">
            <v>1</v>
          </cell>
          <cell r="B2" t="str">
            <v>К(Аl)10</v>
          </cell>
          <cell r="C2">
            <v>3.1</v>
          </cell>
          <cell r="D2">
            <v>0.11</v>
          </cell>
          <cell r="E2" t="str">
            <v>Х(Аl)10</v>
          </cell>
        </row>
        <row r="3">
          <cell r="A3">
            <v>2</v>
          </cell>
          <cell r="B3" t="str">
            <v>К(Аl)16</v>
          </cell>
          <cell r="C3">
            <v>1.94</v>
          </cell>
          <cell r="D3">
            <v>0.10199999999999999</v>
          </cell>
          <cell r="E3" t="str">
            <v>Х(Аl)16</v>
          </cell>
        </row>
        <row r="4">
          <cell r="A4">
            <v>3</v>
          </cell>
          <cell r="B4" t="str">
            <v>К(Аl)25</v>
          </cell>
          <cell r="C4">
            <v>1.24</v>
          </cell>
          <cell r="D4">
            <v>9.5000000000000001E-2</v>
          </cell>
          <cell r="E4" t="str">
            <v>Х(Аl)25</v>
          </cell>
        </row>
        <row r="5">
          <cell r="A5">
            <v>4</v>
          </cell>
          <cell r="B5" t="str">
            <v>К(Аl)35</v>
          </cell>
          <cell r="C5">
            <v>0.89</v>
          </cell>
          <cell r="D5">
            <v>8.6999999999999994E-2</v>
          </cell>
          <cell r="E5" t="str">
            <v>Х(Аl)35</v>
          </cell>
        </row>
        <row r="6">
          <cell r="A6">
            <v>5</v>
          </cell>
          <cell r="B6" t="str">
            <v>К(Аl)50</v>
          </cell>
          <cell r="C6">
            <v>0.62</v>
          </cell>
          <cell r="D6">
            <v>8.3000000000000004E-2</v>
          </cell>
          <cell r="E6" t="str">
            <v>Х(Аl)50</v>
          </cell>
        </row>
        <row r="7">
          <cell r="A7">
            <v>6</v>
          </cell>
          <cell r="B7" t="str">
            <v>К(Аl)70</v>
          </cell>
          <cell r="C7">
            <v>0.443</v>
          </cell>
          <cell r="D7">
            <v>7.8E-2</v>
          </cell>
          <cell r="E7" t="str">
            <v>Х(Аl)70</v>
          </cell>
        </row>
        <row r="8">
          <cell r="A8">
            <v>7</v>
          </cell>
          <cell r="B8" t="str">
            <v>К(Аl)95</v>
          </cell>
          <cell r="C8">
            <v>0.32600000000000001</v>
          </cell>
          <cell r="D8">
            <v>7.8E-2</v>
          </cell>
          <cell r="E8" t="str">
            <v>Х(Аl)95</v>
          </cell>
        </row>
        <row r="9">
          <cell r="A9">
            <v>8</v>
          </cell>
          <cell r="B9" t="str">
            <v>К(Аl)120</v>
          </cell>
          <cell r="C9">
            <v>0.25800000000000001</v>
          </cell>
          <cell r="D9">
            <v>7.5999999999999998E-2</v>
          </cell>
          <cell r="E9" t="str">
            <v>Х(Аl)120</v>
          </cell>
        </row>
        <row r="10">
          <cell r="A10">
            <v>9</v>
          </cell>
          <cell r="B10" t="str">
            <v>К(Аl)150</v>
          </cell>
          <cell r="C10">
            <v>0.20599999999999999</v>
          </cell>
          <cell r="D10">
            <v>7.3999999999999996E-2</v>
          </cell>
          <cell r="E10" t="str">
            <v>Х(Аl)150</v>
          </cell>
        </row>
        <row r="11">
          <cell r="A11">
            <v>10</v>
          </cell>
          <cell r="B11" t="str">
            <v>К(Аl)185</v>
          </cell>
          <cell r="C11">
            <v>0.16700000000000001</v>
          </cell>
          <cell r="D11">
            <v>7.2999999999999995E-2</v>
          </cell>
          <cell r="E11" t="str">
            <v>Х(Аl)185</v>
          </cell>
        </row>
        <row r="12">
          <cell r="A12">
            <v>11</v>
          </cell>
          <cell r="B12" t="str">
            <v>К(Аl)240</v>
          </cell>
          <cell r="C12">
            <v>0.129</v>
          </cell>
          <cell r="D12">
            <v>7.0999999999999994E-2</v>
          </cell>
          <cell r="E12" t="str">
            <v>Х(Аl)240</v>
          </cell>
        </row>
        <row r="13">
          <cell r="A13">
            <v>12</v>
          </cell>
          <cell r="B13" t="str">
            <v>К(Сu)10</v>
          </cell>
          <cell r="C13">
            <v>1.84</v>
          </cell>
          <cell r="D13">
            <v>0.11</v>
          </cell>
          <cell r="E13" t="str">
            <v>Х(Сu)10</v>
          </cell>
        </row>
        <row r="14">
          <cell r="A14">
            <v>13</v>
          </cell>
          <cell r="B14" t="str">
            <v>К(Сu)16</v>
          </cell>
          <cell r="C14">
            <v>1.1499999999999999</v>
          </cell>
          <cell r="D14">
            <v>0.10199999999999999</v>
          </cell>
          <cell r="E14" t="str">
            <v>Х(Сu)16</v>
          </cell>
        </row>
        <row r="15">
          <cell r="A15">
            <v>14</v>
          </cell>
          <cell r="B15" t="str">
            <v>К(Сu)25</v>
          </cell>
          <cell r="C15">
            <v>0.74</v>
          </cell>
          <cell r="D15">
            <v>9.0999999999999998E-2</v>
          </cell>
          <cell r="E15" t="str">
            <v>Х(Сu)25</v>
          </cell>
        </row>
        <row r="16">
          <cell r="A16">
            <v>15</v>
          </cell>
          <cell r="B16" t="str">
            <v>К(Сu)35</v>
          </cell>
          <cell r="C16">
            <v>0.52</v>
          </cell>
          <cell r="D16">
            <v>8.6999999999999994E-2</v>
          </cell>
          <cell r="E16" t="str">
            <v>Х(Сu)35</v>
          </cell>
        </row>
        <row r="17">
          <cell r="A17">
            <v>16</v>
          </cell>
          <cell r="B17" t="str">
            <v>К(Сu)50</v>
          </cell>
          <cell r="C17">
            <v>0.37</v>
          </cell>
          <cell r="D17">
            <v>8.3000000000000004E-2</v>
          </cell>
          <cell r="E17" t="str">
            <v>Х(С)u50</v>
          </cell>
        </row>
        <row r="18">
          <cell r="A18">
            <v>17</v>
          </cell>
          <cell r="B18" t="str">
            <v>К(Сu)70</v>
          </cell>
          <cell r="C18">
            <v>0.26</v>
          </cell>
          <cell r="D18">
            <v>0.08</v>
          </cell>
          <cell r="E18" t="str">
            <v>Х(Сu)70</v>
          </cell>
        </row>
        <row r="19">
          <cell r="A19">
            <v>18</v>
          </cell>
          <cell r="B19" t="str">
            <v>К(Сu)95</v>
          </cell>
          <cell r="C19">
            <v>0.19400000000000001</v>
          </cell>
          <cell r="D19">
            <v>7.8E-2</v>
          </cell>
          <cell r="E19" t="str">
            <v>Х(Сu)95</v>
          </cell>
        </row>
        <row r="20">
          <cell r="A20">
            <v>19</v>
          </cell>
          <cell r="B20" t="str">
            <v>К(Сu)120</v>
          </cell>
          <cell r="C20">
            <v>0.153</v>
          </cell>
          <cell r="D20">
            <v>7.5999999999999998E-2</v>
          </cell>
          <cell r="E20" t="str">
            <v>Х(Сu)120</v>
          </cell>
        </row>
        <row r="21">
          <cell r="A21">
            <v>20</v>
          </cell>
          <cell r="B21" t="str">
            <v>К(Сu)150</v>
          </cell>
          <cell r="C21">
            <v>0.122</v>
          </cell>
          <cell r="D21">
            <v>7.3999999999999996E-2</v>
          </cell>
          <cell r="E21" t="str">
            <v>Х(Сu)150</v>
          </cell>
        </row>
        <row r="22">
          <cell r="A22">
            <v>21</v>
          </cell>
          <cell r="B22" t="str">
            <v>К(Сu)185</v>
          </cell>
          <cell r="C22">
            <v>9.9000000000000005E-2</v>
          </cell>
          <cell r="D22">
            <v>7.2999999999999995E-2</v>
          </cell>
          <cell r="E22" t="str">
            <v>Х(Сu)185</v>
          </cell>
        </row>
        <row r="23">
          <cell r="A23">
            <v>22</v>
          </cell>
          <cell r="B23" t="str">
            <v>К(Сu)240</v>
          </cell>
          <cell r="C23">
            <v>7.6999999999999999E-2</v>
          </cell>
          <cell r="D23">
            <v>7.0999999999999994E-2</v>
          </cell>
          <cell r="E23" t="str">
            <v>Х(Сu)240</v>
          </cell>
        </row>
        <row r="24">
          <cell r="A24">
            <v>23</v>
          </cell>
          <cell r="B24" t="str">
            <v>2К(Аl)10</v>
          </cell>
          <cell r="C24">
            <v>1.55</v>
          </cell>
          <cell r="D24">
            <v>5.5E-2</v>
          </cell>
          <cell r="E24" t="str">
            <v>2Х(Аl)10</v>
          </cell>
        </row>
        <row r="25">
          <cell r="A25">
            <v>24</v>
          </cell>
          <cell r="B25" t="str">
            <v>2К(Аl)16</v>
          </cell>
          <cell r="C25">
            <v>0.97</v>
          </cell>
          <cell r="D25">
            <v>5.0999999999999997E-2</v>
          </cell>
          <cell r="E25" t="str">
            <v>2Х(Аl)16</v>
          </cell>
        </row>
        <row r="26">
          <cell r="A26">
            <v>25</v>
          </cell>
          <cell r="B26" t="str">
            <v>2К(Аl)25</v>
          </cell>
          <cell r="C26">
            <v>0.62</v>
          </cell>
          <cell r="D26">
            <v>4.7500000000000001E-2</v>
          </cell>
          <cell r="E26" t="str">
            <v>2Х(Аl)25</v>
          </cell>
        </row>
        <row r="27">
          <cell r="A27">
            <v>26</v>
          </cell>
          <cell r="B27" t="str">
            <v>2К(Аl)35</v>
          </cell>
          <cell r="C27">
            <v>0.44500000000000001</v>
          </cell>
          <cell r="D27">
            <v>4.3499999999999997E-2</v>
          </cell>
          <cell r="E27" t="str">
            <v>2Х(Аl)35</v>
          </cell>
        </row>
        <row r="28">
          <cell r="A28">
            <v>27</v>
          </cell>
          <cell r="B28" t="str">
            <v>2К(Аl)50</v>
          </cell>
          <cell r="C28">
            <v>0.31</v>
          </cell>
          <cell r="D28">
            <v>4.1500000000000002E-2</v>
          </cell>
          <cell r="E28" t="str">
            <v>2Х(Аl)50</v>
          </cell>
        </row>
        <row r="29">
          <cell r="A29">
            <v>28</v>
          </cell>
          <cell r="B29" t="str">
            <v>2К(Аl)70</v>
          </cell>
          <cell r="C29">
            <v>0.2215</v>
          </cell>
          <cell r="D29">
            <v>3.9E-2</v>
          </cell>
          <cell r="E29" t="str">
            <v>2Х(Аl)70</v>
          </cell>
        </row>
        <row r="30">
          <cell r="A30">
            <v>29</v>
          </cell>
          <cell r="B30" t="str">
            <v>2К(Аl)95</v>
          </cell>
          <cell r="C30">
            <v>0.16300000000000001</v>
          </cell>
          <cell r="D30">
            <v>3.9E-2</v>
          </cell>
          <cell r="E30" t="str">
            <v>2Х(Аl)95</v>
          </cell>
        </row>
        <row r="31">
          <cell r="A31">
            <v>30</v>
          </cell>
          <cell r="B31" t="str">
            <v>2К(Аl)120</v>
          </cell>
          <cell r="C31">
            <v>0.129</v>
          </cell>
          <cell r="D31">
            <v>3.7999999999999999E-2</v>
          </cell>
          <cell r="E31" t="str">
            <v>2Х(Аl)120</v>
          </cell>
        </row>
        <row r="32">
          <cell r="A32">
            <v>31</v>
          </cell>
          <cell r="B32" t="str">
            <v>2К(Аl)150</v>
          </cell>
          <cell r="C32">
            <v>0.10299999999999999</v>
          </cell>
          <cell r="D32">
            <v>3.6999999999999998E-2</v>
          </cell>
          <cell r="E32" t="str">
            <v>2Х(Аl)150</v>
          </cell>
        </row>
        <row r="33">
          <cell r="A33">
            <v>32</v>
          </cell>
          <cell r="B33" t="str">
            <v>2К(Аl)185</v>
          </cell>
          <cell r="C33">
            <v>8.3500000000000005E-2</v>
          </cell>
          <cell r="D33">
            <v>3.6499999999999998E-2</v>
          </cell>
          <cell r="E33" t="str">
            <v>2Х(Аl)185</v>
          </cell>
        </row>
        <row r="34">
          <cell r="A34">
            <v>33</v>
          </cell>
          <cell r="B34" t="str">
            <v>2К(Аl)240</v>
          </cell>
          <cell r="C34">
            <v>6.4500000000000002E-2</v>
          </cell>
          <cell r="D34">
            <v>3.5499999999999997E-2</v>
          </cell>
          <cell r="E34" t="str">
            <v>2Х(Аl)240</v>
          </cell>
        </row>
        <row r="35">
          <cell r="A35">
            <v>34</v>
          </cell>
          <cell r="B35" t="str">
            <v>2К(Сu)10</v>
          </cell>
          <cell r="C35">
            <v>0.92</v>
          </cell>
          <cell r="D35">
            <v>5.5E-2</v>
          </cell>
          <cell r="E35" t="str">
            <v>2Х(Сu)10</v>
          </cell>
        </row>
        <row r="36">
          <cell r="A36">
            <v>35</v>
          </cell>
          <cell r="B36" t="str">
            <v>2К(Сu)16</v>
          </cell>
          <cell r="C36">
            <v>0.57499999999999996</v>
          </cell>
          <cell r="D36">
            <v>5.0999999999999997E-2</v>
          </cell>
          <cell r="E36" t="str">
            <v>2Х(Сu)16</v>
          </cell>
        </row>
        <row r="37">
          <cell r="A37">
            <v>36</v>
          </cell>
          <cell r="B37" t="str">
            <v>2К(Сu)25</v>
          </cell>
          <cell r="C37">
            <v>0.37</v>
          </cell>
          <cell r="D37">
            <v>4.5499999999999999E-2</v>
          </cell>
          <cell r="E37" t="str">
            <v>2Х(Сu)25</v>
          </cell>
        </row>
        <row r="38">
          <cell r="A38">
            <v>37</v>
          </cell>
          <cell r="B38" t="str">
            <v>2К(Сu)35</v>
          </cell>
          <cell r="C38">
            <v>0.26</v>
          </cell>
          <cell r="D38">
            <v>4.3499999999999997E-2</v>
          </cell>
          <cell r="E38" t="str">
            <v>2Х(Сu)35</v>
          </cell>
        </row>
        <row r="39">
          <cell r="A39">
            <v>38</v>
          </cell>
          <cell r="B39" t="str">
            <v>2К(Сu)50</v>
          </cell>
          <cell r="C39">
            <v>0.185</v>
          </cell>
          <cell r="D39">
            <v>4.1500000000000002E-2</v>
          </cell>
          <cell r="E39" t="str">
            <v>2Х(С)u50</v>
          </cell>
        </row>
        <row r="40">
          <cell r="A40">
            <v>39</v>
          </cell>
          <cell r="B40" t="str">
            <v>2К(Сu)70</v>
          </cell>
          <cell r="C40">
            <v>0.13</v>
          </cell>
          <cell r="D40">
            <v>0.04</v>
          </cell>
          <cell r="E40" t="str">
            <v>2Х(Сu)70</v>
          </cell>
        </row>
        <row r="41">
          <cell r="A41">
            <v>40</v>
          </cell>
          <cell r="B41" t="str">
            <v>2К(Сu)95</v>
          </cell>
          <cell r="C41">
            <v>9.7000000000000003E-2</v>
          </cell>
          <cell r="D41">
            <v>3.9E-2</v>
          </cell>
          <cell r="E41" t="str">
            <v>2Х(Сu)95</v>
          </cell>
        </row>
        <row r="42">
          <cell r="A42">
            <v>41</v>
          </cell>
          <cell r="B42" t="str">
            <v>2К(Сu)120</v>
          </cell>
          <cell r="C42">
            <v>7.6499999999999999E-2</v>
          </cell>
          <cell r="D42">
            <v>3.7999999999999999E-2</v>
          </cell>
          <cell r="E42" t="str">
            <v>2Х(Сu)120</v>
          </cell>
        </row>
        <row r="43">
          <cell r="A43">
            <v>42</v>
          </cell>
          <cell r="B43" t="str">
            <v>2К(Сu)150</v>
          </cell>
          <cell r="C43">
            <v>6.0999999999999999E-2</v>
          </cell>
          <cell r="D43">
            <v>3.6999999999999998E-2</v>
          </cell>
          <cell r="E43" t="str">
            <v>2Х(Сu)150</v>
          </cell>
        </row>
        <row r="44">
          <cell r="A44">
            <v>43</v>
          </cell>
          <cell r="B44" t="str">
            <v>2К(Сu)185</v>
          </cell>
          <cell r="C44">
            <v>4.9500000000000002E-2</v>
          </cell>
          <cell r="D44">
            <v>3.6499999999999998E-2</v>
          </cell>
          <cell r="E44" t="str">
            <v>2Х(Сu)185</v>
          </cell>
        </row>
        <row r="45">
          <cell r="A45">
            <v>44</v>
          </cell>
          <cell r="B45" t="str">
            <v>2К(Сu)240</v>
          </cell>
          <cell r="C45">
            <v>3.85E-2</v>
          </cell>
          <cell r="D45">
            <v>3.5499999999999997E-2</v>
          </cell>
          <cell r="E45" t="str">
            <v>2Х(Сu)240</v>
          </cell>
        </row>
        <row r="46">
          <cell r="A46">
            <v>45</v>
          </cell>
          <cell r="B46" t="str">
            <v>3К(Аl)10</v>
          </cell>
          <cell r="C46">
            <v>1.0333333333333334</v>
          </cell>
          <cell r="D46">
            <v>3.6666666666666667E-2</v>
          </cell>
          <cell r="E46" t="str">
            <v>3Х(Аl)10</v>
          </cell>
        </row>
        <row r="47">
          <cell r="A47">
            <v>46</v>
          </cell>
          <cell r="B47" t="str">
            <v>3К(Аl)16</v>
          </cell>
          <cell r="C47">
            <v>0.64666666666666661</v>
          </cell>
          <cell r="D47">
            <v>3.3999999999999996E-2</v>
          </cell>
          <cell r="E47" t="str">
            <v>3Х(Аl)16</v>
          </cell>
        </row>
        <row r="48">
          <cell r="A48">
            <v>47</v>
          </cell>
          <cell r="B48" t="str">
            <v>3К(Аl)25</v>
          </cell>
          <cell r="C48">
            <v>0.41333333333333333</v>
          </cell>
          <cell r="D48">
            <v>3.1666666666666669E-2</v>
          </cell>
          <cell r="E48" t="str">
            <v>3Х(Аl)25</v>
          </cell>
        </row>
        <row r="49">
          <cell r="A49">
            <v>48</v>
          </cell>
          <cell r="B49" t="str">
            <v>3К(Аl)35</v>
          </cell>
          <cell r="C49">
            <v>0.29666666666666669</v>
          </cell>
          <cell r="D49">
            <v>2.8999999999999998E-2</v>
          </cell>
          <cell r="E49" t="str">
            <v>3Х(Аl)35</v>
          </cell>
        </row>
        <row r="50">
          <cell r="A50">
            <v>49</v>
          </cell>
          <cell r="B50" t="str">
            <v>3К(Аl)50</v>
          </cell>
          <cell r="C50">
            <v>0.20666666666666667</v>
          </cell>
          <cell r="D50">
            <v>2.7666666666666669E-2</v>
          </cell>
          <cell r="E50" t="str">
            <v>3Х(Аl)50</v>
          </cell>
        </row>
        <row r="51">
          <cell r="A51">
            <v>50</v>
          </cell>
          <cell r="B51" t="str">
            <v>3К(Аl)70</v>
          </cell>
          <cell r="C51">
            <v>0.14766666666666667</v>
          </cell>
          <cell r="D51">
            <v>2.5999999999999999E-2</v>
          </cell>
          <cell r="E51" t="str">
            <v>3Х(Аl)70</v>
          </cell>
        </row>
        <row r="52">
          <cell r="A52">
            <v>51</v>
          </cell>
          <cell r="B52" t="str">
            <v>3К(Аl)95</v>
          </cell>
          <cell r="C52">
            <v>0.10866666666666668</v>
          </cell>
          <cell r="D52">
            <v>2.5999999999999999E-2</v>
          </cell>
          <cell r="E52" t="str">
            <v>3Х(Аl)95</v>
          </cell>
        </row>
        <row r="53">
          <cell r="A53">
            <v>52</v>
          </cell>
          <cell r="B53" t="str">
            <v>3К(Аl)120</v>
          </cell>
          <cell r="C53">
            <v>8.6000000000000007E-2</v>
          </cell>
          <cell r="D53">
            <v>2.5333333333333333E-2</v>
          </cell>
          <cell r="E53" t="str">
            <v>3Х(Аl)120</v>
          </cell>
        </row>
        <row r="54">
          <cell r="A54">
            <v>53</v>
          </cell>
          <cell r="B54" t="str">
            <v>3К(Аl)150</v>
          </cell>
          <cell r="C54">
            <v>6.8666666666666668E-2</v>
          </cell>
          <cell r="D54">
            <v>2.4666666666666667E-2</v>
          </cell>
          <cell r="E54" t="str">
            <v>3Х(Аl)150</v>
          </cell>
        </row>
        <row r="55">
          <cell r="A55">
            <v>54</v>
          </cell>
          <cell r="B55" t="str">
            <v>3К(Аl)185</v>
          </cell>
          <cell r="C55">
            <v>5.566666666666667E-2</v>
          </cell>
          <cell r="D55">
            <v>2.4333333333333332E-2</v>
          </cell>
          <cell r="E55" t="str">
            <v>3Х(Аl)185</v>
          </cell>
        </row>
        <row r="56">
          <cell r="A56">
            <v>55</v>
          </cell>
          <cell r="B56" t="str">
            <v>3К(Аl)240</v>
          </cell>
          <cell r="C56">
            <v>4.3000000000000003E-2</v>
          </cell>
          <cell r="D56">
            <v>2.3666666666666666E-2</v>
          </cell>
          <cell r="E56" t="str">
            <v>3Х(Аl)240</v>
          </cell>
        </row>
        <row r="57">
          <cell r="A57">
            <v>56</v>
          </cell>
          <cell r="B57" t="str">
            <v>3К(Сu)10</v>
          </cell>
          <cell r="C57">
            <v>0.6133333333333334</v>
          </cell>
          <cell r="D57">
            <v>3.6666666666666667E-2</v>
          </cell>
          <cell r="E57" t="str">
            <v>3Х(Сu)10</v>
          </cell>
        </row>
        <row r="58">
          <cell r="A58">
            <v>57</v>
          </cell>
          <cell r="B58" t="str">
            <v>3К(Сu)16</v>
          </cell>
          <cell r="C58">
            <v>0.3833333333333333</v>
          </cell>
          <cell r="D58">
            <v>3.3999999999999996E-2</v>
          </cell>
          <cell r="E58" t="str">
            <v>3Х(Сu)16</v>
          </cell>
        </row>
        <row r="59">
          <cell r="A59">
            <v>58</v>
          </cell>
          <cell r="B59" t="str">
            <v>3К(Сu)25</v>
          </cell>
          <cell r="C59">
            <v>0.24666666666666667</v>
          </cell>
          <cell r="D59">
            <v>3.0333333333333334E-2</v>
          </cell>
          <cell r="E59" t="str">
            <v>3Х(Сu)25</v>
          </cell>
        </row>
        <row r="60">
          <cell r="A60">
            <v>59</v>
          </cell>
          <cell r="B60" t="str">
            <v>3К(Сu)35</v>
          </cell>
          <cell r="C60">
            <v>0.17333333333333334</v>
          </cell>
          <cell r="D60">
            <v>2.8999999999999998E-2</v>
          </cell>
          <cell r="E60" t="str">
            <v>3Х(Сu)35</v>
          </cell>
        </row>
        <row r="61">
          <cell r="A61">
            <v>60</v>
          </cell>
          <cell r="B61" t="str">
            <v>3К(Сu)50</v>
          </cell>
          <cell r="C61">
            <v>0.12333333333333334</v>
          </cell>
          <cell r="D61">
            <v>2.7666666666666669E-2</v>
          </cell>
          <cell r="E61" t="str">
            <v>3Х(С)u50</v>
          </cell>
        </row>
        <row r="62">
          <cell r="A62">
            <v>61</v>
          </cell>
          <cell r="B62" t="str">
            <v>3К(Сu)70</v>
          </cell>
          <cell r="C62">
            <v>8.666666666666667E-2</v>
          </cell>
          <cell r="D62">
            <v>2.6666666666666668E-2</v>
          </cell>
          <cell r="E62" t="str">
            <v>3Х(Сu)70</v>
          </cell>
        </row>
        <row r="63">
          <cell r="A63">
            <v>62</v>
          </cell>
          <cell r="B63" t="str">
            <v>3К(Сu)95</v>
          </cell>
          <cell r="C63">
            <v>6.4666666666666664E-2</v>
          </cell>
          <cell r="D63">
            <v>2.5999999999999999E-2</v>
          </cell>
          <cell r="E63" t="str">
            <v>3Х(Сu)95</v>
          </cell>
        </row>
        <row r="64">
          <cell r="A64">
            <v>63</v>
          </cell>
          <cell r="B64" t="str">
            <v>3К(Сu)120</v>
          </cell>
          <cell r="C64">
            <v>5.0999999999999997E-2</v>
          </cell>
          <cell r="D64">
            <v>2.5333333333333333E-2</v>
          </cell>
          <cell r="E64" t="str">
            <v>3Х(Сu)120</v>
          </cell>
        </row>
        <row r="65">
          <cell r="A65">
            <v>64</v>
          </cell>
          <cell r="B65" t="str">
            <v>3К(Сu)150</v>
          </cell>
          <cell r="C65">
            <v>4.0666666666666663E-2</v>
          </cell>
          <cell r="D65">
            <v>2.4666666666666667E-2</v>
          </cell>
          <cell r="E65" t="str">
            <v>3Х(Сu)150</v>
          </cell>
        </row>
        <row r="66">
          <cell r="A66">
            <v>65</v>
          </cell>
          <cell r="B66" t="str">
            <v>3К(Сu)185</v>
          </cell>
          <cell r="C66">
            <v>3.3000000000000002E-2</v>
          </cell>
          <cell r="D66">
            <v>2.4333333333333332E-2</v>
          </cell>
          <cell r="E66" t="str">
            <v>3Х(Сu)185</v>
          </cell>
        </row>
        <row r="67">
          <cell r="A67">
            <v>66</v>
          </cell>
          <cell r="B67" t="str">
            <v>3К(Сu)240</v>
          </cell>
          <cell r="C67">
            <v>2.5666666666666667E-2</v>
          </cell>
          <cell r="D67">
            <v>2.3666666666666666E-2</v>
          </cell>
          <cell r="E67" t="str">
            <v>3Х(Сu)240</v>
          </cell>
        </row>
        <row r="68">
          <cell r="A68">
            <v>67</v>
          </cell>
        </row>
      </sheetData>
      <sheetData sheetId="2"/>
      <sheetData sheetId="3">
        <row r="2">
          <cell r="A2">
            <v>1</v>
          </cell>
          <cell r="B2" t="str">
            <v>ПС 110/35/6кВ Мартыновская    1с.ш.35кВ</v>
          </cell>
          <cell r="C2">
            <v>4.9020181386774881</v>
          </cell>
          <cell r="D2">
            <v>5.2862861120779669</v>
          </cell>
          <cell r="F2" t="str">
            <v>По письму №Р57-б1-II 2-19-3286 от 21.10.24</v>
          </cell>
        </row>
        <row r="3">
          <cell r="A3">
            <v>2</v>
          </cell>
          <cell r="B3" t="str">
            <v>ПС 110/35/6кВ Мартыновская    2с.ш.35кВ</v>
          </cell>
          <cell r="C3">
            <v>4.8982573492001933</v>
          </cell>
          <cell r="D3">
            <v>5.2312064066132784</v>
          </cell>
          <cell r="F3" t="str">
            <v>По письму №Р57-б1-II 2-19-3286 от 21.10.24</v>
          </cell>
        </row>
        <row r="4">
          <cell r="A4">
            <v>3</v>
          </cell>
          <cell r="B4" t="str">
            <v>ПС 110/35/6кВ Кирьяновская    1,2с.ш.35кВ</v>
          </cell>
          <cell r="C4">
            <v>2.5499999999999998</v>
          </cell>
          <cell r="D4">
            <v>5.42</v>
          </cell>
          <cell r="F4" t="str">
            <v>№Т4/1/2073 от 22.08.2016</v>
          </cell>
        </row>
        <row r="5">
          <cell r="A5">
            <v>4</v>
          </cell>
          <cell r="B5" t="str">
            <v>ПС 110/35/6кВ Мартыновская    1,2с.ш.6кВ</v>
          </cell>
          <cell r="C5">
            <v>0.19</v>
          </cell>
          <cell r="D5">
            <v>0.247</v>
          </cell>
          <cell r="F5" t="str">
            <v>№Т4/1/2073 от 22.08.2016</v>
          </cell>
        </row>
        <row r="6">
          <cell r="A6">
            <v>5</v>
          </cell>
          <cell r="B6" t="str">
            <v>ПС 110/35/6кВ Дельта    1,2с.ш.35кВ</v>
          </cell>
          <cell r="C6">
            <v>6.3479999999999999</v>
          </cell>
          <cell r="D6">
            <v>6.79</v>
          </cell>
          <cell r="F6" t="str">
            <v>№Т4/1/2073 от 22.08.2016</v>
          </cell>
        </row>
        <row r="7">
          <cell r="A7">
            <v>6</v>
          </cell>
          <cell r="B7" t="str">
            <v>ПС 110/35/6 кВ Малочерногорская 1,2 с.ш. 35 кВ</v>
          </cell>
          <cell r="C7">
            <v>15.784000000000001</v>
          </cell>
          <cell r="D7">
            <v>18.87</v>
          </cell>
          <cell r="F7" t="str">
            <v>№РТ4/1/1331 от 20.04.2021</v>
          </cell>
        </row>
        <row r="8">
          <cell r="A8">
            <v>7</v>
          </cell>
          <cell r="B8" t="str">
            <v>ЗРУ-6кВ Мартыновское    1,2с.ш.6кВ</v>
          </cell>
          <cell r="C8">
            <v>0.19</v>
          </cell>
          <cell r="D8">
            <v>0.247</v>
          </cell>
          <cell r="F8" t="str">
            <v>№Т4/1/2073 от 22.08.2016</v>
          </cell>
        </row>
        <row r="9">
          <cell r="A9">
            <v>8</v>
          </cell>
          <cell r="B9" t="str">
            <v>РУ-6кВ Таежное   1,2с.ш.</v>
          </cell>
          <cell r="C9">
            <v>0.27900000000000003</v>
          </cell>
          <cell r="D9">
            <v>0.32300000000000001</v>
          </cell>
          <cell r="F9" t="str">
            <v>№Т4/1/2073 от 22.08.2016</v>
          </cell>
        </row>
        <row r="10">
          <cell r="A10">
            <v>9</v>
          </cell>
          <cell r="B10" t="str">
            <v xml:space="preserve">ПС 35/6кВ ДНС-2В    1с.ш. </v>
          </cell>
          <cell r="C10">
            <v>0.90312430089092977</v>
          </cell>
          <cell r="D10">
            <v>0.99604324207060935</v>
          </cell>
          <cell r="F10" t="str">
            <v>расчет от 04.10.2016</v>
          </cell>
          <cell r="J10">
            <v>0.97516630745264798</v>
          </cell>
          <cell r="K10">
            <v>1.066751509502017</v>
          </cell>
        </row>
        <row r="11">
          <cell r="A11">
            <v>10</v>
          </cell>
          <cell r="B11" t="str">
            <v xml:space="preserve">ПС 35/6кВ ДНС-2В    2с.ш. </v>
          </cell>
          <cell r="C11">
            <v>0.89618428424429997</v>
          </cell>
          <cell r="D11">
            <v>0.98910220186756637</v>
          </cell>
          <cell r="F11" t="str">
            <v>расчет от 04.10.2016</v>
          </cell>
          <cell r="J11">
            <v>0.96822947117962155</v>
          </cell>
          <cell r="K11">
            <v>1.059813203011158</v>
          </cell>
        </row>
        <row r="12">
          <cell r="A12">
            <v>11</v>
          </cell>
          <cell r="B12" t="str">
            <v>ПС 35/6кВ КРС    1,2с.ш.</v>
          </cell>
          <cell r="C12">
            <v>0.8674055251214432</v>
          </cell>
          <cell r="D12">
            <v>0.96023108868813789</v>
          </cell>
          <cell r="F12" t="str">
            <v>расчет от 04.10.2016</v>
          </cell>
        </row>
        <row r="13">
          <cell r="A13">
            <v>12</v>
          </cell>
          <cell r="B13" t="str">
            <v>ПС 35/6кВ КНС-4В    1с.ш.</v>
          </cell>
          <cell r="C13">
            <v>0.57982287546439171</v>
          </cell>
          <cell r="D13">
            <v>0.6728099252179589</v>
          </cell>
          <cell r="F13" t="str">
            <v>расчет от 04.10.2016</v>
          </cell>
          <cell r="J13">
            <v>0.76834456269187135</v>
          </cell>
          <cell r="K13">
            <v>0.85952938191859563</v>
          </cell>
        </row>
        <row r="14">
          <cell r="A14">
            <v>13</v>
          </cell>
          <cell r="B14" t="str">
            <v>ПС 35/6кВ КНС-4В    2с.ш.</v>
          </cell>
          <cell r="C14">
            <v>0.58738278697268242</v>
          </cell>
          <cell r="D14">
            <v>0.68036985937929051</v>
          </cell>
          <cell r="F14" t="str">
            <v>расчет от 04.10.2016</v>
          </cell>
          <cell r="J14">
            <v>0.7758582236943572</v>
          </cell>
          <cell r="K14">
            <v>0.86705233848791574</v>
          </cell>
        </row>
        <row r="15">
          <cell r="A15">
            <v>14</v>
          </cell>
          <cell r="B15" t="str">
            <v>ПС 35/6кВ КНС-5В    1 с.ш.</v>
          </cell>
          <cell r="C15">
            <v>0.74299999999999999</v>
          </cell>
          <cell r="D15">
            <v>0.83499999999999996</v>
          </cell>
          <cell r="J15">
            <v>0.72599999999999998</v>
          </cell>
          <cell r="K15">
            <v>0.81799999999999995</v>
          </cell>
        </row>
        <row r="16">
          <cell r="A16">
            <v>15</v>
          </cell>
          <cell r="B16" t="str">
            <v>ПС 35/6кВ КНС-5В    2 с.ш.</v>
          </cell>
          <cell r="C16">
            <v>0.74450893893267811</v>
          </cell>
          <cell r="D16">
            <v>0.83587795496152573</v>
          </cell>
          <cell r="F16" t="str">
            <v>расчет от 04.10.2016</v>
          </cell>
          <cell r="J16">
            <v>0.72694107388067841</v>
          </cell>
          <cell r="K16">
            <v>0.81935317237659711</v>
          </cell>
        </row>
        <row r="17">
          <cell r="A17">
            <v>16</v>
          </cell>
          <cell r="B17" t="str">
            <v>ПС 35/6кВ КНС-8В    1,2с.ш.</v>
          </cell>
          <cell r="C17">
            <v>0.60341352422377814</v>
          </cell>
          <cell r="D17">
            <v>0.69628621138161284</v>
          </cell>
          <cell r="F17" t="str">
            <v>расчет от 04.10.2016</v>
          </cell>
          <cell r="J17">
            <v>0.69261411884104507</v>
          </cell>
          <cell r="K17">
            <v>0.78404942554736767</v>
          </cell>
        </row>
        <row r="18">
          <cell r="A18">
            <v>17</v>
          </cell>
          <cell r="B18" t="str">
            <v>ПС 35/6кВ Куст-47  1с.ш.</v>
          </cell>
          <cell r="C18">
            <v>0.74063649322859693</v>
          </cell>
          <cell r="D18">
            <v>0.83201022661861179</v>
          </cell>
          <cell r="F18" t="str">
            <v>расчет от 04.10.2016</v>
          </cell>
          <cell r="J18">
            <v>0.72305663143489773</v>
          </cell>
          <cell r="K18">
            <v>0.81547379113910312</v>
          </cell>
        </row>
        <row r="19">
          <cell r="A19">
            <v>18</v>
          </cell>
          <cell r="B19" t="str">
            <v>ПС 35/6кВ Куст-47  2с.ш.</v>
          </cell>
          <cell r="C19">
            <v>0.75193293274197892</v>
          </cell>
          <cell r="D19">
            <v>0.84331566568987282</v>
          </cell>
          <cell r="F19" t="str">
            <v>расчет от 04.10.2016</v>
          </cell>
          <cell r="J19">
            <v>0.73431930019983915</v>
          </cell>
          <cell r="K19">
            <v>0.82675293423052432</v>
          </cell>
        </row>
        <row r="20">
          <cell r="A20">
            <v>19</v>
          </cell>
          <cell r="B20" t="str">
            <v>ПС 35/6кВ Куст-53    1с.ш.</v>
          </cell>
          <cell r="C20">
            <v>0.7456220431406253</v>
          </cell>
          <cell r="D20">
            <v>0.75804465028432455</v>
          </cell>
          <cell r="F20" t="str">
            <v>расчет от 14.07.2025</v>
          </cell>
          <cell r="J20">
            <v>0.89724382649783696</v>
          </cell>
          <cell r="K20">
            <v>0.90029759994019787</v>
          </cell>
        </row>
        <row r="21">
          <cell r="A21">
            <v>20</v>
          </cell>
          <cell r="B21" t="str">
            <v>ПС 35/6кВ Куст-53    2с.ш.</v>
          </cell>
          <cell r="C21">
            <v>0.745500468978336</v>
          </cell>
          <cell r="D21">
            <v>0.75626397881530316</v>
          </cell>
          <cell r="F21" t="str">
            <v>расчет от 14.07.2025</v>
          </cell>
          <cell r="J21">
            <v>0.89724382649783696</v>
          </cell>
          <cell r="K21">
            <v>0.90029759994019787</v>
          </cell>
        </row>
        <row r="22">
          <cell r="A22">
            <v>21</v>
          </cell>
          <cell r="B22" t="str">
            <v>ПС 35/6кВ Куст-120    1,2с.ш.</v>
          </cell>
          <cell r="C22">
            <v>0.92504072458990905</v>
          </cell>
          <cell r="D22">
            <v>1.0162029441405018</v>
          </cell>
          <cell r="F22" t="str">
            <v>расчет от 04.10.2016</v>
          </cell>
          <cell r="J22">
            <v>0.90793144102383272</v>
          </cell>
          <cell r="K22">
            <v>1.000132907566996</v>
          </cell>
        </row>
        <row r="23">
          <cell r="A23">
            <v>22</v>
          </cell>
          <cell r="B23" t="str">
            <v>ПС 35/6кВ Куст-211    1 с.ш.</v>
          </cell>
          <cell r="C23">
            <v>0.89602043647637952</v>
          </cell>
          <cell r="D23">
            <v>0.9862962391854293</v>
          </cell>
          <cell r="F23" t="str">
            <v>расчет от 04.10.2016</v>
          </cell>
          <cell r="J23">
            <v>0.8805547946857496</v>
          </cell>
          <cell r="K23">
            <v>0.97168057176464262</v>
          </cell>
        </row>
        <row r="24">
          <cell r="A24">
            <v>23</v>
          </cell>
          <cell r="B24" t="str">
            <v>ПС 35/6кВ Куст-211    2 с.ш.</v>
          </cell>
          <cell r="C24">
            <v>0.89300000000000002</v>
          </cell>
          <cell r="D24">
            <v>0.98299999999999998</v>
          </cell>
        </row>
        <row r="25">
          <cell r="A25">
            <v>24</v>
          </cell>
          <cell r="B25" t="str">
            <v>ПС 35/6кВ Куст-220 1с.ш.</v>
          </cell>
          <cell r="C25">
            <v>0.98251283713044213</v>
          </cell>
          <cell r="D25">
            <v>1.0751510919522183</v>
          </cell>
          <cell r="F25" t="str">
            <v>расчет от 04.10.2016</v>
          </cell>
          <cell r="J25">
            <v>1.0997343902718104</v>
          </cell>
          <cell r="K25">
            <v>1.1908508028459039</v>
          </cell>
        </row>
        <row r="26">
          <cell r="A26">
            <v>25</v>
          </cell>
          <cell r="B26" t="str">
            <v>ПС 35/6кВ Куст-220 2с.ш.</v>
          </cell>
          <cell r="C26">
            <v>0.99140665632539571</v>
          </cell>
          <cell r="D26">
            <v>1.084050905529919</v>
          </cell>
          <cell r="F26" t="str">
            <v>расчет от 04.10.2016</v>
          </cell>
          <cell r="J26">
            <v>1.1086044096471477</v>
          </cell>
          <cell r="K26">
            <v>1.1997296810312417</v>
          </cell>
        </row>
        <row r="27">
          <cell r="A27">
            <v>26</v>
          </cell>
          <cell r="B27" t="str">
            <v>РУ-6кВ ДНС-2В    1с.ш.</v>
          </cell>
          <cell r="C27">
            <v>0.904307522209019</v>
          </cell>
          <cell r="D27">
            <v>0.99722523146026332</v>
          </cell>
          <cell r="F27" t="str">
            <v>расчет от 04.10.2016</v>
          </cell>
          <cell r="J27">
            <v>0.97634855320744518</v>
          </cell>
          <cell r="K27">
            <v>1.0679327050695031</v>
          </cell>
        </row>
        <row r="28">
          <cell r="A28">
            <v>27</v>
          </cell>
          <cell r="B28" t="str">
            <v>РУ-6кВ ДНС-2В    2с.ш.</v>
          </cell>
          <cell r="C28">
            <v>0.89716853875442193</v>
          </cell>
          <cell r="D28">
            <v>0.99008558785738809</v>
          </cell>
          <cell r="F28" t="str">
            <v>расчет от 04.10.2016</v>
          </cell>
          <cell r="J28">
            <v>0.96921303776804912</v>
          </cell>
          <cell r="K28">
            <v>1.0607960300041859</v>
          </cell>
        </row>
        <row r="29">
          <cell r="A29">
            <v>28</v>
          </cell>
          <cell r="B29" t="str">
            <v>РУ-6кВ КНС-8В    1,2с.ш.</v>
          </cell>
          <cell r="C29">
            <v>0.60583246901229004</v>
          </cell>
          <cell r="D29">
            <v>0.6986946626598961</v>
          </cell>
          <cell r="F29" t="str">
            <v>расчет от 04.10.2016</v>
          </cell>
          <cell r="J29">
            <v>0.69502293177573171</v>
          </cell>
          <cell r="K29">
            <v>0.7864502381032884</v>
          </cell>
        </row>
        <row r="30">
          <cell r="A30">
            <v>29</v>
          </cell>
          <cell r="B30" t="str">
            <v>РУ-6кВ КНС-4В    1с.ш.</v>
          </cell>
          <cell r="C30">
            <v>0.58462311593305993</v>
          </cell>
          <cell r="D30">
            <v>0.67754014281824337</v>
          </cell>
          <cell r="F30" t="str">
            <v>расчет от 04.10.2016</v>
          </cell>
          <cell r="J30">
            <v>0.77302037739380414</v>
          </cell>
          <cell r="K30">
            <v>0.8641644872234826</v>
          </cell>
        </row>
        <row r="31">
          <cell r="A31">
            <v>30</v>
          </cell>
          <cell r="B31" t="str">
            <v>РУ-6кВ КНС-4В    2с.ш.</v>
          </cell>
          <cell r="C31">
            <v>0.59217651358697199</v>
          </cell>
          <cell r="D31">
            <v>0.68509521925442596</v>
          </cell>
          <cell r="F31" t="str">
            <v>расчет от 04.10.2016</v>
          </cell>
          <cell r="J31">
            <v>0.78053032441632964</v>
          </cell>
          <cell r="K31">
            <v>0.87168446541256517</v>
          </cell>
        </row>
        <row r="32">
          <cell r="A32">
            <v>31</v>
          </cell>
          <cell r="B32" t="str">
            <v>РУ-6кВ КНС-9    1с.ш.</v>
          </cell>
          <cell r="C32">
            <v>1.4744195329074836</v>
          </cell>
          <cell r="D32">
            <v>1.5624413338635881</v>
          </cell>
          <cell r="F32" t="str">
            <v>расчет от 04.10.2016</v>
          </cell>
          <cell r="J32">
            <v>1.4593676664115436</v>
          </cell>
          <cell r="K32">
            <v>1.5481729784228953</v>
          </cell>
        </row>
        <row r="33">
          <cell r="A33">
            <v>32</v>
          </cell>
          <cell r="B33" t="str">
            <v>РУ-6кВ КНС-9    2с.ш.</v>
          </cell>
          <cell r="C33">
            <v>1.6057321676329086</v>
          </cell>
          <cell r="D33">
            <v>1.6931514388049964</v>
          </cell>
          <cell r="F33" t="str">
            <v>расчет от 04.10.2016</v>
          </cell>
          <cell r="J33">
            <v>1.5908018304340856</v>
          </cell>
          <cell r="K33">
            <v>1.678988906850938</v>
          </cell>
        </row>
        <row r="34">
          <cell r="A34">
            <v>33</v>
          </cell>
          <cell r="B34" t="str">
            <v>ПС 35/6кВ ВЦТП    1с.ш.</v>
          </cell>
          <cell r="C34">
            <v>0.72247236889234412</v>
          </cell>
          <cell r="D34">
            <v>0.73376465925292444</v>
          </cell>
          <cell r="F34" t="str">
            <v>расчет от 14.07.2025</v>
          </cell>
          <cell r="J34">
            <v>0.98544867676121817</v>
          </cell>
          <cell r="K34">
            <v>0.98821290121491723</v>
          </cell>
        </row>
        <row r="35">
          <cell r="A35">
            <v>34</v>
          </cell>
          <cell r="B35" t="str">
            <v>ПС 35/6кВ ВЦТП    2с.ш.</v>
          </cell>
          <cell r="C35">
            <v>0.47749064195612462</v>
          </cell>
          <cell r="D35">
            <v>0.48727431429213924</v>
          </cell>
          <cell r="F35" t="str">
            <v>расчет от 14.07.2025</v>
          </cell>
          <cell r="J35">
            <v>0.74378637478884069</v>
          </cell>
          <cell r="K35">
            <v>0.74652960034997518</v>
          </cell>
        </row>
        <row r="36">
          <cell r="A36">
            <v>35</v>
          </cell>
          <cell r="B36" t="str">
            <v>ПС 35/6кВ Южная 1с.ш.</v>
          </cell>
          <cell r="C36">
            <v>0.58126151454555774</v>
          </cell>
          <cell r="D36">
            <v>0.63517158006337193</v>
          </cell>
          <cell r="F36" t="str">
            <v>расчет от 04.10.2016</v>
          </cell>
          <cell r="J36">
            <v>0.76880387411371809</v>
          </cell>
          <cell r="K36">
            <v>0.77154616822557909</v>
          </cell>
        </row>
        <row r="37">
          <cell r="A37">
            <v>36</v>
          </cell>
          <cell r="B37" t="str">
            <v>ПС 35/6кВ Южная 2с.ш.</v>
          </cell>
          <cell r="C37">
            <v>0.56591928622163568</v>
          </cell>
          <cell r="D37">
            <v>0.61980676096506904</v>
          </cell>
          <cell r="F37" t="str">
            <v>расчет от 04.10.2016</v>
          </cell>
          <cell r="J37">
            <v>0.75360605953380699</v>
          </cell>
          <cell r="K37">
            <v>0.75634631986768053</v>
          </cell>
        </row>
        <row r="38">
          <cell r="A38">
            <v>37</v>
          </cell>
          <cell r="B38" t="str">
            <v>ПС 35/6кВ Южная 1с.ш. (питание от ДЭС)</v>
          </cell>
          <cell r="C38">
            <v>3.1680000000000001</v>
          </cell>
          <cell r="D38">
            <v>3.1680000000000001</v>
          </cell>
          <cell r="F38" t="str">
            <v>расчет от 17.11.10</v>
          </cell>
        </row>
        <row r="39">
          <cell r="A39">
            <v>38</v>
          </cell>
          <cell r="B39" t="str">
            <v>ПС 35/6кВ Юкишевская  1с.ш.</v>
          </cell>
          <cell r="C39">
            <v>0.4986180642726098</v>
          </cell>
          <cell r="D39">
            <v>0.51106548277326647</v>
          </cell>
          <cell r="F39" t="str">
            <v>расчет от 14.07.2025</v>
          </cell>
          <cell r="J39">
            <v>0.78233856880616048</v>
          </cell>
          <cell r="K39">
            <v>0.78535975212662346</v>
          </cell>
        </row>
        <row r="40">
          <cell r="A40">
            <v>39</v>
          </cell>
          <cell r="B40" t="str">
            <v>ПС 35/6кВ Юкишевская  2с.ш.</v>
          </cell>
          <cell r="C40">
            <v>0.49571860244643445</v>
          </cell>
          <cell r="D40">
            <v>0.50650363353690098</v>
          </cell>
          <cell r="F40" t="str">
            <v>расчет от 14.07.2025</v>
          </cell>
          <cell r="J40">
            <v>0.77961193501970549</v>
          </cell>
          <cell r="K40">
            <v>0.78263271719823324</v>
          </cell>
        </row>
        <row r="41">
          <cell r="A41">
            <v>40</v>
          </cell>
          <cell r="B41" t="str">
            <v>ПС 35/6кВ ДНС-Узунская 1с.ш. (от М-Черногорская)</v>
          </cell>
          <cell r="C41">
            <v>1.1399999999999999</v>
          </cell>
          <cell r="D41">
            <v>1.21</v>
          </cell>
          <cell r="F41" t="str">
            <v>расчет от 11.05.2021</v>
          </cell>
        </row>
        <row r="42">
          <cell r="A42">
            <v>41</v>
          </cell>
          <cell r="B42" t="str">
            <v>ПС 35/6кВ ДНС-Узунская 2с.ш. (от М-Черногорская)</v>
          </cell>
          <cell r="C42">
            <v>1.1299999999999999</v>
          </cell>
          <cell r="D42">
            <v>1.21</v>
          </cell>
          <cell r="F42" t="str">
            <v>расчет от 11.05.2021</v>
          </cell>
        </row>
        <row r="43">
          <cell r="A43">
            <v>42</v>
          </cell>
          <cell r="B43" t="str">
            <v>ПС 35/6 кВ "Котельная"</v>
          </cell>
          <cell r="C43">
            <v>0.67400000000000004</v>
          </cell>
          <cell r="D43">
            <v>0.752</v>
          </cell>
          <cell r="F43" t="str">
            <v>Шкляр  08.10.14 по телефону</v>
          </cell>
        </row>
        <row r="44">
          <cell r="A44">
            <v>43</v>
          </cell>
          <cell r="B44" t="str">
            <v>ПС 35/6 кВ "Северная"    1с.ш.</v>
          </cell>
          <cell r="C44">
            <v>0.34899999999999998</v>
          </cell>
          <cell r="D44">
            <v>0.42699999999999999</v>
          </cell>
          <cell r="F44" t="str">
            <v>07.09.2015 Мартьянов по телефону</v>
          </cell>
        </row>
        <row r="45">
          <cell r="A45">
            <v>44</v>
          </cell>
          <cell r="B45" t="str">
            <v>ПС 35/6 кВ "Северная"    2с.ш.</v>
          </cell>
          <cell r="C45">
            <v>0.34699999999999998</v>
          </cell>
          <cell r="D45">
            <v>0.42499999999999999</v>
          </cell>
        </row>
        <row r="46">
          <cell r="A46">
            <v>45</v>
          </cell>
          <cell r="B46" t="str">
            <v>РУ-6кВ №2(от ВЦТП)    1с.ш.</v>
          </cell>
          <cell r="C46">
            <v>0.75106973528280285</v>
          </cell>
          <cell r="D46">
            <v>0.80502707819740738</v>
          </cell>
          <cell r="F46" t="str">
            <v>расчет от 04.10.2016</v>
          </cell>
          <cell r="J46">
            <v>1.0398999597660834</v>
          </cell>
          <cell r="K46">
            <v>1.0426534702517858</v>
          </cell>
        </row>
        <row r="47">
          <cell r="A47">
            <v>46</v>
          </cell>
          <cell r="B47" t="str">
            <v>РУ-6кВ №2(от ВЦТП)    2с.ш.</v>
          </cell>
          <cell r="C47">
            <v>0.50890452483158177</v>
          </cell>
          <cell r="D47">
            <v>0.56243488892010696</v>
          </cell>
          <cell r="F47" t="str">
            <v>расчет от 04.10.2016</v>
          </cell>
          <cell r="J47">
            <v>0.79946019902665366</v>
          </cell>
          <cell r="K47">
            <v>0.80218542414206084</v>
          </cell>
        </row>
        <row r="48">
          <cell r="A48">
            <v>47</v>
          </cell>
          <cell r="B48" t="str">
            <v>РУ-6кВ №2 (от Юкиш-ой)  2с.ш.</v>
          </cell>
          <cell r="C48">
            <v>0.49525009988871288</v>
          </cell>
          <cell r="D48">
            <v>0.55425992977555072</v>
          </cell>
          <cell r="F48" t="str">
            <v>расчет от 04.10.2016</v>
          </cell>
          <cell r="J48">
            <v>0.80606286742258182</v>
          </cell>
          <cell r="K48">
            <v>0.80906497798192567</v>
          </cell>
        </row>
        <row r="49">
          <cell r="A49">
            <v>48</v>
          </cell>
          <cell r="B49" t="str">
            <v>РУ-6кВ №3 (от ВЦТП)    1с.ш.</v>
          </cell>
          <cell r="C49">
            <v>0.70901946606124677</v>
          </cell>
          <cell r="D49">
            <v>0.76330913670856326</v>
          </cell>
          <cell r="F49" t="str">
            <v>расчет от 04.10.2016</v>
          </cell>
          <cell r="J49">
            <v>0.99922636438364387</v>
          </cell>
          <cell r="K49">
            <v>1.0019893261986224</v>
          </cell>
        </row>
        <row r="50">
          <cell r="A50">
            <v>49</v>
          </cell>
          <cell r="B50" t="str">
            <v>РУ-6кВ №3 (от ВЦТП)    2с.ш.</v>
          </cell>
          <cell r="C50">
            <v>0.46449014591985388</v>
          </cell>
          <cell r="D50">
            <v>0.51871947804837237</v>
          </cell>
          <cell r="F50" t="str">
            <v>расчет от 04.10.2016</v>
          </cell>
          <cell r="J50">
            <v>0.75771005031337713</v>
          </cell>
          <cell r="K50">
            <v>0.76045109819896828</v>
          </cell>
        </row>
        <row r="51">
          <cell r="A51">
            <v>50</v>
          </cell>
          <cell r="B51" t="str">
            <v>РУ-6кВ №3 (от РУ №4)    2с.ш.</v>
          </cell>
          <cell r="C51">
            <v>0.48085992283353357</v>
          </cell>
          <cell r="D51">
            <v>0.54068960128673782</v>
          </cell>
          <cell r="F51" t="str">
            <v>расчет от 04.10.2016</v>
          </cell>
          <cell r="J51">
            <v>0.79462683738395301</v>
          </cell>
          <cell r="K51">
            <v>0.7976463053356484</v>
          </cell>
        </row>
        <row r="52">
          <cell r="A52">
            <v>51</v>
          </cell>
          <cell r="B52" t="str">
            <v>РУ-6кВ №3 новое (от ВЦТП)    1с.ш.</v>
          </cell>
          <cell r="C52">
            <v>0.70815349138405392</v>
          </cell>
          <cell r="D52">
            <v>0.76247916736128096</v>
          </cell>
          <cell r="F52" t="str">
            <v>расчет от 04.10.2016</v>
          </cell>
          <cell r="J52">
            <v>0.99850738977339903</v>
          </cell>
          <cell r="K52">
            <v>1.0012713417086772</v>
          </cell>
        </row>
        <row r="53">
          <cell r="A53">
            <v>52</v>
          </cell>
          <cell r="B53" t="str">
            <v>РУ-6кВ №3 новое (от ВЦТП)    2с.ш.</v>
          </cell>
          <cell r="C53">
            <v>0.46335749249199065</v>
          </cell>
          <cell r="D53">
            <v>0.51766770004666807</v>
          </cell>
          <cell r="F53" t="str">
            <v>расчет от 04.10.2016</v>
          </cell>
          <cell r="J53">
            <v>0.75687660642673615</v>
          </cell>
          <cell r="K53">
            <v>0.75961936168041744</v>
          </cell>
        </row>
        <row r="54">
          <cell r="A54">
            <v>53</v>
          </cell>
          <cell r="B54" t="str">
            <v>РУ-6кВ №4 (от Юкиш-ой)  1с.ш.</v>
          </cell>
          <cell r="C54">
            <v>0.47029644479093147</v>
          </cell>
          <cell r="D54">
            <v>0.53018843254457726</v>
          </cell>
          <cell r="F54" t="str">
            <v>расчет от 04.10.2016</v>
          </cell>
          <cell r="J54">
            <v>0.78423411352827765</v>
          </cell>
          <cell r="K54">
            <v>0.78725526789499578</v>
          </cell>
        </row>
        <row r="55">
          <cell r="A55">
            <v>54</v>
          </cell>
          <cell r="B55" t="str">
            <v>РУ-6кВ №4 (от Юкиш-ой)  2с.ш.</v>
          </cell>
          <cell r="C55">
            <v>0.46751896625692613</v>
          </cell>
          <cell r="D55">
            <v>0.52741077791055591</v>
          </cell>
          <cell r="F55" t="str">
            <v>расчет от 04.10.2016</v>
          </cell>
          <cell r="J55">
            <v>0.78150750606491548</v>
          </cell>
          <cell r="K55">
            <v>0.78452825909155766</v>
          </cell>
        </row>
        <row r="56">
          <cell r="A56">
            <v>55</v>
          </cell>
          <cell r="B56" t="str">
            <v>РУ-6кВ №4 (от РУ №3)    2с.ш.</v>
          </cell>
          <cell r="C56">
            <v>0.4778346582096768</v>
          </cell>
          <cell r="D56">
            <v>0.53200645068052732</v>
          </cell>
          <cell r="F56" t="str">
            <v>расчет от 04.10.2016</v>
          </cell>
          <cell r="J56">
            <v>0.77083985757867401</v>
          </cell>
          <cell r="K56">
            <v>0.77357966598274963</v>
          </cell>
        </row>
        <row r="57">
          <cell r="A57">
            <v>56</v>
          </cell>
          <cell r="B57" t="str">
            <v>ЗРУ-6кВ ДНС (от ДНС Узунской) 1с.ш.</v>
          </cell>
          <cell r="C57">
            <v>1.2539240745754905</v>
          </cell>
          <cell r="D57">
            <v>1.323802245352379</v>
          </cell>
          <cell r="F57" t="str">
            <v>расчет от 11.05.2021</v>
          </cell>
        </row>
        <row r="58">
          <cell r="A58">
            <v>57</v>
          </cell>
          <cell r="B58" t="str">
            <v>ЗРУ-6кВ ДНС (от ДНС Узунской) 2с.ш.</v>
          </cell>
          <cell r="C58">
            <v>1.2356649335479257</v>
          </cell>
          <cell r="D58">
            <v>1.315540583942586</v>
          </cell>
          <cell r="F58" t="str">
            <v>расчет от 11.05.2021</v>
          </cell>
        </row>
        <row r="59">
          <cell r="A59">
            <v>58</v>
          </cell>
          <cell r="B59" t="str">
            <v>ЗРУ-6кВ БКНС (от ДНС Узунской) 1с.ш.</v>
          </cell>
          <cell r="C59">
            <v>1.2929758801307933</v>
          </cell>
          <cell r="D59">
            <v>1.362763965842948</v>
          </cell>
          <cell r="F59" t="str">
            <v>расчет от 11.05.2021</v>
          </cell>
        </row>
        <row r="60">
          <cell r="A60">
            <v>59</v>
          </cell>
          <cell r="B60" t="str">
            <v>ЗРУ-6кВ БКНС (от ДНС Узунской) 2с.ш.</v>
          </cell>
          <cell r="C60">
            <v>1.2746453022704001</v>
          </cell>
          <cell r="D60">
            <v>1.3544211481662563</v>
          </cell>
          <cell r="F60" t="str">
            <v>расчет от 11.05.2021</v>
          </cell>
        </row>
        <row r="61">
          <cell r="A61">
            <v>60</v>
          </cell>
          <cell r="B61" t="str">
            <v xml:space="preserve">           СР №2</v>
          </cell>
        </row>
        <row r="62">
          <cell r="A62">
            <v>61</v>
          </cell>
          <cell r="B62" t="str">
            <v>ПС 110/35/6кВ Мартовская    1,2с.ш.35кВ</v>
          </cell>
          <cell r="C62">
            <v>6.101</v>
          </cell>
          <cell r="D62">
            <v>7.0510000000000002</v>
          </cell>
          <cell r="F62" t="str">
            <v>№Т4/1/2073 от 22.08.2016</v>
          </cell>
        </row>
        <row r="63">
          <cell r="A63">
            <v>62</v>
          </cell>
          <cell r="B63" t="str">
            <v>ПС 110/35/6кВ Мартовская    1,2с.ш.6кВ</v>
          </cell>
          <cell r="C63">
            <v>0.29899999999999999</v>
          </cell>
          <cell r="D63">
            <v>0.33</v>
          </cell>
          <cell r="F63" t="str">
            <v>№Т4/1/2073 от 22.08.2016</v>
          </cell>
        </row>
        <row r="64">
          <cell r="A64">
            <v>63</v>
          </cell>
          <cell r="B64" t="str">
            <v>ПС 110/35/6кВ Кетовская    1,2с.ш.35кВ</v>
          </cell>
          <cell r="C64">
            <v>10.308999999999999</v>
          </cell>
          <cell r="D64">
            <v>12.894</v>
          </cell>
          <cell r="F64" t="str">
            <v>№Т4/1/2073 от 22.08.2016</v>
          </cell>
        </row>
        <row r="65">
          <cell r="A65">
            <v>64</v>
          </cell>
          <cell r="B65" t="str">
            <v>ПС 110/35/6кВ С-Покурская    1,2с.ш.35кВ</v>
          </cell>
          <cell r="C65">
            <v>6.141</v>
          </cell>
          <cell r="D65">
            <v>6.81</v>
          </cell>
          <cell r="F65" t="str">
            <v>№Т4/1/2073 от 22.08.2016</v>
          </cell>
        </row>
        <row r="66">
          <cell r="A66">
            <v>65</v>
          </cell>
          <cell r="B66" t="str">
            <v>ПС 110/35/6кВ С-Покурская    1,2с.ш.6кВ</v>
          </cell>
          <cell r="C66">
            <v>0.30199999999999999</v>
          </cell>
          <cell r="D66">
            <v>0.317</v>
          </cell>
          <cell r="F66" t="str">
            <v>№Т4/1/2073 от 22.08.2016</v>
          </cell>
        </row>
        <row r="67">
          <cell r="A67">
            <v>66</v>
          </cell>
          <cell r="B67" t="str">
            <v>ПС 110/35/6кВ Еловая    1,2с.ш.35кВ</v>
          </cell>
          <cell r="C67">
            <v>5.0832300606437277</v>
          </cell>
          <cell r="D67">
            <v>4.8489919515499249</v>
          </cell>
          <cell r="F67" t="str">
            <v>По письму №Р57-б1-II 2-19-3286 от 21.10.24</v>
          </cell>
        </row>
        <row r="68">
          <cell r="A68">
            <v>67</v>
          </cell>
          <cell r="B68" t="str">
            <v>ПС 110/35/6кВ Еловая    1,2с.ш.6кВ</v>
          </cell>
          <cell r="C68">
            <v>0.251</v>
          </cell>
          <cell r="D68">
            <v>0.27600000000000002</v>
          </cell>
          <cell r="F68" t="str">
            <v>По письму №Р57-б1-II 2-19-3286 от 21.10.24</v>
          </cell>
          <cell r="G68" t="str">
            <v>проверить!!!!!</v>
          </cell>
        </row>
        <row r="69">
          <cell r="A69">
            <v>68</v>
          </cell>
          <cell r="B69" t="str">
            <v>ПС 35/6кВ КНС-2Б    1с.ш.</v>
          </cell>
          <cell r="C69">
            <v>0.72460823264923946</v>
          </cell>
          <cell r="D69">
            <v>0.71786483347477892</v>
          </cell>
          <cell r="F69" t="str">
            <v>расчет от 14.07.2025</v>
          </cell>
          <cell r="J69">
            <v>0.69337912525488943</v>
          </cell>
          <cell r="K69">
            <v>0.71279842500610613</v>
          </cell>
        </row>
        <row r="70">
          <cell r="A70">
            <v>69</v>
          </cell>
          <cell r="B70" t="str">
            <v>ПС 35/6кВ КНС-2Б    2с.ш.</v>
          </cell>
          <cell r="C70">
            <v>0.72267449361664615</v>
          </cell>
          <cell r="D70">
            <v>0.71592128588287796</v>
          </cell>
          <cell r="F70" t="str">
            <v>расчет от 14.07.2025</v>
          </cell>
          <cell r="J70">
            <v>0.69141971967892668</v>
          </cell>
          <cell r="K70">
            <v>0.71083766075865418</v>
          </cell>
        </row>
        <row r="71">
          <cell r="A71">
            <v>70</v>
          </cell>
          <cell r="B71" t="str">
            <v>ПС 35/6кВ КНС-2    1с.ш.</v>
          </cell>
          <cell r="C71">
            <v>0.68014406500558278</v>
          </cell>
          <cell r="D71">
            <v>0.69956394424226465</v>
          </cell>
          <cell r="F71" t="str">
            <v>расчет от 04.10.2016</v>
          </cell>
          <cell r="J71">
            <v>0.74412932214233607</v>
          </cell>
          <cell r="K71">
            <v>0.80873494514709621</v>
          </cell>
        </row>
        <row r="72">
          <cell r="A72">
            <v>71</v>
          </cell>
          <cell r="B72" t="str">
            <v>ПС 35/6кВ КНС-2    2с.ш.</v>
          </cell>
          <cell r="C72">
            <v>0.68563129473503359</v>
          </cell>
          <cell r="D72">
            <v>0.70505498033097713</v>
          </cell>
          <cell r="F72" t="str">
            <v>расчет от 04.10.2016</v>
          </cell>
          <cell r="J72">
            <v>0.74957710135631328</v>
          </cell>
          <cell r="K72">
            <v>0.81419950491006621</v>
          </cell>
        </row>
        <row r="73">
          <cell r="A73">
            <v>72</v>
          </cell>
          <cell r="B73" t="str">
            <v>ПС 35/6кВ Западная    1с.ш.</v>
          </cell>
          <cell r="C73">
            <v>0.86683423410557658</v>
          </cell>
          <cell r="D73">
            <v>0.88831367705672615</v>
          </cell>
          <cell r="F73" t="str">
            <v>расчет от 04.10.2016</v>
          </cell>
          <cell r="J73">
            <v>0.93942508686582904</v>
          </cell>
          <cell r="K73">
            <v>1.0109471467906868</v>
          </cell>
        </row>
        <row r="74">
          <cell r="A74">
            <v>73</v>
          </cell>
          <cell r="B74" t="str">
            <v>ПС 35/6кВ Западная    2с.ш.</v>
          </cell>
          <cell r="C74">
            <v>0.86371355621953827</v>
          </cell>
          <cell r="D74">
            <v>0.88519158962681155</v>
          </cell>
          <cell r="F74" t="str">
            <v>расчет от 04.10.2016</v>
          </cell>
          <cell r="J74">
            <v>0.93632300502170196</v>
          </cell>
          <cell r="K74">
            <v>1.0078384715936528</v>
          </cell>
        </row>
        <row r="75">
          <cell r="A75">
            <v>74</v>
          </cell>
          <cell r="B75" t="str">
            <v>ПС 35/6кВ Куст-4    1с.ш.</v>
          </cell>
          <cell r="C75">
            <v>1.0526585910772714</v>
          </cell>
          <cell r="D75">
            <v>1.0452785086153822</v>
          </cell>
          <cell r="F75" t="str">
            <v>расчет от 14.07.2025</v>
          </cell>
          <cell r="J75">
            <v>1.0663986182906411</v>
          </cell>
          <cell r="K75">
            <v>1.0875579684851508</v>
          </cell>
        </row>
        <row r="76">
          <cell r="A76">
            <v>75</v>
          </cell>
          <cell r="B76" t="str">
            <v>ПС 35/6кВ Куст-4    2с.ш.</v>
          </cell>
          <cell r="C76">
            <v>1.0864015404006861</v>
          </cell>
          <cell r="D76">
            <v>1.0789968594216812</v>
          </cell>
          <cell r="F76" t="str">
            <v>расчет от 14.07.2025</v>
          </cell>
          <cell r="J76">
            <v>1.1002329719619335</v>
          </cell>
          <cell r="K76">
            <v>1.1214236636506063</v>
          </cell>
        </row>
        <row r="77">
          <cell r="A77">
            <v>76</v>
          </cell>
          <cell r="B77" t="str">
            <v>ПС 35/6кВ Куст-15    1с.ш.</v>
          </cell>
          <cell r="C77">
            <v>1.1848219170927368</v>
          </cell>
          <cell r="D77">
            <v>1.2421738885885936</v>
          </cell>
          <cell r="F77" t="str">
            <v>расчет от 04.10.2016</v>
          </cell>
          <cell r="J77">
            <v>1.2010115795560075</v>
          </cell>
          <cell r="K77">
            <v>1.2587698870857438</v>
          </cell>
        </row>
        <row r="78">
          <cell r="A78">
            <v>77</v>
          </cell>
          <cell r="B78" t="str">
            <v>ПС 35/6кВ Куст-15    2с.ш.</v>
          </cell>
          <cell r="C78">
            <v>0.9814300622630775</v>
          </cell>
          <cell r="D78">
            <v>1.0387117739496881</v>
          </cell>
          <cell r="F78" t="str">
            <v>расчет от 04.10.2016</v>
          </cell>
          <cell r="J78">
            <v>1.2004053013476808</v>
          </cell>
          <cell r="K78">
            <v>1.2581614436684412</v>
          </cell>
        </row>
        <row r="79">
          <cell r="A79">
            <v>78</v>
          </cell>
          <cell r="B79" t="str">
            <v>ПС 35/6кВ Куст-25    1с.ш.</v>
          </cell>
          <cell r="C79">
            <v>0.63534242746627112</v>
          </cell>
          <cell r="D79">
            <v>0.66595572484267618</v>
          </cell>
          <cell r="F79" t="str">
            <v>расчет от 04.10.2016</v>
          </cell>
          <cell r="J79">
            <v>0.77997986119558593</v>
          </cell>
          <cell r="K79">
            <v>0.85122543245340432</v>
          </cell>
        </row>
        <row r="80">
          <cell r="A80">
            <v>79</v>
          </cell>
          <cell r="B80" t="str">
            <v>ПС 35/6кВ Куст-25    2с.ш.</v>
          </cell>
          <cell r="C80">
            <v>0.7321353255181271</v>
          </cell>
          <cell r="D80">
            <v>0.76278911011073969</v>
          </cell>
          <cell r="F80" t="str">
            <v>расчет от 04.10.2016</v>
          </cell>
          <cell r="J80">
            <v>0.87556008342745129</v>
          </cell>
          <cell r="K80">
            <v>0.94706627793132059</v>
          </cell>
        </row>
        <row r="81">
          <cell r="A81">
            <v>80</v>
          </cell>
          <cell r="B81" t="str">
            <v>ПС 35/6кВ Куст-27    1с.ш.</v>
          </cell>
          <cell r="C81">
            <v>0.74581199482937666</v>
          </cell>
          <cell r="D81">
            <v>0.77656830896925877</v>
          </cell>
          <cell r="F81" t="str">
            <v>расчет от 04.10.2016</v>
          </cell>
          <cell r="J81">
            <v>0.88747227536388418</v>
          </cell>
          <cell r="K81">
            <v>0.95943379736385659</v>
          </cell>
        </row>
        <row r="82">
          <cell r="A82">
            <v>81</v>
          </cell>
          <cell r="B82" t="str">
            <v>ПС 35/6кВ Куст-27    2с.ш.</v>
          </cell>
          <cell r="C82">
            <v>0.75021848200332575</v>
          </cell>
          <cell r="D82">
            <v>0.78097506823417517</v>
          </cell>
          <cell r="F82" t="str">
            <v>расчет от 04.10.2016</v>
          </cell>
          <cell r="J82">
            <v>0.89184419780113511</v>
          </cell>
          <cell r="K82">
            <v>0.96381122616829396</v>
          </cell>
        </row>
        <row r="83">
          <cell r="A83">
            <v>82</v>
          </cell>
          <cell r="B83" t="str">
            <v>ПС 35/6кВ Куст-37    1с.ш.</v>
          </cell>
          <cell r="C83">
            <v>0.89041699210680936</v>
          </cell>
          <cell r="D83">
            <v>0.88291212921942464</v>
          </cell>
          <cell r="F83" t="str">
            <v>расчет от 14.07.2025</v>
          </cell>
          <cell r="J83">
            <v>0.95798646668666976</v>
          </cell>
          <cell r="K83">
            <v>0.97939612378865892</v>
          </cell>
        </row>
        <row r="84">
          <cell r="A84">
            <v>83</v>
          </cell>
          <cell r="B84" t="str">
            <v>ПС 35/6кВ Куст-37    2с.ш.</v>
          </cell>
          <cell r="C84">
            <v>0.88482171900877848</v>
          </cell>
          <cell r="D84">
            <v>0.87730617173020442</v>
          </cell>
          <cell r="F84" t="str">
            <v>расчет от 14.07.2025</v>
          </cell>
          <cell r="J84">
            <v>0.95238801840363874</v>
          </cell>
          <cell r="K84">
            <v>0.97379455391383762</v>
          </cell>
        </row>
        <row r="85">
          <cell r="A85">
            <v>84</v>
          </cell>
          <cell r="B85" t="str">
            <v>ПС 35/6кВ Куст-41    1,2с.ш.</v>
          </cell>
          <cell r="C85">
            <v>0.73262875706606978</v>
          </cell>
          <cell r="D85">
            <v>0.75428687518742776</v>
          </cell>
          <cell r="F85" t="str">
            <v>расчет от 04.10.2016</v>
          </cell>
          <cell r="J85">
            <v>1.1096732088094989</v>
          </cell>
          <cell r="K85">
            <v>1.1804521090962263</v>
          </cell>
        </row>
        <row r="86">
          <cell r="A86">
            <v>85</v>
          </cell>
          <cell r="B86" t="str">
            <v>ПС 35/6кВ Куст-43    1с.ш.</v>
          </cell>
          <cell r="C86">
            <v>0.82586170100090128</v>
          </cell>
          <cell r="D86">
            <v>0.81831919529163988</v>
          </cell>
          <cell r="F86" t="str">
            <v>расчет от 14.07.2025</v>
          </cell>
          <cell r="J86">
            <v>0.79816903386340277</v>
          </cell>
          <cell r="K86">
            <v>0.82887770020578888</v>
          </cell>
        </row>
        <row r="87">
          <cell r="A87">
            <v>86</v>
          </cell>
          <cell r="B87" t="str">
            <v>ПС 35/6кВ Куст-43    2с.ш.</v>
          </cell>
          <cell r="C87">
            <v>0.82023841861347835</v>
          </cell>
          <cell r="D87">
            <v>0.81268473526693397</v>
          </cell>
          <cell r="F87" t="str">
            <v>расчет от 14.07.2025</v>
          </cell>
          <cell r="J87">
            <v>0.79251277794016539</v>
          </cell>
          <cell r="K87">
            <v>0.8232204402700638</v>
          </cell>
        </row>
        <row r="88">
          <cell r="A88">
            <v>87</v>
          </cell>
          <cell r="B88" t="str">
            <v xml:space="preserve">ПС 35/6кВ Куст-50    1с.ш. </v>
          </cell>
          <cell r="C88">
            <v>0.93800156447048499</v>
          </cell>
          <cell r="D88">
            <v>0.93052321100074764</v>
          </cell>
          <cell r="F88" t="str">
            <v>расчет от 14.07.2025</v>
          </cell>
          <cell r="J88">
            <v>1.0057465319101908</v>
          </cell>
          <cell r="K88">
            <v>1.0270850860725105</v>
          </cell>
        </row>
        <row r="89">
          <cell r="A89">
            <v>88</v>
          </cell>
          <cell r="B89" t="str">
            <v xml:space="preserve">ПС 35/6кВ Куст-50    2с.ш. </v>
          </cell>
          <cell r="C89">
            <v>0.94298058671588203</v>
          </cell>
          <cell r="D89">
            <v>0.93548932321784528</v>
          </cell>
          <cell r="F89" t="str">
            <v>расчет от 14.07.2025</v>
          </cell>
          <cell r="J89">
            <v>1.0107068822885179</v>
          </cell>
          <cell r="K89">
            <v>1.0320487292451725</v>
          </cell>
        </row>
        <row r="90">
          <cell r="A90">
            <v>89</v>
          </cell>
          <cell r="B90" t="str">
            <v>КРУН-6кВ Мартовская    1,2с.ш.</v>
          </cell>
          <cell r="C90">
            <v>0.30901114967748333</v>
          </cell>
          <cell r="D90">
            <v>0.34001013312105866</v>
          </cell>
          <cell r="F90" t="str">
            <v>расчет от 04.10.2016</v>
          </cell>
        </row>
        <row r="91">
          <cell r="A91">
            <v>90</v>
          </cell>
          <cell r="B91" t="str">
            <v>РУ-6кВ КНС-1А    1,2с.ш.</v>
          </cell>
          <cell r="C91">
            <v>0.30607196866096709</v>
          </cell>
          <cell r="D91">
            <v>0.32105926244230987</v>
          </cell>
          <cell r="F91" t="str">
            <v>расчет от 04.10.2016</v>
          </cell>
        </row>
        <row r="92">
          <cell r="A92">
            <v>91</v>
          </cell>
          <cell r="B92" t="str">
            <v>РУ-6кВ КНС-1Б    1,2с.ш.</v>
          </cell>
          <cell r="C92">
            <v>0.32201042090141241</v>
          </cell>
          <cell r="D92">
            <v>0.35294272380062391</v>
          </cell>
          <cell r="F92" t="str">
            <v>расчет от 04.10.2016</v>
          </cell>
        </row>
        <row r="93">
          <cell r="A93">
            <v>92</v>
          </cell>
          <cell r="B93" t="str">
            <v>РУ-6кВ ДНС-1    1,2с.ш.</v>
          </cell>
          <cell r="C93">
            <v>0.32445457576633363</v>
          </cell>
          <cell r="D93">
            <v>0.35536255072655942</v>
          </cell>
          <cell r="F93" t="str">
            <v>расчет от 04.10.2016</v>
          </cell>
        </row>
        <row r="94">
          <cell r="A94">
            <v>93</v>
          </cell>
          <cell r="B94" t="str">
            <v>РУ-6кВ КНС-2А    1с.ш.</v>
          </cell>
          <cell r="C94">
            <v>0.76237916561422603</v>
          </cell>
          <cell r="D94">
            <v>0.82702714995538373</v>
          </cell>
          <cell r="F94" t="str">
            <v>расчет от 04.10.2016</v>
          </cell>
          <cell r="J94">
            <v>0.70618457180661742</v>
          </cell>
          <cell r="K94">
            <v>0.72560030012572374</v>
          </cell>
        </row>
        <row r="95">
          <cell r="A95">
            <v>94</v>
          </cell>
          <cell r="B95" t="str">
            <v>РУ-6кВ КНС-2А    2с.ш.</v>
          </cell>
          <cell r="C95">
            <v>0.76043250511781346</v>
          </cell>
          <cell r="D95">
            <v>0.8250746669858583</v>
          </cell>
          <cell r="F95" t="str">
            <v>расчет от 04.10.2016</v>
          </cell>
          <cell r="J95">
            <v>0.70422553752645767</v>
          </cell>
          <cell r="K95">
            <v>0.72363988778611621</v>
          </cell>
        </row>
        <row r="96">
          <cell r="A96">
            <v>95</v>
          </cell>
          <cell r="B96" t="str">
            <v>РУ-6кВ КНС-2    1с.ш.</v>
          </cell>
          <cell r="C96">
            <v>0.68303119092523923</v>
          </cell>
          <cell r="D96">
            <v>0.70245087315956112</v>
          </cell>
          <cell r="F96" t="str">
            <v>расчет от 04.10.2016</v>
          </cell>
          <cell r="J96">
            <v>0.74701583769526092</v>
          </cell>
          <cell r="K96">
            <v>0.81162094205738922</v>
          </cell>
        </row>
        <row r="97">
          <cell r="A97">
            <v>96</v>
          </cell>
          <cell r="B97" t="str">
            <v>РУ-6кВ КНС-2    2с.ш.</v>
          </cell>
          <cell r="C97">
            <v>0.68851836386382048</v>
          </cell>
          <cell r="D97">
            <v>0.70794185550525324</v>
          </cell>
          <cell r="F97" t="str">
            <v>расчет от 04.10.2016</v>
          </cell>
          <cell r="J97">
            <v>0.75246356973713024</v>
          </cell>
          <cell r="K97">
            <v>0.81708546171381535</v>
          </cell>
        </row>
        <row r="98">
          <cell r="A98">
            <v>97</v>
          </cell>
          <cell r="B98" t="str">
            <v xml:space="preserve">ПС 35/6кВ Куст-224    1с.ш. </v>
          </cell>
          <cell r="C98">
            <v>0.84855510166084258</v>
          </cell>
          <cell r="D98">
            <v>0.86090545100800564</v>
          </cell>
          <cell r="F98" t="str">
            <v>расчет от 14.07.2025</v>
          </cell>
          <cell r="J98">
            <v>1.5404237795153304</v>
          </cell>
          <cell r="K98">
            <v>1.5969279759326322</v>
          </cell>
        </row>
        <row r="99">
          <cell r="A99">
            <v>98</v>
          </cell>
          <cell r="B99" t="str">
            <v xml:space="preserve">ПС 35/6кВ Куст-224    2с.ш. </v>
          </cell>
          <cell r="C99">
            <v>0.84843424454962835</v>
          </cell>
          <cell r="D99">
            <v>0.85913501550478366</v>
          </cell>
          <cell r="F99" t="str">
            <v>расчет от 14.07.2025</v>
          </cell>
          <cell r="J99">
            <v>1.3411969178671321</v>
          </cell>
          <cell r="K99">
            <v>1.3973830408575505</v>
          </cell>
        </row>
        <row r="100">
          <cell r="A100">
            <v>99</v>
          </cell>
          <cell r="B100" t="str">
            <v>ПС 35/6кВ ЦПС-1    1с.ш.</v>
          </cell>
          <cell r="C100">
            <v>1.1547351131314774</v>
          </cell>
          <cell r="D100">
            <v>1.2121529265892017</v>
          </cell>
          <cell r="F100" t="str">
            <v>расчет от 04.10.2016</v>
          </cell>
          <cell r="J100">
            <v>1.2212124282983539</v>
          </cell>
          <cell r="K100">
            <v>1.278952013219371</v>
          </cell>
        </row>
        <row r="101">
          <cell r="A101">
            <v>100</v>
          </cell>
          <cell r="B101" t="str">
            <v>ПС 35/6кВ ЦПС-1    2с.ш.</v>
          </cell>
          <cell r="C101">
            <v>0.93094132314274602</v>
          </cell>
          <cell r="D101">
            <v>0.98831101776453256</v>
          </cell>
          <cell r="F101" t="str">
            <v>расчет от 04.10.2016</v>
          </cell>
          <cell r="J101">
            <v>1.2012244348273815</v>
          </cell>
          <cell r="K101">
            <v>1.2588914337248793</v>
          </cell>
        </row>
        <row r="102">
          <cell r="A102">
            <v>101</v>
          </cell>
          <cell r="B102" t="str">
            <v>РУ-6кВ КНС-1  (С-Орех)  1с.ш.</v>
          </cell>
          <cell r="C102">
            <v>1.1830733948387566</v>
          </cell>
          <cell r="D102">
            <v>1.2404635157093238</v>
          </cell>
          <cell r="F102" t="str">
            <v>расчет от 04.10.2016</v>
          </cell>
          <cell r="J102">
            <v>1.2495188804305259</v>
          </cell>
          <cell r="K102">
            <v>1.3072334457973807</v>
          </cell>
        </row>
        <row r="103">
          <cell r="A103">
            <v>102</v>
          </cell>
          <cell r="B103" t="str">
            <v>РУ-6кВ КНС-1  (С-Орех)  2с.ш.</v>
          </cell>
          <cell r="C103">
            <v>0.95941916998917953</v>
          </cell>
          <cell r="D103">
            <v>1.0167472326494635</v>
          </cell>
          <cell r="F103" t="str">
            <v>расчет от 04.10.2016</v>
          </cell>
          <cell r="J103">
            <v>1.2295400955115638</v>
          </cell>
          <cell r="K103">
            <v>1.287181304497909</v>
          </cell>
        </row>
        <row r="104">
          <cell r="A104">
            <v>103</v>
          </cell>
          <cell r="B104" t="str">
            <v>РУ-6кВ ДНС-1    1с.ш. С-Орех</v>
          </cell>
          <cell r="C104">
            <v>1.1593319356122838</v>
          </cell>
          <cell r="D104">
            <v>1.2167480114342739</v>
          </cell>
          <cell r="F104" t="str">
            <v>расчет от 04.10.2016</v>
          </cell>
          <cell r="J104">
            <v>1.2258072538439486</v>
          </cell>
          <cell r="K104">
            <v>1.2835452721577227</v>
          </cell>
        </row>
        <row r="105">
          <cell r="A105">
            <v>104</v>
          </cell>
          <cell r="B105" t="str">
            <v>РУ-6кВ ДНС-1    2с.ш. С-Орех</v>
          </cell>
          <cell r="C105">
            <v>0.93554695403375054</v>
          </cell>
          <cell r="D105">
            <v>0.99291401214645914</v>
          </cell>
          <cell r="F105" t="str">
            <v>расчет от 04.10.2016</v>
          </cell>
          <cell r="J105">
            <v>1.2058198376507112</v>
          </cell>
          <cell r="K105">
            <v>1.2634852207214191</v>
          </cell>
        </row>
        <row r="106">
          <cell r="A106">
            <v>105</v>
          </cell>
          <cell r="B106" t="str">
            <v xml:space="preserve">ПС 35/6кВ ЦПС-2    1с.ш.    </v>
          </cell>
          <cell r="C106">
            <v>0.83890387821190548</v>
          </cell>
          <cell r="D106">
            <v>0.85127251777542778</v>
          </cell>
          <cell r="F106" t="str">
            <v>расчет от 14.07.2025</v>
          </cell>
          <cell r="J106">
            <v>1.6833099513286862</v>
          </cell>
          <cell r="K106">
            <v>1.7394822939708767</v>
          </cell>
        </row>
        <row r="107">
          <cell r="A107">
            <v>106</v>
          </cell>
          <cell r="B107" t="str">
            <v xml:space="preserve">ПС 35/6кВ ЦПС-2    2с.ш.    </v>
          </cell>
          <cell r="C107">
            <v>0.83940864918327351</v>
          </cell>
          <cell r="D107">
            <v>0.85012540622815158</v>
          </cell>
          <cell r="F107" t="str">
            <v>расчет от 14.07.2025</v>
          </cell>
          <cell r="J107">
            <v>1.486003188490181</v>
          </cell>
          <cell r="K107">
            <v>1.5417979271483615</v>
          </cell>
        </row>
        <row r="108">
          <cell r="A108">
            <v>107</v>
          </cell>
          <cell r="B108" t="str">
            <v>РУ-6кВ БКНС  (С-Орех)  1,2с.ш.</v>
          </cell>
          <cell r="C108">
            <v>0.8169993353505427</v>
          </cell>
          <cell r="D108">
            <v>0.87650192734782972</v>
          </cell>
          <cell r="F108" t="str">
            <v>расчет от 04.10.2016</v>
          </cell>
          <cell r="J108">
            <v>1.69075396776759</v>
          </cell>
          <cell r="K108">
            <v>1.7469248950624503</v>
          </cell>
        </row>
        <row r="109">
          <cell r="A109">
            <v>108</v>
          </cell>
          <cell r="B109" t="str">
            <v>ПС 35/6кВ Курья    1,2с.ш.</v>
          </cell>
          <cell r="C109">
            <v>0.55000000000000004</v>
          </cell>
          <cell r="D109">
            <v>0.6</v>
          </cell>
          <cell r="F109" t="str">
            <v>расчет от 23.07.2014</v>
          </cell>
        </row>
        <row r="110">
          <cell r="A110">
            <v>109</v>
          </cell>
          <cell r="B110" t="str">
            <v>ПС 35/6кВ Протока    1,2с.ш.</v>
          </cell>
          <cell r="C110">
            <v>0.99</v>
          </cell>
          <cell r="D110">
            <v>1.04</v>
          </cell>
          <cell r="F110" t="str">
            <v>расчет от 23.07.2014</v>
          </cell>
        </row>
        <row r="111">
          <cell r="A111">
            <v>110</v>
          </cell>
          <cell r="B111" t="str">
            <v>РУ-6кВ Протока    1,2с.ш.</v>
          </cell>
          <cell r="C111">
            <v>1.022</v>
          </cell>
          <cell r="D111">
            <v>1.0820000000000001</v>
          </cell>
          <cell r="F111" t="str">
            <v>расчет от 30.01.2012</v>
          </cell>
        </row>
        <row r="112">
          <cell r="A112">
            <v>111</v>
          </cell>
          <cell r="B112" t="str">
            <v xml:space="preserve">           СР №3 </v>
          </cell>
        </row>
        <row r="113">
          <cell r="A113">
            <v>112</v>
          </cell>
          <cell r="B113" t="str">
            <v>ПС 220/10/6кВ "Каркатеевы" ф.6кВ №40 (4 с.ш. 6кВ)</v>
          </cell>
          <cell r="C113">
            <v>0.36799999999999999</v>
          </cell>
          <cell r="D113">
            <v>0.4</v>
          </cell>
          <cell r="F113" t="str">
            <v>№М4/П6/2/227 от 18.02.2026г. Россети МЭС Урала</v>
          </cell>
        </row>
        <row r="114">
          <cell r="A114">
            <v>113</v>
          </cell>
          <cell r="B114" t="str">
            <v>ПС 220/10/6кВ "Каркатеевы" ф.6кВ №39 (3 с.ш. 6кВ)</v>
          </cell>
          <cell r="C114">
            <v>0.23400000000000001</v>
          </cell>
          <cell r="D114">
            <v>0.254</v>
          </cell>
        </row>
        <row r="115">
          <cell r="A115">
            <v>114</v>
          </cell>
          <cell r="B115" t="str">
            <v>ПС 110/35/6кВ Асомкинская    1,2с.ш.35кВ</v>
          </cell>
          <cell r="C115">
            <v>7.4859999999999998</v>
          </cell>
          <cell r="D115">
            <v>10.455</v>
          </cell>
          <cell r="F115" t="str">
            <v>№71-02/03-2576 от 02.06.2014 "ЮНГ-Энергонефть"</v>
          </cell>
        </row>
        <row r="116">
          <cell r="A116">
            <v>115</v>
          </cell>
          <cell r="B116" t="str">
            <v>ПС 110/35/6кВ Широковская    1,2с.ш.35кВ</v>
          </cell>
          <cell r="C116">
            <v>5.9080000000000004</v>
          </cell>
          <cell r="D116">
            <v>10.920999999999999</v>
          </cell>
        </row>
        <row r="117">
          <cell r="A117">
            <v>116</v>
          </cell>
          <cell r="B117" t="str">
            <v>ПС 110/35/6кВ Бекмеметьевская    1,2с.ш.35кВ</v>
          </cell>
          <cell r="C117">
            <v>3.9569999999999999</v>
          </cell>
          <cell r="D117">
            <v>7.4859999999999998</v>
          </cell>
          <cell r="J117">
            <v>11.78</v>
          </cell>
          <cell r="K117">
            <v>11.88</v>
          </cell>
        </row>
        <row r="118">
          <cell r="A118">
            <v>117</v>
          </cell>
          <cell r="B118" t="str">
            <v>ПС 6/35 кВ Касаев    1с.ш.35кВ</v>
          </cell>
          <cell r="C118">
            <v>8.31</v>
          </cell>
          <cell r="D118">
            <v>8.35</v>
          </cell>
          <cell r="F118" t="str">
            <v>Перерасчет по письму №М4/П6/2/227 от 18.02.2026г. Россети МЭС Урала</v>
          </cell>
        </row>
        <row r="119">
          <cell r="A119">
            <v>118</v>
          </cell>
          <cell r="B119" t="str">
            <v>ПС 6/35 кВ Касаев    2с.ш.35кВ</v>
          </cell>
          <cell r="C119">
            <v>8.25</v>
          </cell>
          <cell r="D119">
            <v>8.27</v>
          </cell>
        </row>
        <row r="120">
          <cell r="A120">
            <v>119</v>
          </cell>
          <cell r="B120" t="str">
            <v>ПС 6/35кВ Касаев  1с.ш.6кВ</v>
          </cell>
          <cell r="C120">
            <v>0.55200000000000005</v>
          </cell>
          <cell r="D120">
            <v>0.58399999999999996</v>
          </cell>
        </row>
        <row r="121">
          <cell r="A121">
            <v>120</v>
          </cell>
          <cell r="B121" t="str">
            <v>ПС 6/35кВ Касаев  2с.ш.6кВ</v>
          </cell>
          <cell r="C121">
            <v>0.41899999999999998</v>
          </cell>
          <cell r="D121">
            <v>0.439</v>
          </cell>
        </row>
        <row r="122">
          <cell r="A122">
            <v>121</v>
          </cell>
          <cell r="B122" t="str">
            <v>ПС 35/6кВ № 185    1,2с.ш.</v>
          </cell>
          <cell r="C122">
            <v>0.61815337880392096</v>
          </cell>
          <cell r="D122">
            <v>0.73064308785681653</v>
          </cell>
          <cell r="F122" t="str">
            <v>расчет от 05.10.2016</v>
          </cell>
          <cell r="J122">
            <v>0.86720727444844681</v>
          </cell>
          <cell r="K122">
            <v>0.87137868822613729</v>
          </cell>
        </row>
        <row r="123">
          <cell r="A123">
            <v>122</v>
          </cell>
          <cell r="B123" t="str">
            <v>ПС 35/6кВ № 186    1,2с.ш.</v>
          </cell>
          <cell r="C123">
            <v>0.82781612203946775</v>
          </cell>
          <cell r="D123">
            <v>0.94041793476550772</v>
          </cell>
          <cell r="F123" t="str">
            <v>расчет от 05.10.2016</v>
          </cell>
          <cell r="J123">
            <v>1.0769604608427845</v>
          </cell>
          <cell r="K123">
            <v>1.0811297730242668</v>
          </cell>
        </row>
        <row r="124">
          <cell r="A124">
            <v>123</v>
          </cell>
          <cell r="B124" t="str">
            <v>ПС 35/6кВ № 187    1,2с.ш.</v>
          </cell>
          <cell r="C124">
            <v>1.0704843564816515</v>
          </cell>
          <cell r="D124">
            <v>1.2268289538178074</v>
          </cell>
          <cell r="F124" t="str">
            <v>расчет от 05.10.2016</v>
          </cell>
          <cell r="J124">
            <v>1.1813371954263523</v>
          </cell>
          <cell r="K124">
            <v>1.2736049542488599</v>
          </cell>
        </row>
        <row r="125">
          <cell r="A125">
            <v>124</v>
          </cell>
          <cell r="B125" t="str">
            <v>РУ-6кВ КНС-1  1,2 с.ш. (от ЗРУ-6кВ ДНС-1)</v>
          </cell>
          <cell r="C125">
            <v>2.4063874874314091</v>
          </cell>
          <cell r="D125">
            <v>2.5520802020017364</v>
          </cell>
          <cell r="F125" t="str">
            <v>расчет от 18.09.2025</v>
          </cell>
          <cell r="J125">
            <v>2.5095555936854055</v>
          </cell>
          <cell r="K125">
            <v>2.5959101949205108</v>
          </cell>
        </row>
        <row r="126">
          <cell r="A126">
            <v>125</v>
          </cell>
          <cell r="B126" t="str">
            <v>РУ-6кВ КНС-2   1,2 с.ш</v>
          </cell>
          <cell r="C126">
            <v>0.63870432059264204</v>
          </cell>
          <cell r="D126">
            <v>0.75110852746038115</v>
          </cell>
          <cell r="F126" t="str">
            <v>расчет от 05.10.2016</v>
          </cell>
          <cell r="J126">
            <v>0.88759802835701684</v>
          </cell>
          <cell r="K126">
            <v>0.89176752075651433</v>
          </cell>
        </row>
        <row r="127">
          <cell r="A127">
            <v>126</v>
          </cell>
          <cell r="B127" t="str">
            <v>ПС 35/6 кВ Куст-1 (от ПС Касаев) 1с.ш.</v>
          </cell>
          <cell r="C127">
            <v>0.82699999999999996</v>
          </cell>
          <cell r="D127">
            <v>0.82799999999999996</v>
          </cell>
          <cell r="F127" t="str">
            <v>Перерасчет по письму №М4/П6/2/227 от 18.02.2026г. Россети МЭС Урала</v>
          </cell>
        </row>
        <row r="128">
          <cell r="A128">
            <v>127</v>
          </cell>
          <cell r="B128" t="str">
            <v>ПС 35/6 кВ Куст-1 (от ПС Касаев) 2с.ш.</v>
          </cell>
          <cell r="C128">
            <v>0.82499999999999996</v>
          </cell>
          <cell r="D128">
            <v>0.82599999999999996</v>
          </cell>
        </row>
        <row r="129">
          <cell r="A129">
            <v>128</v>
          </cell>
          <cell r="B129" t="str">
            <v>ПС 35/6 кВ Куст-7 (от ПС Касаев) 1с.ш.</v>
          </cell>
          <cell r="C129">
            <v>1.054</v>
          </cell>
          <cell r="D129">
            <v>1.0549999999999999</v>
          </cell>
        </row>
        <row r="130">
          <cell r="A130">
            <v>129</v>
          </cell>
          <cell r="B130" t="str">
            <v>ПС 35/6 кВ Куст-9 1с.ш. (от ПС Касаев)</v>
          </cell>
          <cell r="C130">
            <v>1.1659999999999999</v>
          </cell>
          <cell r="D130">
            <v>1.167</v>
          </cell>
        </row>
        <row r="131">
          <cell r="A131">
            <v>130</v>
          </cell>
          <cell r="B131" t="str">
            <v>ПС 35/6 кВ Куст-9 2с.ш. (от ПС Касаев)</v>
          </cell>
          <cell r="C131">
            <v>1.163</v>
          </cell>
          <cell r="D131">
            <v>1.1639999999999999</v>
          </cell>
        </row>
        <row r="132">
          <cell r="A132">
            <v>131</v>
          </cell>
          <cell r="B132" t="str">
            <v>ЗРУ-6кВ ДНС 1с.ш. (от ПС 220 Каркатеевы)</v>
          </cell>
          <cell r="C132">
            <v>0.38800000000000001</v>
          </cell>
          <cell r="D132">
            <v>0.42199999999999999</v>
          </cell>
          <cell r="F132" t="str">
            <v>расчёт 18.09.25</v>
          </cell>
        </row>
        <row r="133">
          <cell r="A133">
            <v>132</v>
          </cell>
          <cell r="B133" t="str">
            <v>ЗРУ-6кВ ДНС 2с.ш. (от ПС 220 Каркатеевы)</v>
          </cell>
          <cell r="C133">
            <v>0.25</v>
          </cell>
          <cell r="D133">
            <v>0.27100000000000002</v>
          </cell>
          <cell r="F133" t="str">
            <v>расчёт 18.09.25</v>
          </cell>
        </row>
        <row r="134">
          <cell r="A134">
            <v>133</v>
          </cell>
          <cell r="B134" t="str">
            <v xml:space="preserve">           СР №4</v>
          </cell>
          <cell r="D134" t="str">
            <v xml:space="preserve"> </v>
          </cell>
          <cell r="K134" t="str">
            <v xml:space="preserve"> </v>
          </cell>
        </row>
        <row r="135">
          <cell r="A135">
            <v>134</v>
          </cell>
          <cell r="B135" t="str">
            <v>ПС 110/35/6кВ С-Ватинская    1,2с.ш.35кВ</v>
          </cell>
          <cell r="C135">
            <v>4.3529999999999998</v>
          </cell>
          <cell r="D135">
            <v>4.79</v>
          </cell>
          <cell r="F135" t="str">
            <v>№Т4/1/2073 от 22.08.2016</v>
          </cell>
        </row>
        <row r="136">
          <cell r="A136">
            <v>135</v>
          </cell>
          <cell r="B136" t="str">
            <v>ПС 110/35/6кВ Ватинская     1,2с.ш. 35кВ</v>
          </cell>
          <cell r="C136">
            <v>4.13</v>
          </cell>
          <cell r="D136">
            <v>6.96</v>
          </cell>
          <cell r="F136" t="str">
            <v>№Т4/1/2073 от 22.08.2016</v>
          </cell>
        </row>
        <row r="137">
          <cell r="A137">
            <v>136</v>
          </cell>
          <cell r="B137" t="str">
            <v>ПС 35/6кВ ДНС-1    1,2с.ш.</v>
          </cell>
          <cell r="C137">
            <v>0.66261332251082428</v>
          </cell>
          <cell r="D137">
            <v>0.75428376719695722</v>
          </cell>
          <cell r="F137" t="str">
            <v>расчет от 04.10.2016</v>
          </cell>
          <cell r="J137">
            <v>0.80591334478704979</v>
          </cell>
          <cell r="K137">
            <v>0.81999085317752785</v>
          </cell>
        </row>
        <row r="138">
          <cell r="A138">
            <v>137</v>
          </cell>
          <cell r="B138" t="str">
            <v>ПС 35/6кВ КНС-3ВВ    1,2с.ш.</v>
          </cell>
          <cell r="C138">
            <v>0.73251156601878298</v>
          </cell>
          <cell r="D138">
            <v>0.74663156062160263</v>
          </cell>
          <cell r="F138" t="str">
            <v>расчет от 04.10.2016</v>
          </cell>
          <cell r="J138">
            <v>0.67286151087550361</v>
          </cell>
          <cell r="K138">
            <v>0.76445594125081251</v>
          </cell>
        </row>
        <row r="139">
          <cell r="A139">
            <v>138</v>
          </cell>
          <cell r="B139" t="str">
            <v>ПС 35/6кВ КНС-3ВК    1,2с.ш.</v>
          </cell>
          <cell r="C139">
            <v>0.73251156601878298</v>
          </cell>
          <cell r="D139">
            <v>0.74663156062160263</v>
          </cell>
          <cell r="F139" t="str">
            <v>расчет от 20.09.2023</v>
          </cell>
          <cell r="J139">
            <v>0.67286151087550361</v>
          </cell>
          <cell r="K139">
            <v>0.76445594125081251</v>
          </cell>
        </row>
        <row r="140">
          <cell r="A140">
            <v>139</v>
          </cell>
          <cell r="B140" t="str">
            <v>ПС 35/6кВ КНС-6В    1с.ш.</v>
          </cell>
          <cell r="C140">
            <v>0.64537600967427633</v>
          </cell>
          <cell r="D140">
            <v>0.65953410532045387</v>
          </cell>
          <cell r="F140" t="str">
            <v>расчет от 04.10.2016</v>
          </cell>
          <cell r="J140">
            <v>0.97970022915718979</v>
          </cell>
          <cell r="K140">
            <v>1.007484633961516</v>
          </cell>
        </row>
        <row r="141">
          <cell r="A141">
            <v>140</v>
          </cell>
          <cell r="B141" t="str">
            <v>ПС 35/6кВ КНС-6В    2с.ш.</v>
          </cell>
          <cell r="C141">
            <v>0.64915581862530625</v>
          </cell>
          <cell r="D141">
            <v>0.66331392236319853</v>
          </cell>
          <cell r="F141" t="str">
            <v>расчет от 04.10.2016</v>
          </cell>
          <cell r="J141">
            <v>0.98343357176916113</v>
          </cell>
          <cell r="K141">
            <v>1.0112205249759174</v>
          </cell>
        </row>
        <row r="142">
          <cell r="A142">
            <v>141</v>
          </cell>
          <cell r="B142" t="str">
            <v>ПС 35/6кВ КНС-7ВВ    1с.ш.</v>
          </cell>
          <cell r="C142">
            <v>0.51064743574119231</v>
          </cell>
          <cell r="D142">
            <v>0.59360029627677557</v>
          </cell>
          <cell r="F142" t="str">
            <v>расчет от 04.10.2016</v>
          </cell>
          <cell r="J142">
            <v>0.60284693099671016</v>
          </cell>
          <cell r="K142">
            <v>0.61557508017806462</v>
          </cell>
        </row>
        <row r="143">
          <cell r="A143">
            <v>142</v>
          </cell>
          <cell r="B143" t="str">
            <v>ПС 35/6кВ КНС-7ВВ    2с.ш.</v>
          </cell>
          <cell r="C143">
            <v>0.50510767999928019</v>
          </cell>
          <cell r="D143">
            <v>0.58805613774968435</v>
          </cell>
          <cell r="F143" t="str">
            <v>расчет от 04.10.2016</v>
          </cell>
          <cell r="J143">
            <v>0.59734130210571579</v>
          </cell>
          <cell r="K143">
            <v>0.61006734679167229</v>
          </cell>
        </row>
        <row r="144">
          <cell r="A144">
            <v>143</v>
          </cell>
          <cell r="B144" t="str">
            <v>ПС 35/6кВ КНС-7ВК    1с.ш.</v>
          </cell>
          <cell r="C144">
            <v>0.74856975078785171</v>
          </cell>
          <cell r="D144">
            <v>0.84063437255217355</v>
          </cell>
          <cell r="F144" t="str">
            <v>расчет от 20.09.2023</v>
          </cell>
          <cell r="J144">
            <v>0.60284693099671016</v>
          </cell>
          <cell r="K144">
            <v>0.61557508017806462</v>
          </cell>
        </row>
        <row r="145">
          <cell r="A145">
            <v>144</v>
          </cell>
          <cell r="B145" t="str">
            <v>ПС 35/6кВ КНС-7ВК    2с.ш.</v>
          </cell>
          <cell r="C145">
            <v>0.56858775981507426</v>
          </cell>
          <cell r="D145">
            <v>0.65159009361466846</v>
          </cell>
          <cell r="F145" t="str">
            <v>расчет от 20.09.2023</v>
          </cell>
          <cell r="J145">
            <v>0.59734130210571579</v>
          </cell>
          <cell r="K145">
            <v>0.61006734679167229</v>
          </cell>
        </row>
        <row r="146">
          <cell r="A146">
            <v>145</v>
          </cell>
          <cell r="B146" t="str">
            <v>ПС 35/6кВ Куст-28    1,2с.ш.</v>
          </cell>
          <cell r="C146">
            <v>0.85380335903093063</v>
          </cell>
          <cell r="D146">
            <v>0.86794520330517411</v>
          </cell>
          <cell r="F146" t="str">
            <v>расчет от 04.10.2016</v>
          </cell>
          <cell r="J146">
            <v>1.1938313037648673</v>
          </cell>
          <cell r="K146">
            <v>1.2215952027229164</v>
          </cell>
        </row>
        <row r="147">
          <cell r="A147">
            <v>146</v>
          </cell>
          <cell r="B147" t="str">
            <v>ПС 35/6кВ Куст-30    1с.ш.</v>
          </cell>
          <cell r="C147">
            <v>0.81452915431938344</v>
          </cell>
          <cell r="D147">
            <v>0.82867658441928349</v>
          </cell>
          <cell r="F147" t="str">
            <v>расчет от 04.10.2016</v>
          </cell>
          <cell r="J147">
            <v>1.1650043000355024</v>
          </cell>
          <cell r="K147">
            <v>1.1927664650808767</v>
          </cell>
        </row>
        <row r="148">
          <cell r="A148">
            <v>147</v>
          </cell>
          <cell r="B148" t="str">
            <v>ПС 35/6кВ Куст-30    2с.ш.</v>
          </cell>
          <cell r="C148">
            <v>0.81155484518229715</v>
          </cell>
          <cell r="D148">
            <v>0.82570219247112486</v>
          </cell>
          <cell r="F148" t="str">
            <v>расчет от 04.10.2016</v>
          </cell>
          <cell r="J148">
            <v>1.1620667805736566</v>
          </cell>
          <cell r="K148">
            <v>1.1898271270070886</v>
          </cell>
        </row>
        <row r="149">
          <cell r="A149">
            <v>148</v>
          </cell>
          <cell r="B149" t="str">
            <v>ПС 35/6кВ Куст-64В    1с.ш.</v>
          </cell>
          <cell r="C149">
            <v>0.84953672641117328</v>
          </cell>
          <cell r="D149">
            <v>0.94100888080368972</v>
          </cell>
          <cell r="F149" t="str">
            <v>расчет от 04.10.2016</v>
          </cell>
          <cell r="J149">
            <v>0.9506996732726366</v>
          </cell>
          <cell r="K149">
            <v>0.96476862862359802</v>
          </cell>
        </row>
        <row r="150">
          <cell r="A150">
            <v>149</v>
          </cell>
          <cell r="B150" t="str">
            <v>ПС 35/6кВ Куст-64В    2с.ш.</v>
          </cell>
          <cell r="C150">
            <v>0.87823804663747074</v>
          </cell>
          <cell r="D150">
            <v>0.9697236983994979</v>
          </cell>
          <cell r="F150" t="str">
            <v>расчет от 04.10.2016</v>
          </cell>
          <cell r="J150">
            <v>0.97929504660724476</v>
          </cell>
          <cell r="K150">
            <v>0.99336915210028831</v>
          </cell>
        </row>
        <row r="151">
          <cell r="A151">
            <v>150</v>
          </cell>
          <cell r="B151" t="str">
            <v>ПС 35/6кВ Куст-64К    1с.ш.</v>
          </cell>
          <cell r="C151">
            <v>0.91857431886575369</v>
          </cell>
          <cell r="D151">
            <v>1.0106790411635551</v>
          </cell>
          <cell r="F151" t="str">
            <v>расчет от 20.09.2023</v>
          </cell>
          <cell r="J151">
            <v>0.9506996732726366</v>
          </cell>
          <cell r="K151">
            <v>0.96476862862359802</v>
          </cell>
        </row>
        <row r="152">
          <cell r="A152">
            <v>151</v>
          </cell>
          <cell r="B152" t="str">
            <v>ПС 35/6кВ Куст-64К    2с.ш.</v>
          </cell>
          <cell r="C152">
            <v>0.94581433538599868</v>
          </cell>
          <cell r="D152">
            <v>1.0379520607897355</v>
          </cell>
          <cell r="F152" t="str">
            <v>расчет от 20.09.2023</v>
          </cell>
          <cell r="J152">
            <v>0.97929504660724476</v>
          </cell>
          <cell r="K152">
            <v>0.99336915210028831</v>
          </cell>
        </row>
        <row r="153">
          <cell r="A153">
            <v>152</v>
          </cell>
          <cell r="B153" t="str">
            <v>ПС 35/6кВ Куст-78    1с.ш.</v>
          </cell>
          <cell r="C153">
            <v>0.90461829768868363</v>
          </cell>
          <cell r="D153">
            <v>0.91867545071158385</v>
          </cell>
          <cell r="F153" t="str">
            <v>расчет от 04.10.2016</v>
          </cell>
          <cell r="J153">
            <v>1.2021730049914181</v>
          </cell>
          <cell r="K153">
            <v>1.2297610922923266</v>
          </cell>
        </row>
        <row r="154">
          <cell r="A154">
            <v>153</v>
          </cell>
          <cell r="B154" t="str">
            <v>ПС 35/6кВ Куст-78    2с.ш.</v>
          </cell>
          <cell r="C154">
            <v>0.92530703148300142</v>
          </cell>
          <cell r="D154">
            <v>0.93936866173480804</v>
          </cell>
          <cell r="F154" t="str">
            <v>расчет от 04.10.2016</v>
          </cell>
          <cell r="J154">
            <v>1.2226114350462327</v>
          </cell>
          <cell r="K154">
            <v>1.2502172417584589</v>
          </cell>
        </row>
        <row r="155">
          <cell r="A155">
            <v>154</v>
          </cell>
          <cell r="B155" t="str">
            <v>ПС 35/6кВ Куст-93В    1,2с.ш.</v>
          </cell>
          <cell r="C155">
            <v>0.70250335569535882</v>
          </cell>
          <cell r="D155">
            <v>0.79366740484616094</v>
          </cell>
          <cell r="F155" t="str">
            <v>расчет от 04.10.2016</v>
          </cell>
          <cell r="J155">
            <v>0.8051263522201243</v>
          </cell>
          <cell r="K155">
            <v>0.81911409281652792</v>
          </cell>
        </row>
        <row r="156">
          <cell r="A156">
            <v>155</v>
          </cell>
          <cell r="B156" t="str">
            <v>ПС 35/6кВ Куст-93К    1,2с.ш.</v>
          </cell>
          <cell r="C156">
            <v>0.77735010109314118</v>
          </cell>
          <cell r="D156">
            <v>0.86871939329516357</v>
          </cell>
          <cell r="F156" t="str">
            <v>расчет от 20.09.2023</v>
          </cell>
          <cell r="J156">
            <v>0.8051263522201243</v>
          </cell>
          <cell r="K156">
            <v>0.81911409281652792</v>
          </cell>
        </row>
        <row r="157">
          <cell r="A157">
            <v>156</v>
          </cell>
          <cell r="B157" t="str">
            <v>ПС 35/6кВ Куст-124    1с.ш.</v>
          </cell>
          <cell r="C157">
            <v>0.65392631143998603</v>
          </cell>
          <cell r="D157">
            <v>0.74561335414644081</v>
          </cell>
          <cell r="F157" t="str">
            <v>расчет от 04.10.2016</v>
          </cell>
          <cell r="J157">
            <v>0.73796991685135882</v>
          </cell>
          <cell r="K157">
            <v>0.83036605345739034</v>
          </cell>
        </row>
        <row r="158">
          <cell r="A158">
            <v>157</v>
          </cell>
          <cell r="B158" t="str">
            <v>ПС 35/6кВ Куст-124    2с.ш.</v>
          </cell>
          <cell r="C158">
            <v>0.65833604140553137</v>
          </cell>
          <cell r="D158">
            <v>0.75002314627050393</v>
          </cell>
          <cell r="F158" t="str">
            <v>расчет от 04.10.2016</v>
          </cell>
          <cell r="J158">
            <v>0.74234850883773007</v>
          </cell>
          <cell r="K158">
            <v>0.83475124875042939</v>
          </cell>
        </row>
        <row r="159">
          <cell r="A159">
            <v>158</v>
          </cell>
          <cell r="B159" t="str">
            <v>ПС 35/6кВ Куст-150    1с.ш.</v>
          </cell>
          <cell r="C159">
            <v>1.0271866243861609</v>
          </cell>
          <cell r="D159">
            <v>1.0551341733344417</v>
          </cell>
          <cell r="F159" t="str">
            <v>расчет от 04.10.2016</v>
          </cell>
          <cell r="J159">
            <v>0.84181572925153692</v>
          </cell>
          <cell r="K159">
            <v>0.85596000965328789</v>
          </cell>
        </row>
        <row r="160">
          <cell r="A160">
            <v>159</v>
          </cell>
          <cell r="B160" t="str">
            <v>ПС 35/6кВ Куст-150    2с.ш.</v>
          </cell>
          <cell r="C160">
            <v>1.0350740816308928</v>
          </cell>
          <cell r="D160">
            <v>1.0630242710340889</v>
          </cell>
          <cell r="F160" t="str">
            <v>расчет от 04.10.2016</v>
          </cell>
          <cell r="J160">
            <v>0.84974552941071546</v>
          </cell>
          <cell r="K160">
            <v>0.8638900774824636</v>
          </cell>
        </row>
        <row r="161">
          <cell r="A161">
            <v>160</v>
          </cell>
          <cell r="B161" t="str">
            <v xml:space="preserve">ПС 35/6кВ КондратьевскаяВ    1с.ш. </v>
          </cell>
          <cell r="C161">
            <v>0.66808958869607415</v>
          </cell>
          <cell r="D161">
            <v>0.75970536345354933</v>
          </cell>
          <cell r="F161" t="str">
            <v>расчет от 04.10.2016</v>
          </cell>
          <cell r="J161">
            <v>0.74116727734670662</v>
          </cell>
          <cell r="K161">
            <v>0.75528236063507392</v>
          </cell>
        </row>
        <row r="162">
          <cell r="A162">
            <v>161</v>
          </cell>
          <cell r="B162" t="str">
            <v xml:space="preserve">ПС 35/6кВ КондратьевскаяВ    2с.ш. </v>
          </cell>
          <cell r="C162">
            <v>0.66620138050298994</v>
          </cell>
          <cell r="D162">
            <v>0.75781674853495384</v>
          </cell>
          <cell r="F162" t="str">
            <v>расчет от 04.10.2016</v>
          </cell>
          <cell r="J162">
            <v>0.73928323939714058</v>
          </cell>
          <cell r="K162">
            <v>0.75339810131595764</v>
          </cell>
        </row>
        <row r="163">
          <cell r="A163">
            <v>162</v>
          </cell>
          <cell r="B163" t="str">
            <v xml:space="preserve">ПС 35/6кВ КондратьевскаяК    1с.ш. </v>
          </cell>
          <cell r="C163">
            <v>0.74343741653741335</v>
          </cell>
          <cell r="D163">
            <v>0.83555672398073799</v>
          </cell>
          <cell r="F163" t="str">
            <v>расчет от 20.09.2023</v>
          </cell>
          <cell r="J163">
            <v>0.74116727734670662</v>
          </cell>
          <cell r="K163">
            <v>0.75528236063507392</v>
          </cell>
        </row>
        <row r="164">
          <cell r="A164">
            <v>163</v>
          </cell>
          <cell r="B164" t="str">
            <v xml:space="preserve">ПС 35/6кВ КондратьевскаяК   2с.ш. </v>
          </cell>
          <cell r="C164">
            <v>0.74033120925724061</v>
          </cell>
          <cell r="D164">
            <v>0.83242388484250518</v>
          </cell>
          <cell r="F164" t="str">
            <v>расчет от 20.09.2023</v>
          </cell>
          <cell r="J164">
            <v>0.73928323939714058</v>
          </cell>
          <cell r="K164">
            <v>0.75339810131595764</v>
          </cell>
        </row>
        <row r="165">
          <cell r="A165">
            <v>164</v>
          </cell>
          <cell r="B165" t="str">
            <v xml:space="preserve">ПС 35/6кВ БПТОиК    1,2с.ш. </v>
          </cell>
          <cell r="C165">
            <v>0.85395597835548065</v>
          </cell>
          <cell r="D165">
            <v>0.86809203354427</v>
          </cell>
          <cell r="F165" t="str">
            <v>расчет от 04.10.2016</v>
          </cell>
          <cell r="J165">
            <v>1.1947242224930659</v>
          </cell>
          <cell r="K165">
            <v>1.2224631836510991</v>
          </cell>
        </row>
        <row r="166">
          <cell r="A166">
            <v>165</v>
          </cell>
          <cell r="B166" t="str">
            <v>РУ-6кВ С-Ватинское    1,2с.ш.</v>
          </cell>
          <cell r="C166">
            <v>0.20300000000000001</v>
          </cell>
          <cell r="D166">
            <v>0.215</v>
          </cell>
          <cell r="F166" t="str">
            <v>№Т4/1/2073 от 22.08.2016</v>
          </cell>
        </row>
        <row r="167">
          <cell r="A167">
            <v>166</v>
          </cell>
          <cell r="B167" t="str">
            <v>РУ-6кВ БКНС-6    1с.ш.</v>
          </cell>
          <cell r="C167">
            <v>0.64791198619245338</v>
          </cell>
          <cell r="D167">
            <v>0.6620697401872907</v>
          </cell>
          <cell r="F167" t="str">
            <v>расчет от 04.10.2016</v>
          </cell>
          <cell r="J167">
            <v>0.9822307677249793</v>
          </cell>
          <cell r="K167">
            <v>1.0100148826248732</v>
          </cell>
        </row>
        <row r="168">
          <cell r="A168">
            <v>167</v>
          </cell>
          <cell r="B168" t="str">
            <v>РУ-6кВ БКНС-6    2с.ш.</v>
          </cell>
          <cell r="C168">
            <v>0.65205655335283097</v>
          </cell>
          <cell r="D168">
            <v>0.66621421644517864</v>
          </cell>
          <cell r="F168" t="str">
            <v>расчет от 04.10.2016</v>
          </cell>
          <cell r="J168">
            <v>0.98632727928210528</v>
          </cell>
          <cell r="K168">
            <v>1.01411385689992</v>
          </cell>
        </row>
        <row r="169">
          <cell r="A169">
            <v>168</v>
          </cell>
          <cell r="B169" t="str">
            <v>РУ-6кВ КНС-1    1,2с.ш.</v>
          </cell>
          <cell r="C169">
            <v>0.68351675172962967</v>
          </cell>
          <cell r="D169">
            <v>0.7751217473931109</v>
          </cell>
          <cell r="F169" t="str">
            <v>расчет от 04.10.2016</v>
          </cell>
          <cell r="J169">
            <v>0.82672085067372236</v>
          </cell>
          <cell r="K169">
            <v>0.84079069899656678</v>
          </cell>
        </row>
        <row r="170">
          <cell r="A170">
            <v>169</v>
          </cell>
          <cell r="B170" t="str">
            <v>РУ-6кВ КНС-3    1,2с.ш.</v>
          </cell>
          <cell r="C170">
            <v>0.73454543900208313</v>
          </cell>
          <cell r="D170">
            <v>0.7486638517403349</v>
          </cell>
          <cell r="F170" t="str">
            <v>расчет от 04.10.2016</v>
          </cell>
          <cell r="J170">
            <v>0.67490279686046639</v>
          </cell>
          <cell r="K170">
            <v>0.76648631871974326</v>
          </cell>
        </row>
        <row r="171">
          <cell r="A171">
            <v>170</v>
          </cell>
          <cell r="B171" t="str">
            <v>РУ-6кВ КНС-7В    1с.ш.</v>
          </cell>
          <cell r="C171">
            <v>0.51465710470188331</v>
          </cell>
          <cell r="D171">
            <v>0.59760307076385388</v>
          </cell>
          <cell r="F171" t="str">
            <v>расчет от 04.10.2016</v>
          </cell>
          <cell r="J171">
            <v>0.63571946690334624</v>
          </cell>
          <cell r="K171">
            <v>0.64973798894484869</v>
          </cell>
        </row>
        <row r="172">
          <cell r="A172">
            <v>171</v>
          </cell>
          <cell r="B172" t="str">
            <v>РУ-6кВ КНС-7В    2с.ш.</v>
          </cell>
          <cell r="C172">
            <v>0.50911788941251068</v>
          </cell>
          <cell r="D172">
            <v>0.59205931278551238</v>
          </cell>
          <cell r="F172" t="str">
            <v>расчет от 04.10.2016</v>
          </cell>
          <cell r="J172">
            <v>0.63021964322925184</v>
          </cell>
          <cell r="K172">
            <v>0.64423570488272652</v>
          </cell>
        </row>
        <row r="173">
          <cell r="A173">
            <v>172</v>
          </cell>
          <cell r="B173" t="str">
            <v>РУ-6кВ БКНС-10    1,2с.ш.</v>
          </cell>
          <cell r="C173">
            <v>0.72965384847080705</v>
          </cell>
          <cell r="D173">
            <v>0.82067900002758154</v>
          </cell>
          <cell r="F173" t="str">
            <v>расчет от 04.10.2016</v>
          </cell>
          <cell r="J173">
            <v>0.83212264005030301</v>
          </cell>
          <cell r="K173">
            <v>0.84609225682459699</v>
          </cell>
        </row>
        <row r="174">
          <cell r="A174">
            <v>173</v>
          </cell>
          <cell r="B174" t="str">
            <v>РУ-6кВ ДНС-1    1,2с.ш.</v>
          </cell>
          <cell r="C174">
            <v>0.67396181711471892</v>
          </cell>
          <cell r="D174">
            <v>0.7656025085438305</v>
          </cell>
          <cell r="F174" t="str">
            <v>расчет от 04.10.2016</v>
          </cell>
          <cell r="J174">
            <v>0.81721826678074361</v>
          </cell>
          <cell r="K174">
            <v>0.83129230492971073</v>
          </cell>
        </row>
        <row r="175">
          <cell r="A175">
            <v>174</v>
          </cell>
          <cell r="B175" t="str">
            <v>РУ-6кВ ДНС-1    3с.ш.(резерв)</v>
          </cell>
          <cell r="C175">
            <v>0.85112169993944797</v>
          </cell>
          <cell r="D175">
            <v>0.94259143082224139</v>
          </cell>
          <cell r="F175" t="str">
            <v>расчет от 04.10.2016</v>
          </cell>
          <cell r="J175">
            <v>0.95228199381344425</v>
          </cell>
          <cell r="K175">
            <v>0.96635062420301854</v>
          </cell>
        </row>
        <row r="176">
          <cell r="A176">
            <v>175</v>
          </cell>
          <cell r="B176" t="str">
            <v xml:space="preserve">           СР №5</v>
          </cell>
        </row>
        <row r="177">
          <cell r="A177">
            <v>176</v>
          </cell>
          <cell r="B177" t="str">
            <v>ПС 110/35/6кВ Аганская    1,2с.ш.35кВ</v>
          </cell>
          <cell r="C177">
            <v>3.9750000000000001</v>
          </cell>
          <cell r="D177">
            <v>5.0359999999999996</v>
          </cell>
          <cell r="F177" t="str">
            <v>№Т4/1/2073 от 22.08.2016</v>
          </cell>
        </row>
        <row r="178">
          <cell r="A178">
            <v>177</v>
          </cell>
          <cell r="B178" t="str">
            <v xml:space="preserve">ПС 110/35/6кВ Лысенковская    1,2с.ш.35кВ </v>
          </cell>
          <cell r="C178">
            <v>5.7030000000000003</v>
          </cell>
          <cell r="D178">
            <v>7.1189999999999998</v>
          </cell>
          <cell r="F178" t="str">
            <v>По письму №Р57-б1-II 2-19-1436 от 28.04.25</v>
          </cell>
          <cell r="G178" t="str">
            <v>расчет реактансов при Uпа=120,8 кВ</v>
          </cell>
        </row>
        <row r="179">
          <cell r="A179">
            <v>178</v>
          </cell>
          <cell r="B179" t="str">
            <v>ПС 110/35/6кВ Январская    1,2с.ш.35кВ</v>
          </cell>
          <cell r="C179">
            <v>4.2770000000000001</v>
          </cell>
          <cell r="D179">
            <v>6.3559999999999999</v>
          </cell>
          <cell r="F179" t="str">
            <v>№Т4/1/2073 от 22.08.2016</v>
          </cell>
        </row>
        <row r="180">
          <cell r="A180">
            <v>179</v>
          </cell>
          <cell r="B180" t="str">
            <v>ПС 110/35/6кВ Ю-Аганская    1,2с.ш.35кВ</v>
          </cell>
          <cell r="C180">
            <v>6.5380000000000003</v>
          </cell>
          <cell r="D180">
            <v>7.4059999999999997</v>
          </cell>
          <cell r="F180" t="str">
            <v>№Т4/1/2073 от 22.08.2016</v>
          </cell>
        </row>
        <row r="181">
          <cell r="A181">
            <v>180</v>
          </cell>
          <cell r="B181" t="str">
            <v>ПС 110/35/6кВ Аганская    1,2с.ш. 6кВ</v>
          </cell>
          <cell r="C181">
            <v>0.188</v>
          </cell>
          <cell r="D181">
            <v>0.219</v>
          </cell>
          <cell r="F181" t="str">
            <v>№Т4/1/2073 от 22.08.2016</v>
          </cell>
        </row>
        <row r="182">
          <cell r="A182">
            <v>181</v>
          </cell>
          <cell r="B182" t="str">
            <v>ПС 35/6кВ В-Аганская    1,2с.ш.</v>
          </cell>
          <cell r="C182">
            <v>0.7910238164590504</v>
          </cell>
          <cell r="D182">
            <v>0.81907571833974024</v>
          </cell>
          <cell r="F182" t="str">
            <v>расчет от 04.10.2016</v>
          </cell>
          <cell r="J182">
            <v>0.89677250575415746</v>
          </cell>
          <cell r="K182">
            <v>0.91073339884905413</v>
          </cell>
        </row>
        <row r="183">
          <cell r="A183">
            <v>182</v>
          </cell>
          <cell r="B183" t="str">
            <v>ПС 35/6кВ З-Аганская    1,2с.ш.</v>
          </cell>
          <cell r="C183">
            <v>1.0006467977954343</v>
          </cell>
          <cell r="D183">
            <v>1.0285757562051405</v>
          </cell>
          <cell r="F183" t="str">
            <v>расчет от 04.10.2016</v>
          </cell>
        </row>
        <row r="184">
          <cell r="A184">
            <v>183</v>
          </cell>
          <cell r="B184" t="str">
            <v>ПС 35/6кВ КНС-1А    1 с.ш.</v>
          </cell>
          <cell r="C184">
            <v>0.45528525746231485</v>
          </cell>
          <cell r="D184">
            <v>0.48966162534644919</v>
          </cell>
          <cell r="F184" t="str">
            <v>расчет от 04.10.2016</v>
          </cell>
        </row>
        <row r="185">
          <cell r="A185">
            <v>184</v>
          </cell>
          <cell r="B185" t="str">
            <v>ПС 35/6кВ КНС-1А    2 с.ш.</v>
          </cell>
          <cell r="C185">
            <v>0.45250696027103987</v>
          </cell>
          <cell r="D185">
            <v>0.48688332777360172</v>
          </cell>
          <cell r="F185" t="str">
            <v>расчет от 04.10.2016</v>
          </cell>
        </row>
        <row r="186">
          <cell r="A186">
            <v>185</v>
          </cell>
          <cell r="B186" t="str">
            <v>ПС 35/6кВ КНC-1бис    1,2с.ш.</v>
          </cell>
          <cell r="C186">
            <v>0.38609972893436395</v>
          </cell>
          <cell r="D186">
            <v>0.42047537850174921</v>
          </cell>
          <cell r="F186" t="str">
            <v>расчет от 04.10.2016</v>
          </cell>
        </row>
        <row r="187">
          <cell r="A187">
            <v>186</v>
          </cell>
          <cell r="B187" t="str">
            <v>ПС 35/6кВ КНС-2А    1с.ш.</v>
          </cell>
          <cell r="C187">
            <v>0.39588244845413856</v>
          </cell>
          <cell r="D187">
            <v>0.46324101627330422</v>
          </cell>
          <cell r="F187" t="str">
            <v>расчет от 04.10.2016</v>
          </cell>
          <cell r="J187">
            <v>0.50069876238831013</v>
          </cell>
          <cell r="K187">
            <v>0.53148158197204298</v>
          </cell>
        </row>
        <row r="188">
          <cell r="A188">
            <v>187</v>
          </cell>
          <cell r="B188" t="str">
            <v>ПС 35/6кВ КНС-2А    2с.ш.</v>
          </cell>
          <cell r="C188">
            <v>0.39340186821397638</v>
          </cell>
          <cell r="D188">
            <v>0.46076042393268418</v>
          </cell>
          <cell r="F188" t="str">
            <v>расчет от 04.10.2016</v>
          </cell>
          <cell r="J188">
            <v>0.49822899253394376</v>
          </cell>
          <cell r="K188">
            <v>0.52901058596847439</v>
          </cell>
        </row>
        <row r="189">
          <cell r="A189">
            <v>188</v>
          </cell>
          <cell r="B189" t="str">
            <v xml:space="preserve">ПС 35/6кВ КНС-3А  1с.ш. </v>
          </cell>
          <cell r="C189">
            <v>0.73134844372320951</v>
          </cell>
          <cell r="D189">
            <v>0.77721172803184735</v>
          </cell>
          <cell r="F189" t="str">
            <v>расчет от 14.07.2025</v>
          </cell>
          <cell r="J189">
            <v>0.66942909236154835</v>
          </cell>
          <cell r="K189">
            <v>0.73676251812502402</v>
          </cell>
        </row>
        <row r="190">
          <cell r="A190">
            <v>189</v>
          </cell>
          <cell r="B190" t="str">
            <v>ПС 35/6кВ КНС-3А  2с.ш.</v>
          </cell>
          <cell r="C190">
            <v>0.70994213378424864</v>
          </cell>
          <cell r="D190">
            <v>0.75580382810774993</v>
          </cell>
          <cell r="F190" t="str">
            <v>расчет от 14.07.2025</v>
          </cell>
          <cell r="J190">
            <v>0.64801855571272515</v>
          </cell>
          <cell r="K190">
            <v>0.71535030698108049</v>
          </cell>
        </row>
        <row r="191">
          <cell r="A191">
            <v>190</v>
          </cell>
          <cell r="B191" t="str">
            <v>ПС 35/6кВ Куст-9б 1с.ш.</v>
          </cell>
          <cell r="C191">
            <v>0.72140581657402358</v>
          </cell>
          <cell r="D191">
            <v>0.76728529851648808</v>
          </cell>
          <cell r="F191" t="str">
            <v>расчет от 14.07.2025</v>
          </cell>
          <cell r="J191">
            <v>0.74232855420247024</v>
          </cell>
          <cell r="K191">
            <v>0.80958800525492591</v>
          </cell>
        </row>
        <row r="192">
          <cell r="A192">
            <v>191</v>
          </cell>
          <cell r="B192" t="str">
            <v xml:space="preserve">ПС 35/6кВ Куст-9б 2с.ш. </v>
          </cell>
          <cell r="C192">
            <v>0.72959382843786935</v>
          </cell>
          <cell r="D192">
            <v>0.77547353987640821</v>
          </cell>
          <cell r="F192" t="str">
            <v>расчет от 14.07.2025</v>
          </cell>
          <cell r="J192">
            <v>0.7505054181738664</v>
          </cell>
          <cell r="K192">
            <v>0.81776695263666033</v>
          </cell>
        </row>
        <row r="193">
          <cell r="A193">
            <v>192</v>
          </cell>
          <cell r="B193" t="str">
            <v>ПС 35/6кВ Куст-11    1,2с.ш.</v>
          </cell>
          <cell r="C193">
            <v>0.93568086113856375</v>
          </cell>
          <cell r="D193">
            <v>0.96375285256819043</v>
          </cell>
          <cell r="F193" t="str">
            <v>расчет от 04.10.2016</v>
          </cell>
          <cell r="J193">
            <v>1.0399779523033903</v>
          </cell>
          <cell r="K193">
            <v>1.0539895579324841</v>
          </cell>
        </row>
        <row r="194">
          <cell r="A194">
            <v>193</v>
          </cell>
          <cell r="B194" t="str">
            <v>ПС 35/6кВ Куст-67    1,2с.ш.</v>
          </cell>
          <cell r="C194">
            <v>0.81215952716958795</v>
          </cell>
          <cell r="D194">
            <v>0.8794899028903792</v>
          </cell>
          <cell r="F194" t="str">
            <v>расчет от 04.10.2016</v>
          </cell>
          <cell r="J194">
            <v>1.1110660413360363</v>
          </cell>
          <cell r="K194">
            <v>1.1415394556510654</v>
          </cell>
        </row>
        <row r="195">
          <cell r="A195">
            <v>194</v>
          </cell>
          <cell r="B195" t="str">
            <v xml:space="preserve">ПС 35/6кВ Куст-69  1,2с.ш. </v>
          </cell>
          <cell r="C195">
            <v>0.77054922817992777</v>
          </cell>
          <cell r="D195">
            <v>0.81627434369669671</v>
          </cell>
          <cell r="F195" t="str">
            <v>расчет от 14.07.2025</v>
          </cell>
          <cell r="J195">
            <v>0.8062765251851387</v>
          </cell>
          <cell r="K195">
            <v>0.87309839084793972</v>
          </cell>
        </row>
        <row r="196">
          <cell r="A196">
            <v>195</v>
          </cell>
          <cell r="B196" t="str">
            <v xml:space="preserve">ПС 35/6кВ Куст-69бис  1с.ш. </v>
          </cell>
          <cell r="C196">
            <v>0.84438331635673647</v>
          </cell>
          <cell r="D196">
            <v>0.89002532655146938</v>
          </cell>
          <cell r="F196" t="str">
            <v>расчет от 14.07.2025</v>
          </cell>
          <cell r="J196">
            <v>0.82131560028652639</v>
          </cell>
          <cell r="K196">
            <v>0.85542060731685488</v>
          </cell>
        </row>
        <row r="197">
          <cell r="A197">
            <v>196</v>
          </cell>
          <cell r="B197" t="str">
            <v>ПС 35/6кВ Куст-69бис   2с.ш.</v>
          </cell>
          <cell r="C197">
            <v>0.84751791194660808</v>
          </cell>
          <cell r="D197">
            <v>0.89315923124707242</v>
          </cell>
          <cell r="F197" t="str">
            <v>расчет от 14.07.2025</v>
          </cell>
          <cell r="J197">
            <v>0.82143527093473179</v>
          </cell>
          <cell r="K197">
            <v>0.85554751347927827</v>
          </cell>
        </row>
        <row r="198">
          <cell r="A198">
            <v>197</v>
          </cell>
          <cell r="B198" t="str">
            <v>ПС 35/6кВ Куст-103    1с.ш.</v>
          </cell>
          <cell r="C198">
            <v>0.6774578748995348</v>
          </cell>
          <cell r="D198">
            <v>0.71181762942295401</v>
          </cell>
          <cell r="F198" t="str">
            <v>расчет от 04.10.2016</v>
          </cell>
          <cell r="J198">
            <v>0.67514233103131938</v>
          </cell>
          <cell r="K198">
            <v>0.70603892308455884</v>
          </cell>
        </row>
        <row r="199">
          <cell r="A199">
            <v>198</v>
          </cell>
          <cell r="B199" t="str">
            <v>ПС 35/6кВ Куст-103    2с.ш.</v>
          </cell>
          <cell r="C199">
            <v>0.62563721014339968</v>
          </cell>
          <cell r="D199">
            <v>0.65999540066447171</v>
          </cell>
          <cell r="F199" t="str">
            <v>расчет от 04.10.2016</v>
          </cell>
          <cell r="J199">
            <v>0.62331949268930009</v>
          </cell>
          <cell r="K199">
            <v>0.65421492385524693</v>
          </cell>
        </row>
        <row r="200">
          <cell r="A200">
            <v>199</v>
          </cell>
          <cell r="B200" t="str">
            <v>ПС 35/6кВ Куст-106    1с.ш.</v>
          </cell>
          <cell r="C200">
            <v>0.68795244357441909</v>
          </cell>
          <cell r="D200">
            <v>0.72222725598482806</v>
          </cell>
          <cell r="F200" t="str">
            <v>расчет от 04.10.2016</v>
          </cell>
          <cell r="J200">
            <v>0.76176815263208497</v>
          </cell>
          <cell r="K200">
            <v>0.79247793232943697</v>
          </cell>
        </row>
        <row r="201">
          <cell r="A201">
            <v>200</v>
          </cell>
          <cell r="B201" t="str">
            <v>ПС 35/6кВ Куст-106    2с.ш.</v>
          </cell>
          <cell r="C201">
            <v>0.68606832362383163</v>
          </cell>
          <cell r="D201">
            <v>0.72034258971365461</v>
          </cell>
          <cell r="F201" t="str">
            <v>расчет от 04.10.2016</v>
          </cell>
          <cell r="J201">
            <v>0.75689835778611148</v>
          </cell>
          <cell r="K201">
            <v>0.78761194867327433</v>
          </cell>
        </row>
        <row r="202">
          <cell r="A202">
            <v>201</v>
          </cell>
          <cell r="B202" t="str">
            <v>ПС 35/6кВ Куст-111    1с.ш.</v>
          </cell>
          <cell r="C202">
            <v>0.97131248549724847</v>
          </cell>
          <cell r="D202">
            <v>1.0382650982579367</v>
          </cell>
          <cell r="F202" t="str">
            <v>расчет от 04.10.2016</v>
          </cell>
          <cell r="J202">
            <v>0.98142085453159389</v>
          </cell>
          <cell r="K202">
            <v>1.0121151241935298</v>
          </cell>
        </row>
        <row r="203">
          <cell r="A203">
            <v>202</v>
          </cell>
          <cell r="B203" t="str">
            <v>ПС 35/6кВ Куст-111    2с.ш.</v>
          </cell>
          <cell r="C203">
            <v>0.96244045621320395</v>
          </cell>
          <cell r="D203">
            <v>1.0293857515031963</v>
          </cell>
          <cell r="F203" t="str">
            <v>расчет от 04.10.2016</v>
          </cell>
          <cell r="J203">
            <v>0.97255535630881262</v>
          </cell>
          <cell r="K203">
            <v>1.0032457281672928</v>
          </cell>
        </row>
        <row r="204">
          <cell r="A204">
            <v>203</v>
          </cell>
          <cell r="B204" t="str">
            <v>ПС 35/6кВ Куст-114    1с.ш.</v>
          </cell>
          <cell r="C204">
            <v>0.84899884952810534</v>
          </cell>
          <cell r="D204">
            <v>0.91580652925930073</v>
          </cell>
          <cell r="F204" t="str">
            <v>расчет от 04.10.2016</v>
          </cell>
          <cell r="J204">
            <v>0.85922479953361586</v>
          </cell>
          <cell r="K204">
            <v>0.88984263694573673</v>
          </cell>
        </row>
        <row r="205">
          <cell r="A205">
            <v>204</v>
          </cell>
          <cell r="B205" t="str">
            <v>ПС 35/6кВ Куст-114    2с.ш.</v>
          </cell>
          <cell r="C205">
            <v>0.83900903335544996</v>
          </cell>
          <cell r="D205">
            <v>0.90580391975855701</v>
          </cell>
          <cell r="F205" t="str">
            <v>расчет от 04.10.2016</v>
          </cell>
          <cell r="J205">
            <v>0.84924451761173148</v>
          </cell>
          <cell r="K205">
            <v>0.87985554243326924</v>
          </cell>
        </row>
        <row r="206">
          <cell r="A206">
            <v>205</v>
          </cell>
          <cell r="B206" t="str">
            <v>ПС 35/6кВ Куст-113    1с.ш.</v>
          </cell>
          <cell r="C206">
            <v>0.8775260563344246</v>
          </cell>
          <cell r="D206">
            <v>0.94418137189085005</v>
          </cell>
          <cell r="F206" t="str">
            <v>расчет от 04.10.2016</v>
          </cell>
          <cell r="J206">
            <v>0.85922479953361586</v>
          </cell>
          <cell r="K206">
            <v>0.88984263694573673</v>
          </cell>
        </row>
        <row r="207">
          <cell r="A207">
            <v>206</v>
          </cell>
          <cell r="B207" t="str">
            <v>ПС 35/6кВ Куст-113    2с.ш.</v>
          </cell>
          <cell r="C207">
            <v>0.8806407324021801</v>
          </cell>
          <cell r="D207">
            <v>0.94730087539582053</v>
          </cell>
          <cell r="F207" t="str">
            <v>расчет от 04.10.2016</v>
          </cell>
          <cell r="J207">
            <v>0.84924451761173148</v>
          </cell>
          <cell r="K207">
            <v>0.87985554243326924</v>
          </cell>
        </row>
        <row r="208">
          <cell r="A208">
            <v>207</v>
          </cell>
          <cell r="B208" t="str">
            <v>ПС 35/6кВ М-Аганская    1,2с.ш.</v>
          </cell>
          <cell r="C208">
            <v>0.67624432682141411</v>
          </cell>
          <cell r="D208">
            <v>0.74338356106434555</v>
          </cell>
          <cell r="F208" t="str">
            <v>расчет от 04.10.2016</v>
          </cell>
          <cell r="J208">
            <v>0.75914885466960869</v>
          </cell>
          <cell r="K208">
            <v>0.7896858806993694</v>
          </cell>
        </row>
        <row r="209">
          <cell r="A209">
            <v>208</v>
          </cell>
          <cell r="B209" t="str">
            <v>ПС 35/6кВ Куст-115    1с.ш.</v>
          </cell>
          <cell r="C209">
            <v>0.68465802284371313</v>
          </cell>
          <cell r="D209">
            <v>0.71900571658541235</v>
          </cell>
          <cell r="F209" t="str">
            <v>расчет от 04.10.2016</v>
          </cell>
        </row>
        <row r="210">
          <cell r="A210">
            <v>209</v>
          </cell>
          <cell r="B210" t="str">
            <v>ПС 35/6кВ Куст-115    2с.ш.</v>
          </cell>
          <cell r="C210">
            <v>0.68214024096241566</v>
          </cell>
          <cell r="D210">
            <v>0.71648772740536337</v>
          </cell>
          <cell r="F210" t="str">
            <v>расчет от 04.10.2016</v>
          </cell>
        </row>
        <row r="211">
          <cell r="A211">
            <v>210</v>
          </cell>
          <cell r="B211" t="str">
            <v xml:space="preserve">ПС 35/6кВ Промысловая -1  1с.ш. </v>
          </cell>
          <cell r="C211">
            <v>0.75772398251268913</v>
          </cell>
          <cell r="D211">
            <v>0.79209997098058915</v>
          </cell>
          <cell r="J211">
            <v>0.82345750408845775</v>
          </cell>
          <cell r="K211">
            <v>0.85433562457024603</v>
          </cell>
        </row>
        <row r="212">
          <cell r="A212">
            <v>211</v>
          </cell>
          <cell r="B212" t="str">
            <v>ПС 35/6кВ Промысловая -1  2с.ш.</v>
          </cell>
          <cell r="C212">
            <v>0.75177055760759881</v>
          </cell>
          <cell r="D212">
            <v>0.78614653967526948</v>
          </cell>
          <cell r="J212">
            <v>0.82649406380427781</v>
          </cell>
          <cell r="K212">
            <v>0.85737466581309107</v>
          </cell>
        </row>
        <row r="213">
          <cell r="A213">
            <v>212</v>
          </cell>
          <cell r="B213" t="str">
            <v>ПС 35/6кВ Промысловая -2    1,2с.ш.</v>
          </cell>
          <cell r="C213">
            <v>0.77501063213287602</v>
          </cell>
          <cell r="D213">
            <v>0.84236969780019977</v>
          </cell>
          <cell r="F213" t="str">
            <v>расчет от 04.10.2016</v>
          </cell>
          <cell r="J213">
            <v>1.0800805534496745</v>
          </cell>
          <cell r="K213">
            <v>1.1106115416516409</v>
          </cell>
        </row>
        <row r="214">
          <cell r="A214">
            <v>213</v>
          </cell>
          <cell r="B214" t="str">
            <v>КРУН-6кВ Аганское    1,2с.ш.</v>
          </cell>
          <cell r="C214">
            <v>0.18890725855826718</v>
          </cell>
          <cell r="D214">
            <v>0.21990623532769599</v>
          </cell>
          <cell r="F214" t="str">
            <v>расчет от 04.10.2016</v>
          </cell>
        </row>
        <row r="215">
          <cell r="A215">
            <v>214</v>
          </cell>
          <cell r="B215" t="str">
            <v>РУ-6кВ Ю-Аганское    1,2с.ш.</v>
          </cell>
          <cell r="C215">
            <v>0.313</v>
          </cell>
          <cell r="D215">
            <v>0.34200000000000003</v>
          </cell>
          <cell r="F215" t="str">
            <v>№Т4/1/2073 от 22.08.2016</v>
          </cell>
        </row>
        <row r="216">
          <cell r="A216">
            <v>215</v>
          </cell>
          <cell r="B216" t="str">
            <v>РУ-6кВ Январское    1,2с.ш.</v>
          </cell>
          <cell r="C216">
            <v>0.20499999999999999</v>
          </cell>
          <cell r="D216">
            <v>0.26600000000000001</v>
          </cell>
          <cell r="F216" t="str">
            <v>№Т4/1/2073 от 22.08.2016</v>
          </cell>
        </row>
        <row r="217">
          <cell r="A217">
            <v>216</v>
          </cell>
          <cell r="B217" t="str">
            <v>ЗРУ-6кВ Лысенковское    1с.ш.</v>
          </cell>
          <cell r="C217">
            <v>0.20100358205763399</v>
          </cell>
          <cell r="D217">
            <v>0.22900314408321995</v>
          </cell>
          <cell r="F217" t="str">
            <v>расчет от 04.10.2016</v>
          </cell>
        </row>
        <row r="218">
          <cell r="A218">
            <v>217</v>
          </cell>
          <cell r="B218" t="str">
            <v>ЗРУ-6кВ Лысенковское    2с.ш.</v>
          </cell>
          <cell r="C218">
            <v>0.20500790228671675</v>
          </cell>
          <cell r="D218">
            <v>0.23300695268596602</v>
          </cell>
          <cell r="F218" t="str">
            <v>расчет от 04.10.2016</v>
          </cell>
        </row>
        <row r="219">
          <cell r="A219">
            <v>218</v>
          </cell>
          <cell r="B219" t="str">
            <v>РУ-6кВ №1    1,2с.ш.</v>
          </cell>
          <cell r="C219">
            <v>0.19494486798731389</v>
          </cell>
          <cell r="D219">
            <v>0.225905754169687</v>
          </cell>
          <cell r="F219" t="str">
            <v>расчет от 04.10.2016</v>
          </cell>
        </row>
        <row r="220">
          <cell r="A220">
            <v>219</v>
          </cell>
          <cell r="B220" t="str">
            <v>РУ-6кВ №1    3с.ш.</v>
          </cell>
          <cell r="C220">
            <v>0.5427908631070667</v>
          </cell>
          <cell r="D220">
            <v>0.57378748413737979</v>
          </cell>
          <cell r="F220" t="str">
            <v>расчет от 04.10.2016</v>
          </cell>
        </row>
        <row r="221">
          <cell r="A221">
            <v>220</v>
          </cell>
          <cell r="B221" t="str">
            <v>РУ-6кВ №3    1,2с.ш.</v>
          </cell>
          <cell r="C221">
            <v>0.20101120055511107</v>
          </cell>
          <cell r="D221">
            <v>0.2316620022947791</v>
          </cell>
          <cell r="F221" t="str">
            <v>расчет от 04.10.2016</v>
          </cell>
        </row>
        <row r="222">
          <cell r="A222">
            <v>221</v>
          </cell>
          <cell r="B222" t="str">
            <v>РУ-6кВ ДНС-1    1,2с.ш.</v>
          </cell>
          <cell r="C222">
            <v>0.3282155998730103</v>
          </cell>
          <cell r="D222">
            <v>0.35713314043924854</v>
          </cell>
          <cell r="F222" t="str">
            <v>расчет от 04.10.2016</v>
          </cell>
        </row>
        <row r="223">
          <cell r="A223">
            <v>222</v>
          </cell>
          <cell r="B223" t="str">
            <v>РУ-6кВ ДНС-3    1с.ш.</v>
          </cell>
          <cell r="C223">
            <v>1.2032962220923127</v>
          </cell>
          <cell r="D223">
            <v>1.2696170357608056</v>
          </cell>
          <cell r="F223" t="str">
            <v>расчет от 04.10.2016</v>
          </cell>
          <cell r="J223">
            <v>1.2133047554936167</v>
          </cell>
          <cell r="K223">
            <v>1.2437057687678534</v>
          </cell>
        </row>
        <row r="224">
          <cell r="A224">
            <v>223</v>
          </cell>
          <cell r="B224" t="str">
            <v>РУ-6кВ ДНС-3    2с.ш.</v>
          </cell>
          <cell r="C224">
            <v>1.0863770529825496</v>
          </cell>
          <cell r="D224">
            <v>1.1530938234847012</v>
          </cell>
          <cell r="F224" t="str">
            <v>расчет от 04.10.2016</v>
          </cell>
          <cell r="J224">
            <v>1.0964556382266801</v>
          </cell>
          <cell r="K224">
            <v>1.1270398066821208</v>
          </cell>
        </row>
        <row r="225">
          <cell r="A225">
            <v>224</v>
          </cell>
          <cell r="B225" t="str">
            <v>РУ-6кВ КНС-2    1,2с.ш.</v>
          </cell>
          <cell r="C225">
            <v>0.79318937687827396</v>
          </cell>
          <cell r="D225">
            <v>0.82124108882653291</v>
          </cell>
          <cell r="F225" t="str">
            <v>расчет от 04.10.2016</v>
          </cell>
          <cell r="J225">
            <v>0.89893741206017697</v>
          </cell>
          <cell r="K225">
            <v>0.91289823012325877</v>
          </cell>
        </row>
        <row r="226">
          <cell r="A226">
            <v>225</v>
          </cell>
          <cell r="B226" t="str">
            <v xml:space="preserve">           СР №6</v>
          </cell>
        </row>
        <row r="227">
          <cell r="A227">
            <v>226</v>
          </cell>
          <cell r="B227" t="str">
            <v>ПС 110/35/6кВ Таежная    1,2с.ш.35кВ</v>
          </cell>
          <cell r="C227">
            <v>5.835</v>
          </cell>
          <cell r="D227">
            <v>7.0460000000000003</v>
          </cell>
          <cell r="F227" t="str">
            <v>№Т4/1/2073 от 22.08.2016</v>
          </cell>
        </row>
        <row r="228">
          <cell r="A228">
            <v>227</v>
          </cell>
          <cell r="B228" t="str">
            <v>ПС 110/35/6кВ Таежная    1,2с.ш.6кВ</v>
          </cell>
          <cell r="C228">
            <v>0.27900000000000003</v>
          </cell>
          <cell r="D228">
            <v>0.32300000000000001</v>
          </cell>
          <cell r="F228" t="str">
            <v>№Т4/1/2073 от 22.08.2016</v>
          </cell>
        </row>
        <row r="229">
          <cell r="A229">
            <v>228</v>
          </cell>
          <cell r="B229" t="str">
            <v>ПС 110/35/6кВ Баграс    1 с.ш.35кВ</v>
          </cell>
          <cell r="C229">
            <v>8.2869415032183689</v>
          </cell>
          <cell r="D229">
            <v>9.0895455227238635</v>
          </cell>
          <cell r="F229" t="str">
            <v>По письму №Р57-б1-II 2-19-3286 от 21.10.24</v>
          </cell>
        </row>
        <row r="230">
          <cell r="A230">
            <v>229</v>
          </cell>
          <cell r="B230" t="str">
            <v>ПС 110/35/6кВ Баграс    2 с.ш.35кВ</v>
          </cell>
          <cell r="C230">
            <v>8.2967555031037516</v>
          </cell>
          <cell r="D230">
            <v>9.1031996394772428</v>
          </cell>
          <cell r="F230" t="str">
            <v>По письму №Р57-б1-II 2-19-3286 от 21.10.24</v>
          </cell>
        </row>
        <row r="231">
          <cell r="A231">
            <v>230</v>
          </cell>
          <cell r="B231" t="str">
            <v>ПС 110/35/6кВ Баграс    1 с.ш.6кВ</v>
          </cell>
          <cell r="C231">
            <v>0.99634698199896621</v>
          </cell>
          <cell r="D231">
            <v>1.0223110005456468</v>
          </cell>
          <cell r="F231" t="str">
            <v>По письму №Р57-б1-II 2-19-3286 от 21.10.24</v>
          </cell>
        </row>
        <row r="232">
          <cell r="A232">
            <v>231</v>
          </cell>
          <cell r="B232" t="str">
            <v>ПС 110/35/6кВ Баграс    2 с.ш.6кВ</v>
          </cell>
          <cell r="C232">
            <v>0.97813505938930156</v>
          </cell>
          <cell r="D232">
            <v>1.0042241955186995</v>
          </cell>
          <cell r="F232" t="str">
            <v>По письму №Р57-б1-II 2-19-3286 от 21.10.24</v>
          </cell>
        </row>
        <row r="233">
          <cell r="A233">
            <v>232</v>
          </cell>
          <cell r="B233" t="str">
            <v>ПС 110/35/6кВ Мартыновская    1с.ш.35кВ</v>
          </cell>
          <cell r="C233">
            <v>4.6390000000000002</v>
          </cell>
          <cell r="D233">
            <v>5.7839999999999998</v>
          </cell>
          <cell r="F233" t="str">
            <v>По письму №Р57-б1-II 2-19-3286 от 21.10.24</v>
          </cell>
        </row>
        <row r="234">
          <cell r="A234">
            <v>233</v>
          </cell>
          <cell r="B234" t="str">
            <v>ПС 110/35/6кВ Мартыновская    2с.ш.35кВ</v>
          </cell>
          <cell r="C234">
            <v>4.6360000000000001</v>
          </cell>
          <cell r="D234">
            <v>5.7240000000000002</v>
          </cell>
          <cell r="F234" t="str">
            <v>По письму №Р57-б1-II 2-19-3286 от 21.10.24</v>
          </cell>
        </row>
        <row r="235">
          <cell r="A235">
            <v>234</v>
          </cell>
          <cell r="B235" t="str">
            <v>ПС 35/6кВ Баграс    1с.ш.</v>
          </cell>
          <cell r="C235">
            <v>0.98434535605805296</v>
          </cell>
          <cell r="D235">
            <v>1.0103094158994337</v>
          </cell>
          <cell r="F235" t="str">
            <v>расчет от 14.07.2025</v>
          </cell>
          <cell r="J235">
            <v>1.0887920977634225</v>
          </cell>
          <cell r="K235">
            <v>1.1276047384408396</v>
          </cell>
        </row>
        <row r="236">
          <cell r="A236">
            <v>235</v>
          </cell>
          <cell r="B236" t="str">
            <v>ПС 35/6кВ Баграс    2с.ш.</v>
          </cell>
          <cell r="C236">
            <v>0.9661334031749006</v>
          </cell>
          <cell r="D236">
            <v>0.99222258233181493</v>
          </cell>
          <cell r="F236" t="str">
            <v>расчет от 14.07.2025</v>
          </cell>
          <cell r="J236">
            <v>1.0730963196191079</v>
          </cell>
          <cell r="K236">
            <v>1.1118966188497177</v>
          </cell>
        </row>
        <row r="237">
          <cell r="A237">
            <v>236</v>
          </cell>
          <cell r="B237" t="str">
            <v>ПС 35/6кВ КНС-3М    1с.ш.</v>
          </cell>
          <cell r="C237">
            <v>0.92359760677678693</v>
          </cell>
          <cell r="D237">
            <v>0.9624850988544853</v>
          </cell>
          <cell r="F237" t="str">
            <v>расчет от 05.10.2016</v>
          </cell>
          <cell r="J237">
            <v>0.8928463028693584</v>
          </cell>
          <cell r="K237">
            <v>0.9518439767586081</v>
          </cell>
        </row>
        <row r="238">
          <cell r="A238">
            <v>237</v>
          </cell>
          <cell r="B238" t="str">
            <v>ПС 35/6кВ КНС-3М    2с.ш.</v>
          </cell>
          <cell r="C238">
            <v>0.92638559401331533</v>
          </cell>
          <cell r="D238">
            <v>0.96526612732765227</v>
          </cell>
          <cell r="F238" t="str">
            <v>расчет от 05.10.2016</v>
          </cell>
          <cell r="J238">
            <v>0.91268686217534756</v>
          </cell>
          <cell r="K238">
            <v>0.97172280942851297</v>
          </cell>
        </row>
        <row r="239">
          <cell r="A239">
            <v>238</v>
          </cell>
          <cell r="B239" t="str">
            <v>ПС 35/6кВ КНС-3Мр    1с.ш.</v>
          </cell>
          <cell r="C239">
            <v>0.82605567997492491</v>
          </cell>
          <cell r="D239">
            <v>0.86485858136356364</v>
          </cell>
          <cell r="F239" t="str">
            <v>расчет от 05.10.2016</v>
          </cell>
          <cell r="J239">
            <v>0.65231975212351856</v>
          </cell>
          <cell r="K239">
            <v>0.65539702628688246</v>
          </cell>
        </row>
        <row r="240">
          <cell r="A240">
            <v>239</v>
          </cell>
          <cell r="B240" t="str">
            <v>ПС 35/6кВ КНС-3Мр    2с.ш.</v>
          </cell>
          <cell r="C240">
            <v>0.84256254513731632</v>
          </cell>
          <cell r="D240">
            <v>0.88137112291771413</v>
          </cell>
          <cell r="F240" t="str">
            <v>расчет от 05.10.2016</v>
          </cell>
          <cell r="J240">
            <v>0.66617653662860898</v>
          </cell>
          <cell r="K240">
            <v>0.6692538406088443</v>
          </cell>
        </row>
        <row r="241">
          <cell r="A241">
            <v>240</v>
          </cell>
          <cell r="B241" t="str">
            <v>ПС 35/6кВ Куст-8    1с.ш.</v>
          </cell>
          <cell r="C241">
            <v>0.89810810296605492</v>
          </cell>
          <cell r="D241">
            <v>0.92398239052953135</v>
          </cell>
          <cell r="F241" t="str">
            <v>расчет от 14.07.2025</v>
          </cell>
          <cell r="J241">
            <v>1.0069572235643796</v>
          </cell>
          <cell r="K241">
            <v>1.0454568155231683</v>
          </cell>
        </row>
        <row r="242">
          <cell r="A242">
            <v>241</v>
          </cell>
          <cell r="B242" t="str">
            <v>ПС 35/6кВ Куст-8    2с.ш.</v>
          </cell>
          <cell r="C242">
            <v>0.89568334264433425</v>
          </cell>
          <cell r="D242">
            <v>0.92168537449992194</v>
          </cell>
          <cell r="F242" t="str">
            <v>расчет от 14.07.2025</v>
          </cell>
          <cell r="J242">
            <v>1.0069572235643796</v>
          </cell>
          <cell r="K242">
            <v>1.0454568155231683</v>
          </cell>
        </row>
        <row r="243">
          <cell r="A243">
            <v>242</v>
          </cell>
          <cell r="B243" t="str">
            <v>ПС 35/6кВ Куст-13    1с.ш.</v>
          </cell>
          <cell r="C243">
            <v>0.95560260598411151</v>
          </cell>
          <cell r="D243">
            <v>0.98157996759236543</v>
          </cell>
          <cell r="F243" t="str">
            <v>расчет от 14.07.2025</v>
          </cell>
          <cell r="J243">
            <v>1.059238077933899</v>
          </cell>
          <cell r="K243">
            <v>1.0980878347523848</v>
          </cell>
        </row>
        <row r="244">
          <cell r="A244">
            <v>243</v>
          </cell>
          <cell r="B244" t="str">
            <v>ПС 35/6кВ Куст-13    2с.ш.</v>
          </cell>
          <cell r="C244">
            <v>0.96480321967801896</v>
          </cell>
          <cell r="D244">
            <v>0.99090958641326798</v>
          </cell>
          <cell r="F244" t="str">
            <v>расчет от 14.07.2025</v>
          </cell>
          <cell r="J244">
            <v>1.0704815244076835</v>
          </cell>
          <cell r="K244">
            <v>1.1093493583399587</v>
          </cell>
        </row>
        <row r="245">
          <cell r="A245">
            <v>244</v>
          </cell>
          <cell r="B245" t="str">
            <v>ПС 35/6кВ Насыровская    1с.ш.</v>
          </cell>
          <cell r="C245">
            <v>1.1140924762441911</v>
          </cell>
          <cell r="D245">
            <v>1.140049453780029</v>
          </cell>
          <cell r="F245" t="str">
            <v>расчет от 14.07.2025</v>
          </cell>
          <cell r="J245">
            <v>1.218466653322511</v>
          </cell>
          <cell r="K245">
            <v>1.2573092979873806</v>
          </cell>
        </row>
        <row r="246">
          <cell r="A246">
            <v>245</v>
          </cell>
          <cell r="B246" t="str">
            <v>ПС 35/6кВ Насыровская    2с.ш.</v>
          </cell>
          <cell r="C246">
            <v>1.1533279619642676</v>
          </cell>
          <cell r="D246">
            <v>1.1794143768635106</v>
          </cell>
          <cell r="F246" t="str">
            <v>расчет от 14.07.2025</v>
          </cell>
          <cell r="J246">
            <v>1.259723735908874</v>
          </cell>
          <cell r="K246">
            <v>1.2985915027684303</v>
          </cell>
        </row>
        <row r="247">
          <cell r="A247">
            <v>246</v>
          </cell>
          <cell r="B247" t="str">
            <v>ПС 35/6кВ Новая    1с.ш.</v>
          </cell>
          <cell r="C247">
            <v>0.77131855515106684</v>
          </cell>
          <cell r="D247">
            <v>0.78368894435846448</v>
          </cell>
          <cell r="F247" t="str">
            <v>расчет от 14.07.2025</v>
          </cell>
          <cell r="J247">
            <v>0.85114713881379267</v>
          </cell>
          <cell r="K247">
            <v>0.86539200845790665</v>
          </cell>
        </row>
        <row r="248">
          <cell r="A248">
            <v>247</v>
          </cell>
          <cell r="B248" t="str">
            <v>ПС 35/6кВ Новая    2с.ш.</v>
          </cell>
          <cell r="C248">
            <v>0.80387695686388405</v>
          </cell>
          <cell r="D248">
            <v>0.81459944166975307</v>
          </cell>
          <cell r="F248" t="str">
            <v>расчет от 14.07.2025</v>
          </cell>
          <cell r="J248">
            <v>0.85126697807421214</v>
          </cell>
          <cell r="K248">
            <v>0.86551047102222001</v>
          </cell>
        </row>
        <row r="249">
          <cell r="A249">
            <v>248</v>
          </cell>
          <cell r="B249" t="str">
            <v>ПС 35/6кВ Мыхпай    1с.ш.</v>
          </cell>
          <cell r="C249">
            <v>0.9606356150623524</v>
          </cell>
          <cell r="D249">
            <v>0.97286583765045265</v>
          </cell>
          <cell r="F249" t="str">
            <v>расчет от 14.07.2025</v>
          </cell>
          <cell r="J249">
            <v>1.121023423868005</v>
          </cell>
          <cell r="K249">
            <v>1.135158099905528</v>
          </cell>
        </row>
        <row r="250">
          <cell r="A250">
            <v>249</v>
          </cell>
          <cell r="B250" t="str">
            <v>ПС 35/6кВ Мыхпай    2с.ш.</v>
          </cell>
          <cell r="C250">
            <v>0.96670386393232877</v>
          </cell>
          <cell r="D250">
            <v>0.97730281806421648</v>
          </cell>
          <cell r="F250" t="str">
            <v>расчет от 14.07.2025</v>
          </cell>
          <cell r="J250">
            <v>1.1327753438636916</v>
          </cell>
          <cell r="K250">
            <v>1.1469138634252745</v>
          </cell>
        </row>
        <row r="251">
          <cell r="A251">
            <v>250</v>
          </cell>
          <cell r="B251" t="str">
            <v>ПС 35/6кВ Куст-113 1,2с.ш.(2-1)</v>
          </cell>
          <cell r="C251">
            <v>0.78600000000000003</v>
          </cell>
          <cell r="D251">
            <v>0.79700000000000004</v>
          </cell>
        </row>
        <row r="252">
          <cell r="A252">
            <v>251</v>
          </cell>
          <cell r="B252" t="str">
            <v>ПС 35/6кВ ДНС 2М   1с.ш.</v>
          </cell>
          <cell r="C252">
            <v>0.98684224003562726</v>
          </cell>
          <cell r="D252">
            <v>0.99907300320888648</v>
          </cell>
          <cell r="F252" t="str">
            <v>расчет от 14.07.2025</v>
          </cell>
        </row>
        <row r="253">
          <cell r="A253">
            <v>252</v>
          </cell>
          <cell r="B253" t="str">
            <v>ПС 35/6кВ ДНС 2М   2с.ш.</v>
          </cell>
          <cell r="C253">
            <v>0.98672256599933728</v>
          </cell>
          <cell r="D253">
            <v>0.99731955237251946</v>
          </cell>
          <cell r="F253" t="str">
            <v>расчет от 14.07.2025</v>
          </cell>
          <cell r="J253">
            <v>1.0336002511414337</v>
          </cell>
          <cell r="K253">
            <v>1.0476905349465073</v>
          </cell>
        </row>
        <row r="254">
          <cell r="A254">
            <v>253</v>
          </cell>
          <cell r="B254" t="str">
            <v>ПС 35/6кВ Авария Баграс    1с.ш.</v>
          </cell>
          <cell r="C254">
            <v>1.1884085689016184</v>
          </cell>
          <cell r="D254">
            <v>1.2437781222624742</v>
          </cell>
          <cell r="F254" t="str">
            <v>расчет от 01.04.2022</v>
          </cell>
        </row>
        <row r="255">
          <cell r="A255">
            <v>254</v>
          </cell>
          <cell r="B255" t="str">
            <v>ПС 35/6кВ Авария Баграс    2с.ш.</v>
          </cell>
          <cell r="C255">
            <v>1.1698856027015045</v>
          </cell>
          <cell r="D255">
            <v>1.2252567688895915</v>
          </cell>
          <cell r="F255" t="str">
            <v>расчет от 01.04.2022</v>
          </cell>
          <cell r="G255" t="str">
            <v>Питание ПС 110/35/6кВ "Баграс" от ПС 110/35/6кВ "Мартыновская" ф.35кВ №1,2.</v>
          </cell>
        </row>
        <row r="256">
          <cell r="A256">
            <v>255</v>
          </cell>
          <cell r="B256" t="str">
            <v>ПС 35/6кВ Авария Куст-8    1с.ш.</v>
          </cell>
          <cell r="C256">
            <v>1.1015834919200598</v>
          </cell>
          <cell r="D256">
            <v>1.1568304443097788</v>
          </cell>
          <cell r="F256" t="str">
            <v>расчет от 01.04.2022</v>
          </cell>
        </row>
        <row r="257">
          <cell r="A257">
            <v>256</v>
          </cell>
          <cell r="B257" t="str">
            <v>ПС 35/6кВ Авария Куст-8    2с.ш.</v>
          </cell>
          <cell r="C257">
            <v>1.0988679417481027</v>
          </cell>
          <cell r="D257">
            <v>1.1541204032714607</v>
          </cell>
          <cell r="F257" t="str">
            <v>расчет от 01.04.2022</v>
          </cell>
        </row>
        <row r="258">
          <cell r="A258">
            <v>257</v>
          </cell>
          <cell r="B258" t="str">
            <v>ПС 35/6кВ Авария Куст-13    1с.ш.</v>
          </cell>
          <cell r="C258">
            <v>1.1597554613294769</v>
          </cell>
          <cell r="D258">
            <v>1.2151444979268022</v>
          </cell>
          <cell r="F258" t="str">
            <v>расчет от 01.04.2022</v>
          </cell>
        </row>
        <row r="259">
          <cell r="A259">
            <v>258</v>
          </cell>
          <cell r="B259" t="str">
            <v>ПС 35/6кВ Авария Куст-13    2с.ш.</v>
          </cell>
          <cell r="C259">
            <v>1.1686692658656952</v>
          </cell>
          <cell r="D259">
            <v>1.2240648278210811</v>
          </cell>
          <cell r="F259" t="str">
            <v>расчет от 01.04.2022</v>
          </cell>
        </row>
        <row r="260">
          <cell r="A260">
            <v>259</v>
          </cell>
          <cell r="B260" t="str">
            <v>ПС 35/6кВ Авария Насыровская    1с.ш.</v>
          </cell>
          <cell r="C260">
            <v>1.3181028823048777</v>
          </cell>
          <cell r="D260">
            <v>1.3734593772131169</v>
          </cell>
          <cell r="F260" t="str">
            <v>расчет от 01.04.2022</v>
          </cell>
        </row>
        <row r="261">
          <cell r="A261">
            <v>260</v>
          </cell>
          <cell r="B261" t="str">
            <v>ПС 35/6кВ Авария Насыровская    2с.ш.</v>
          </cell>
          <cell r="C261">
            <v>1.3570549212912189</v>
          </cell>
          <cell r="D261">
            <v>1.4124184898504246</v>
          </cell>
          <cell r="F261" t="str">
            <v>расчет от 01.04.2022</v>
          </cell>
        </row>
        <row r="262">
          <cell r="A262">
            <v>261</v>
          </cell>
          <cell r="B262" t="str">
            <v>РУ-6кВ ДНС-2М    1,2с.ш.</v>
          </cell>
          <cell r="C262">
            <v>0.96630565571684146</v>
          </cell>
          <cell r="D262">
            <v>1.0251343798230184</v>
          </cell>
          <cell r="F262" t="str">
            <v>расчет от 05.10.2016</v>
          </cell>
          <cell r="J262">
            <v>1.0427268799547562</v>
          </cell>
          <cell r="K262">
            <v>1.0568154754475994</v>
          </cell>
        </row>
        <row r="263">
          <cell r="A263">
            <v>262</v>
          </cell>
          <cell r="B263" t="str">
            <v>РУ-6кВ Мыхпай    1с.ш.</v>
          </cell>
          <cell r="C263">
            <v>0.995</v>
          </cell>
          <cell r="D263">
            <v>1.0349999999999999</v>
          </cell>
          <cell r="F263" t="str">
            <v>расчет от 05.10.2016</v>
          </cell>
        </row>
        <row r="264">
          <cell r="A264">
            <v>263</v>
          </cell>
          <cell r="B264" t="str">
            <v>РУ-6кВ Мыхпай    2с.ш.</v>
          </cell>
          <cell r="C264">
            <v>1.0049999999999999</v>
          </cell>
          <cell r="D264">
            <v>1.0449999999999999</v>
          </cell>
          <cell r="F264" t="str">
            <v>расчет от 05.10.2016</v>
          </cell>
        </row>
        <row r="265">
          <cell r="A265">
            <v>264</v>
          </cell>
          <cell r="B265" t="str">
            <v>РУ-6кВ КНС-3А    1с.ш.</v>
          </cell>
          <cell r="C265">
            <v>0.83362498192080614</v>
          </cell>
          <cell r="D265">
            <v>0.87242035324857969</v>
          </cell>
          <cell r="F265" t="str">
            <v>расчет от 05.10.2016</v>
          </cell>
          <cell r="J265">
            <v>0.65993362646702336</v>
          </cell>
          <cell r="K265">
            <v>0.66300990796121162</v>
          </cell>
        </row>
        <row r="266">
          <cell r="A266">
            <v>265</v>
          </cell>
          <cell r="B266" t="str">
            <v>РУ-6кВ КНС-3А    2с.ш.</v>
          </cell>
          <cell r="C266">
            <v>0.8501285597698176</v>
          </cell>
          <cell r="D266">
            <v>0.88892988977332421</v>
          </cell>
          <cell r="F266" t="str">
            <v>расчет от 05.10.2016</v>
          </cell>
          <cell r="J266">
            <v>0.67378601254151294</v>
          </cell>
          <cell r="K266">
            <v>0.67686236415588896</v>
          </cell>
        </row>
        <row r="267">
          <cell r="A267">
            <v>266</v>
          </cell>
          <cell r="B267" t="str">
            <v>РУ-6кВ ГУ-4    1с.ш.</v>
          </cell>
          <cell r="C267">
            <v>0.86561911260289193</v>
          </cell>
          <cell r="D267">
            <v>0.90427941574240589</v>
          </cell>
          <cell r="F267" t="str">
            <v>расчет от 05.10.2016</v>
          </cell>
          <cell r="J267">
            <v>0.69271721549590581</v>
          </cell>
          <cell r="K267">
            <v>0.695776102299412</v>
          </cell>
        </row>
        <row r="268">
          <cell r="A268">
            <v>267</v>
          </cell>
          <cell r="B268" t="str">
            <v>РУ-6кВ ГУ-4    2с.ш.</v>
          </cell>
          <cell r="C268">
            <v>0.88206378552790887</v>
          </cell>
          <cell r="D268">
            <v>0.92073491369791571</v>
          </cell>
          <cell r="F268" t="str">
            <v>расчет от 05.10.2016</v>
          </cell>
          <cell r="J268">
            <v>0.70649246233015828</v>
          </cell>
          <cell r="K268">
            <v>0.70955208937541525</v>
          </cell>
        </row>
        <row r="269">
          <cell r="A269">
            <v>268</v>
          </cell>
          <cell r="B269" t="str">
            <v>РУ-6кВ №2    1с.ш.</v>
          </cell>
          <cell r="C269">
            <v>0.83405481399872905</v>
          </cell>
          <cell r="D269">
            <v>0.87283997169866256</v>
          </cell>
          <cell r="F269" t="str">
            <v>расчет от 05.10.2016</v>
          </cell>
          <cell r="J269">
            <v>0.66042389360377196</v>
          </cell>
          <cell r="K269">
            <v>0.66349882958845463</v>
          </cell>
        </row>
        <row r="270">
          <cell r="A270">
            <v>269</v>
          </cell>
          <cell r="B270" t="str">
            <v>РУ-6кВ №2    2с.ш.</v>
          </cell>
          <cell r="C270">
            <v>0.84971986683009282</v>
          </cell>
          <cell r="D270">
            <v>0.88851458472821176</v>
          </cell>
          <cell r="F270" t="str">
            <v>расчет от 05.10.2016</v>
          </cell>
          <cell r="J270">
            <v>0.67341697853229665</v>
          </cell>
          <cell r="K270">
            <v>0.67649246094041382</v>
          </cell>
        </row>
        <row r="271">
          <cell r="A271">
            <v>270</v>
          </cell>
          <cell r="B271" t="str">
            <v>РУ-6кВ МБКНС-1    1с.ш.</v>
          </cell>
          <cell r="C271">
            <v>1.2629144722167349</v>
          </cell>
          <cell r="D271">
            <v>1.3205412403657022</v>
          </cell>
          <cell r="F271" t="str">
            <v>расчет от 05.10.2016</v>
          </cell>
          <cell r="J271">
            <v>1.3377682518285883</v>
          </cell>
          <cell r="K271">
            <v>1.3515899159860003</v>
          </cell>
        </row>
        <row r="272">
          <cell r="A272">
            <v>271</v>
          </cell>
          <cell r="B272" t="str">
            <v>РУ-6кВ МБКНС-1    2с.ш.</v>
          </cell>
          <cell r="C272">
            <v>1.2615311889123881</v>
          </cell>
          <cell r="D272">
            <v>1.3192178029057093</v>
          </cell>
          <cell r="F272" t="str">
            <v>расчет от 05.10.2016</v>
          </cell>
          <cell r="J272">
            <v>1.3364620587662139</v>
          </cell>
          <cell r="K272">
            <v>1.3502970198198121</v>
          </cell>
        </row>
        <row r="273">
          <cell r="A273">
            <v>272</v>
          </cell>
          <cell r="B273" t="str">
            <v xml:space="preserve">           СР №7</v>
          </cell>
        </row>
        <row r="274">
          <cell r="A274">
            <v>273</v>
          </cell>
          <cell r="B274" t="str">
            <v>ПС 110/35/6кВ Н-Покурская    1,2с.ш. 35кВ</v>
          </cell>
          <cell r="C274">
            <v>6.0369999999999999</v>
          </cell>
          <cell r="D274">
            <v>10.763</v>
          </cell>
          <cell r="F274" t="str">
            <v>№Т4/1/2073 от 22.08.2016</v>
          </cell>
        </row>
        <row r="275">
          <cell r="A275">
            <v>274</v>
          </cell>
          <cell r="B275" t="str">
            <v>ПС 35/6кВ Кедровая    1с.ш.</v>
          </cell>
          <cell r="C275">
            <v>0.96510164903557716</v>
          </cell>
          <cell r="D275">
            <v>1.1181903835451235</v>
          </cell>
          <cell r="F275" t="str">
            <v>расчет от 05.10.2016</v>
          </cell>
        </row>
        <row r="276">
          <cell r="A276">
            <v>275</v>
          </cell>
          <cell r="B276" t="str">
            <v>ПС 35/6кВ Кедровая    2с.ш.</v>
          </cell>
          <cell r="C276">
            <v>0.8722022774098348</v>
          </cell>
          <cell r="D276">
            <v>1.0252898465429676</v>
          </cell>
          <cell r="F276" t="str">
            <v>расчет от 05.10.2016</v>
          </cell>
        </row>
        <row r="277">
          <cell r="A277">
            <v>276</v>
          </cell>
          <cell r="B277" t="str">
            <v>ПС 35/6кВ Куст-1    1с.ш.</v>
          </cell>
          <cell r="C277">
            <v>0.70333529529605265</v>
          </cell>
          <cell r="D277">
            <v>0.85616935563729768</v>
          </cell>
          <cell r="F277" t="str">
            <v>расчет от 05.10.2016</v>
          </cell>
        </row>
        <row r="278">
          <cell r="A278">
            <v>277</v>
          </cell>
          <cell r="B278" t="str">
            <v>ПС 35/6кВ Куст-1    2с.ш.</v>
          </cell>
          <cell r="C278">
            <v>0.70064150973528705</v>
          </cell>
          <cell r="D278">
            <v>0.85349292121595388</v>
          </cell>
          <cell r="F278" t="str">
            <v>расчет от 05.10.2016</v>
          </cell>
        </row>
        <row r="279">
          <cell r="A279">
            <v>278</v>
          </cell>
          <cell r="B279" t="str">
            <v>ПС 35/6кВ Куст-78    1с.ш.</v>
          </cell>
          <cell r="C279">
            <v>0.82190576289576756</v>
          </cell>
          <cell r="D279">
            <v>0.97432734322201675</v>
          </cell>
          <cell r="F279" t="str">
            <v>расчет от 05.10.2016</v>
          </cell>
          <cell r="J279">
            <v>0.7744441199590606</v>
          </cell>
          <cell r="K279">
            <v>0.85881559706632782</v>
          </cell>
        </row>
        <row r="280">
          <cell r="A280">
            <v>279</v>
          </cell>
          <cell r="B280" t="str">
            <v>ПС 35/6кВ Куст-78    2с.ш.</v>
          </cell>
          <cell r="C280">
            <v>0.81540100994607645</v>
          </cell>
          <cell r="D280">
            <v>0.9678388831950705</v>
          </cell>
          <cell r="F280" t="str">
            <v>расчет от 05.10.2016</v>
          </cell>
        </row>
        <row r="281">
          <cell r="A281">
            <v>280</v>
          </cell>
          <cell r="B281" t="str">
            <v>ПС 35/6кВ УПН    1,2с.ш.</v>
          </cell>
          <cell r="C281">
            <v>0.51838442777936289</v>
          </cell>
          <cell r="D281">
            <v>0.67150668462803664</v>
          </cell>
          <cell r="F281" t="str">
            <v>расчет от 05.10.2016</v>
          </cell>
          <cell r="J281">
            <v>0.47598480471100202</v>
          </cell>
          <cell r="K281">
            <v>0.56280367657343111</v>
          </cell>
        </row>
        <row r="282">
          <cell r="A282">
            <v>281</v>
          </cell>
          <cell r="B282" t="str">
            <v>ПС 35/6кВ Ю-Покамас.    1с.ш.</v>
          </cell>
          <cell r="C282">
            <v>1.0245624323780489</v>
          </cell>
          <cell r="D282">
            <v>1.1765825111049477</v>
          </cell>
          <cell r="F282" t="str">
            <v>расчет от 05.10.2016</v>
          </cell>
        </row>
        <row r="283">
          <cell r="A283">
            <v>282</v>
          </cell>
          <cell r="B283" t="str">
            <v>ПС 35/6кВ Ю-Покамас.    2с.ш.</v>
          </cell>
          <cell r="C283">
            <v>1.0301208631183314</v>
          </cell>
          <cell r="D283">
            <v>1.1820976242563286</v>
          </cell>
          <cell r="F283" t="str">
            <v>расчет от 05.10.2016</v>
          </cell>
        </row>
        <row r="284">
          <cell r="A284">
            <v>283</v>
          </cell>
          <cell r="B284" t="str">
            <v>ПС 35/6кВ БКНС-2    1с.ш.</v>
          </cell>
          <cell r="C284">
            <v>1.0210970451660075</v>
          </cell>
          <cell r="D284">
            <v>1.1740606100334818</v>
          </cell>
          <cell r="F284" t="str">
            <v>расчет от 05.10.2016</v>
          </cell>
        </row>
        <row r="285">
          <cell r="A285">
            <v>284</v>
          </cell>
          <cell r="B285" t="str">
            <v>ПС 35/6кВ БКНС-2    2с.ш.</v>
          </cell>
          <cell r="C285">
            <v>1.0184304351753708</v>
          </cell>
          <cell r="D285">
            <v>1.171403391302644</v>
          </cell>
          <cell r="F285" t="str">
            <v>расчет от 05.10.2016</v>
          </cell>
        </row>
        <row r="286">
          <cell r="A286">
            <v>285</v>
          </cell>
          <cell r="B286" t="str">
            <v>ПС 35/6кВ Островная    1с.ш.</v>
          </cell>
          <cell r="C286">
            <v>0.90458148266115357</v>
          </cell>
          <cell r="D286">
            <v>1.0565403381425147</v>
          </cell>
          <cell r="F286" t="str">
            <v>расчет от 05.10.2016</v>
          </cell>
        </row>
        <row r="287">
          <cell r="A287">
            <v>286</v>
          </cell>
          <cell r="B287" t="str">
            <v>ПС 35/6кВ Островная    2с.ш.</v>
          </cell>
          <cell r="C287">
            <v>0.85246179041186765</v>
          </cell>
          <cell r="D287">
            <v>1.0043588427509598</v>
          </cell>
          <cell r="F287" t="str">
            <v>расчет от 05.10.2016</v>
          </cell>
        </row>
        <row r="288">
          <cell r="A288">
            <v>287</v>
          </cell>
          <cell r="B288" t="str">
            <v>ПС 35/6кВ Куст-2    1с.ш.</v>
          </cell>
          <cell r="C288">
            <v>1.1308000882566245</v>
          </cell>
          <cell r="D288">
            <v>1.2801237056358412</v>
          </cell>
          <cell r="F288" t="str">
            <v>расчет от 13.12.2019</v>
          </cell>
        </row>
        <row r="289">
          <cell r="A289">
            <v>288</v>
          </cell>
          <cell r="B289" t="str">
            <v>ПС 35/6кВ Куст-2    2с.ш.</v>
          </cell>
          <cell r="C289">
            <v>1.1261425413113497</v>
          </cell>
          <cell r="D289">
            <v>1.2754429838620871</v>
          </cell>
          <cell r="F289" t="str">
            <v>расчет от 13.12.2019</v>
          </cell>
        </row>
        <row r="290">
          <cell r="A290">
            <v>289</v>
          </cell>
          <cell r="B290" t="str">
            <v>РУ-6кВ Н-Покурская    1,2с.ш.</v>
          </cell>
          <cell r="C290">
            <v>0.33500859690461676</v>
          </cell>
          <cell r="D290">
            <v>0.44800642852530587</v>
          </cell>
          <cell r="F290" t="str">
            <v>расчет от 05.10.2016</v>
          </cell>
        </row>
        <row r="291">
          <cell r="A291">
            <v>290</v>
          </cell>
          <cell r="B291" t="str">
            <v>РУ-6кВ УПН    1,2с.ш.</v>
          </cell>
          <cell r="C291">
            <v>0.53427305049755669</v>
          </cell>
          <cell r="D291">
            <v>0.68733546709588422</v>
          </cell>
          <cell r="F291" t="str">
            <v>расчет от 05.10.2016</v>
          </cell>
        </row>
        <row r="292">
          <cell r="A292">
            <v>291</v>
          </cell>
          <cell r="B292" t="str">
            <v>ЗРУ-6кВ НПС "Юган" 1,2 с.ш.</v>
          </cell>
          <cell r="C292">
            <v>0.4</v>
          </cell>
          <cell r="D292">
            <v>0.99</v>
          </cell>
          <cell r="F292" t="str">
            <v>0601070-16/94 от 13.02.2015</v>
          </cell>
        </row>
        <row r="293">
          <cell r="A293">
            <v>292</v>
          </cell>
          <cell r="B293" t="str">
            <v xml:space="preserve">           СР №8</v>
          </cell>
        </row>
        <row r="294">
          <cell r="A294">
            <v>293</v>
          </cell>
          <cell r="B294" t="str">
            <v>ПС 110/35/6кВ Н-Покурская    1,2с.ш. 35кВ</v>
          </cell>
          <cell r="C294">
            <v>6.0369999999999999</v>
          </cell>
          <cell r="D294">
            <v>10.763</v>
          </cell>
          <cell r="F294" t="str">
            <v>№Т4/1/2073 от 22.08.2016</v>
          </cell>
        </row>
        <row r="295">
          <cell r="A295">
            <v>294</v>
          </cell>
          <cell r="B295" t="str">
            <v>ПС 110/35/6кВ Кетовская    1,2с.ш.35кВ</v>
          </cell>
          <cell r="C295">
            <v>10.308999999999999</v>
          </cell>
          <cell r="D295">
            <v>12.894</v>
          </cell>
          <cell r="F295" t="str">
            <v>№Т4/1/2073 от 22.08.2016</v>
          </cell>
        </row>
        <row r="296">
          <cell r="A296">
            <v>295</v>
          </cell>
          <cell r="B296" t="str">
            <v>ПС 110/35/6кВ Кетовская    1,2с.ш.35кВ</v>
          </cell>
          <cell r="C296">
            <v>0.47499999999999998</v>
          </cell>
          <cell r="D296">
            <v>0.55000000000000004</v>
          </cell>
          <cell r="F296" t="str">
            <v>№Т4/1/2073 от 22.08.2016</v>
          </cell>
        </row>
        <row r="297">
          <cell r="A297">
            <v>296</v>
          </cell>
          <cell r="B297" t="str">
            <v>ПС 110/35/6кВ Покамасовская    1,2с.ш. 35кВ</v>
          </cell>
          <cell r="C297">
            <v>7.585</v>
          </cell>
          <cell r="D297">
            <v>8.1340000000000003</v>
          </cell>
          <cell r="F297" t="str">
            <v>№Т4/1/2073 от 22.08.2016</v>
          </cell>
        </row>
        <row r="298">
          <cell r="A298">
            <v>297</v>
          </cell>
          <cell r="B298" t="str">
            <v>ПС 110/35/6кВ Покамасовская    1,2с.ш. 6кВ</v>
          </cell>
          <cell r="C298">
            <v>0.34399999999999997</v>
          </cell>
          <cell r="D298">
            <v>0.36499999999999999</v>
          </cell>
          <cell r="F298" t="str">
            <v>№РТ4/1/4695 от 28.12.2023</v>
          </cell>
        </row>
        <row r="299">
          <cell r="A299">
            <v>298</v>
          </cell>
          <cell r="B299" t="str">
            <v>ПС 110/35/6кВ Заобье 35кВ  1с.ш.(10МВА)</v>
          </cell>
          <cell r="C299">
            <v>17.035</v>
          </cell>
          <cell r="D299">
            <v>18.809999999999999</v>
          </cell>
          <cell r="F299" t="str">
            <v>№Т4/1/2073 от 22.08.2016</v>
          </cell>
        </row>
        <row r="300">
          <cell r="A300">
            <v>299</v>
          </cell>
          <cell r="B300" t="str">
            <v>ПС 110/35/6кВ Заобье 35кВ  2с.ш. (16МВА)</v>
          </cell>
          <cell r="C300">
            <v>10.755000000000001</v>
          </cell>
          <cell r="D300">
            <v>12.53</v>
          </cell>
          <cell r="F300" t="str">
            <v>№Т4/1/2073 от 22.08.2016</v>
          </cell>
        </row>
        <row r="301">
          <cell r="A301">
            <v>300</v>
          </cell>
          <cell r="B301" t="str">
            <v>ПЛУ-35кВ №1, №2</v>
          </cell>
          <cell r="C301">
            <v>9.8373255593174331</v>
          </cell>
          <cell r="D301">
            <v>10.381444271391144</v>
          </cell>
          <cell r="F301" t="str">
            <v>расчет от 01.03.18</v>
          </cell>
          <cell r="J301">
            <v>34.765876509732927</v>
          </cell>
          <cell r="K301">
            <v>37.16097851900566</v>
          </cell>
        </row>
        <row r="302">
          <cell r="A302">
            <v>301</v>
          </cell>
          <cell r="B302" t="str">
            <v>ПС 35/6кВ КНС Ю-Л    1с.ш.</v>
          </cell>
          <cell r="C302">
            <v>1.1835066128121849</v>
          </cell>
          <cell r="D302">
            <v>1.2659544779012279</v>
          </cell>
          <cell r="F302" t="str">
            <v>расчет от 05.10.2016</v>
          </cell>
          <cell r="J302">
            <v>1.1876467890506246</v>
          </cell>
          <cell r="K302">
            <v>1.2049880326404649</v>
          </cell>
        </row>
        <row r="303">
          <cell r="A303">
            <v>302</v>
          </cell>
          <cell r="B303" t="str">
            <v>ПС 35/6кВ КНС Ю-Л    2с.ш.</v>
          </cell>
          <cell r="C303">
            <v>1.189702018561863</v>
          </cell>
          <cell r="D303">
            <v>1.2721631306236523</v>
          </cell>
          <cell r="F303" t="str">
            <v>расчет от 05.10.2016</v>
          </cell>
          <cell r="J303">
            <v>1.1937871966570337</v>
          </cell>
          <cell r="K303">
            <v>1.2111330471615158</v>
          </cell>
        </row>
        <row r="304">
          <cell r="A304">
            <v>303</v>
          </cell>
          <cell r="B304" t="str">
            <v xml:space="preserve">ПС 35/6кВ Куст-51    1с.ш. </v>
          </cell>
          <cell r="C304">
            <v>1.1353906594941505</v>
          </cell>
          <cell r="D304">
            <v>1.1531533726285164</v>
          </cell>
          <cell r="F304" t="str">
            <v>расчет от 05.10.2016</v>
          </cell>
          <cell r="J304">
            <v>1.8528103993715979</v>
          </cell>
          <cell r="K304">
            <v>1.9344496109801721</v>
          </cell>
        </row>
        <row r="305">
          <cell r="A305">
            <v>304</v>
          </cell>
          <cell r="B305" t="str">
            <v xml:space="preserve">ПС 35/6кВ Куст-51    2с.ш. </v>
          </cell>
          <cell r="C305">
            <v>1.1452991815237896</v>
          </cell>
          <cell r="D305">
            <v>1.1630623204536474</v>
          </cell>
          <cell r="F305" t="str">
            <v>расчет от 05.10.2016</v>
          </cell>
          <cell r="J305">
            <v>1.8624725497316839</v>
          </cell>
          <cell r="K305">
            <v>1.9441334877101006</v>
          </cell>
        </row>
        <row r="306">
          <cell r="A306">
            <v>305</v>
          </cell>
          <cell r="B306" t="str">
            <v>ПС 35/6кВ Куст-109    1с.ш.</v>
          </cell>
          <cell r="C306">
            <v>1.3681747188689022</v>
          </cell>
          <cell r="D306">
            <v>1.4509217079693859</v>
          </cell>
          <cell r="F306" t="str">
            <v>расчет от 05.10.2016</v>
          </cell>
          <cell r="J306">
            <v>1.3621289368876464</v>
          </cell>
          <cell r="K306">
            <v>1.3795840427600015</v>
          </cell>
        </row>
        <row r="307">
          <cell r="A307">
            <v>306</v>
          </cell>
          <cell r="B307" t="str">
            <v>ПС 35/6кВ Куст-109    2с.ш.</v>
          </cell>
          <cell r="C307">
            <v>1.376012049754507</v>
          </cell>
          <cell r="D307">
            <v>1.458770228952593</v>
          </cell>
          <cell r="F307" t="str">
            <v>расчет от 05.10.2016</v>
          </cell>
          <cell r="J307">
            <v>1.369917499208865</v>
          </cell>
          <cell r="K307">
            <v>1.3873763876135523</v>
          </cell>
        </row>
        <row r="308">
          <cell r="A308">
            <v>307</v>
          </cell>
          <cell r="B308" t="str">
            <v>ПС 35/6кВ Куст-110    1с.ш.</v>
          </cell>
          <cell r="C308">
            <v>1.36</v>
          </cell>
          <cell r="D308">
            <v>1.47</v>
          </cell>
        </row>
        <row r="309">
          <cell r="A309">
            <v>308</v>
          </cell>
          <cell r="B309" t="str">
            <v xml:space="preserve">ПС 35/6кВ Куст-110    1,2с.ш. </v>
          </cell>
          <cell r="C309">
            <v>1.103</v>
          </cell>
          <cell r="D309">
            <v>1.1200000000000001</v>
          </cell>
          <cell r="F309" t="str">
            <v>расчет от 05.10.2016</v>
          </cell>
          <cell r="J309">
            <v>1.2045047819187227</v>
          </cell>
          <cell r="K309">
            <v>1.2864029279420466</v>
          </cell>
        </row>
        <row r="310">
          <cell r="A310">
            <v>309</v>
          </cell>
          <cell r="B310" t="str">
            <v>ПС 35/6кВ Надежда    1,2с.ш.</v>
          </cell>
          <cell r="C310">
            <v>0.8626758653963349</v>
          </cell>
          <cell r="D310">
            <v>0.8803740632885747</v>
          </cell>
          <cell r="F310" t="str">
            <v>расчет от 05.10.2016</v>
          </cell>
        </row>
        <row r="311">
          <cell r="A311">
            <v>310</v>
          </cell>
          <cell r="B311" t="str">
            <v>ПС 35/6кВ Пеньковская    1с.ш.</v>
          </cell>
          <cell r="C311">
            <v>0.81099525330084354</v>
          </cell>
          <cell r="D311">
            <v>0.82875569758901779</v>
          </cell>
          <cell r="F311" t="str">
            <v>расчет от 05.10.2016</v>
          </cell>
        </row>
        <row r="312">
          <cell r="A312">
            <v>311</v>
          </cell>
          <cell r="B312" t="str">
            <v>ПС 35/6кВ Пеньковская    2с.ш.</v>
          </cell>
          <cell r="C312">
            <v>0.78520687591010008</v>
          </cell>
          <cell r="D312">
            <v>0.80296552601606708</v>
          </cell>
          <cell r="F312" t="str">
            <v>расчет от 05.10.2016</v>
          </cell>
        </row>
        <row r="313">
          <cell r="A313">
            <v>312</v>
          </cell>
          <cell r="B313" t="str">
            <v>ПС 35/6кВ Сапарка    1с.ш.</v>
          </cell>
          <cell r="C313">
            <v>0.68467159247785381</v>
          </cell>
          <cell r="D313">
            <v>0.70236250700805514</v>
          </cell>
          <cell r="F313" t="str">
            <v>расчет от 05.10.2016</v>
          </cell>
          <cell r="J313">
            <v>1.4784524180117109</v>
          </cell>
          <cell r="K313">
            <v>1.5581481809129307</v>
          </cell>
        </row>
        <row r="314">
          <cell r="A314">
            <v>313</v>
          </cell>
          <cell r="B314" t="str">
            <v>ПС 35/6кВ Сапарка    2с.ш.</v>
          </cell>
          <cell r="C314">
            <v>0.68269819089258643</v>
          </cell>
          <cell r="D314">
            <v>0.70038855114007281</v>
          </cell>
          <cell r="J314">
            <v>1.4765695236852634</v>
          </cell>
          <cell r="K314">
            <v>1.5562549084284762</v>
          </cell>
        </row>
        <row r="315">
          <cell r="A315">
            <v>314</v>
          </cell>
          <cell r="B315" t="str">
            <v>ПС 35/6кВ Куст-115    1,2с.ш.</v>
          </cell>
          <cell r="C315">
            <v>1.2971264773482498</v>
          </cell>
          <cell r="D315">
            <v>1.3147383021121883</v>
          </cell>
          <cell r="F315" t="str">
            <v>расчет от 05.10.2016</v>
          </cell>
          <cell r="J315">
            <v>1.6948496284059573</v>
          </cell>
          <cell r="K315">
            <v>1.7767834067197419</v>
          </cell>
        </row>
        <row r="316">
          <cell r="A316">
            <v>315</v>
          </cell>
          <cell r="B316" t="str">
            <v>ПС 35/6кВ Куст-10    1с.ш.</v>
          </cell>
          <cell r="C316">
            <v>1.1903185416427495</v>
          </cell>
          <cell r="D316">
            <v>1.2740275968550769</v>
          </cell>
          <cell r="F316" t="str">
            <v>расчет от 03.08.2017</v>
          </cell>
        </row>
        <row r="317">
          <cell r="A317">
            <v>316</v>
          </cell>
          <cell r="B317" t="str">
            <v xml:space="preserve">ПС 35/6кВ Куст-10    2с.ш. </v>
          </cell>
          <cell r="C317">
            <v>1.1536270497827972</v>
          </cell>
          <cell r="D317">
            <v>1.2373332994304163</v>
          </cell>
          <cell r="F317" t="str">
            <v>расчет от 05.10.2016</v>
          </cell>
        </row>
        <row r="318">
          <cell r="A318">
            <v>317</v>
          </cell>
          <cell r="B318" t="str">
            <v>ПС 35/6кВ С-Островная    1с.ш.</v>
          </cell>
          <cell r="C318">
            <v>1.3299096431092805</v>
          </cell>
          <cell r="D318">
            <v>1.4516199638251928</v>
          </cell>
          <cell r="F318" t="str">
            <v>расчет от 05.10.2016</v>
          </cell>
        </row>
        <row r="319">
          <cell r="A319">
            <v>318</v>
          </cell>
          <cell r="B319" t="str">
            <v>ПС 35/6кВ С-Островная    2с.ш.</v>
          </cell>
          <cell r="C319">
            <v>1.3290335983117838</v>
          </cell>
          <cell r="D319">
            <v>1.4507983555829416</v>
          </cell>
          <cell r="F319" t="str">
            <v>расчет от 05.10.2016</v>
          </cell>
        </row>
        <row r="320">
          <cell r="A320">
            <v>319</v>
          </cell>
          <cell r="B320" t="str">
            <v>РУ-6кВ Кетовская    1,2с.ш.</v>
          </cell>
          <cell r="C320">
            <v>0.47499999999999998</v>
          </cell>
          <cell r="D320">
            <v>0.55000000000000004</v>
          </cell>
          <cell r="F320" t="str">
            <v>№Т4/1/2073 от 22.08.2016</v>
          </cell>
        </row>
        <row r="321">
          <cell r="A321">
            <v>320</v>
          </cell>
          <cell r="B321" t="str">
            <v>РУ-6кВ КНС  (Кеты)  1,2с.ш.</v>
          </cell>
          <cell r="C321">
            <v>0.48520289858985793</v>
          </cell>
          <cell r="D321">
            <v>0.56018644467712719</v>
          </cell>
          <cell r="F321" t="str">
            <v>расчет от 05.10.2016</v>
          </cell>
        </row>
        <row r="322">
          <cell r="A322">
            <v>321</v>
          </cell>
          <cell r="B322" t="str">
            <v>РУ-6кВ КНС-1    1с.ш.</v>
          </cell>
          <cell r="C322">
            <v>0.85907506325885974</v>
          </cell>
          <cell r="D322">
            <v>0.87680269742184935</v>
          </cell>
          <cell r="F322" t="str">
            <v>расчет от 05.10.2016</v>
          </cell>
        </row>
        <row r="323">
          <cell r="A323">
            <v>322</v>
          </cell>
          <cell r="B323" t="str">
            <v>РУ-6кВ КНС-1    2с.ш.</v>
          </cell>
          <cell r="C323">
            <v>0.83333681389103753</v>
          </cell>
          <cell r="D323">
            <v>0.85106061896181773</v>
          </cell>
          <cell r="F323" t="str">
            <v>расчет от 05.10.2016</v>
          </cell>
        </row>
        <row r="324">
          <cell r="A324">
            <v>323</v>
          </cell>
          <cell r="B324" t="str">
            <v>РУ-6кВ КНС Ю-Л    1с.ш.</v>
          </cell>
          <cell r="C324">
            <v>1.1910212103354063</v>
          </cell>
          <cell r="D324">
            <v>1.2734642457679528</v>
          </cell>
          <cell r="F324" t="str">
            <v>расчет от 05.10.2016</v>
          </cell>
          <cell r="J324">
            <v>1.1964606420774748</v>
          </cell>
          <cell r="K324">
            <v>1.2137993416760531</v>
          </cell>
        </row>
        <row r="325">
          <cell r="A325">
            <v>324</v>
          </cell>
          <cell r="B325" t="str">
            <v>РУ-6кВ КНС Ю-Л    2с.ш.</v>
          </cell>
          <cell r="C325">
            <v>1.1972162300546929</v>
          </cell>
          <cell r="D325">
            <v>1.2796725599940992</v>
          </cell>
          <cell r="F325" t="str">
            <v>расчет от 05.10.2016</v>
          </cell>
          <cell r="J325">
            <v>1.2026001419591141</v>
          </cell>
          <cell r="K325">
            <v>1.2199434690651225</v>
          </cell>
        </row>
        <row r="326">
          <cell r="A326">
            <v>325</v>
          </cell>
          <cell r="B326" t="str">
            <v>РУ-6кВ МДНС    1,2с.ш.</v>
          </cell>
          <cell r="C326">
            <v>1.9615775232016668</v>
          </cell>
          <cell r="D326">
            <v>1.9783911690786493</v>
          </cell>
          <cell r="F326" t="str">
            <v>расчет от 05.10.2016</v>
          </cell>
        </row>
        <row r="327">
          <cell r="A327">
            <v>326</v>
          </cell>
          <cell r="B327" t="str">
            <v>РУ-6кВ Покамасовское    1,2с.ш.</v>
          </cell>
          <cell r="C327">
            <v>0.36734422548884577</v>
          </cell>
          <cell r="D327">
            <v>0.38823366675238247</v>
          </cell>
          <cell r="F327" t="str">
            <v>расчет от 09.01.2024</v>
          </cell>
        </row>
        <row r="328">
          <cell r="A328">
            <v>327</v>
          </cell>
          <cell r="B328" t="str">
            <v xml:space="preserve">           СР №9</v>
          </cell>
        </row>
        <row r="329">
          <cell r="A329">
            <v>328</v>
          </cell>
          <cell r="B329" t="str">
            <v>ГТЭС-36МВт КРУ-6 в работе 3 ГТА параллельная работа реакторов</v>
          </cell>
          <cell r="C329">
            <v>0.94</v>
          </cell>
          <cell r="D329">
            <v>1.04</v>
          </cell>
        </row>
        <row r="330">
          <cell r="A330">
            <v>329</v>
          </cell>
          <cell r="B330" t="str">
            <v>ГТЭС-36МВт ГРУ-6  в работе 2 ГТА</v>
          </cell>
          <cell r="C330">
            <v>0.39400000000000002</v>
          </cell>
          <cell r="D330">
            <v>0.39400000000000002</v>
          </cell>
        </row>
        <row r="331">
          <cell r="A331">
            <v>330</v>
          </cell>
          <cell r="B331" t="str">
            <v>ГТЭС-36МВт ГРУ-6  в работе 3 ГТА</v>
          </cell>
          <cell r="C331">
            <v>0.26200000000000001</v>
          </cell>
          <cell r="D331">
            <v>0.26200000000000001</v>
          </cell>
        </row>
        <row r="332">
          <cell r="A332">
            <v>331</v>
          </cell>
          <cell r="B332" t="str">
            <v>ГРУ-6  от сети</v>
          </cell>
          <cell r="C332">
            <v>0.92442335157409161</v>
          </cell>
          <cell r="D332">
            <v>0.96583231738909492</v>
          </cell>
          <cell r="F332" t="str">
            <v>расчет 03.06.20</v>
          </cell>
        </row>
        <row r="333">
          <cell r="B333" t="str">
            <v>КРУ-6кВ "ГТЭС ДНС-2" 1сш</v>
          </cell>
          <cell r="C333">
            <v>0.93400000000000005</v>
          </cell>
          <cell r="D333">
            <v>0.97899999999999998</v>
          </cell>
        </row>
        <row r="334">
          <cell r="B334" t="str">
            <v>КРУ-6кВ "ГТЭС ДНС-2" 2сш</v>
          </cell>
          <cell r="C334">
            <v>0.93200000000000005</v>
          </cell>
          <cell r="D334">
            <v>0.97599999999999998</v>
          </cell>
        </row>
        <row r="335">
          <cell r="A335">
            <v>332</v>
          </cell>
          <cell r="B335" t="str">
            <v>РУ-6кВ КНС-2</v>
          </cell>
          <cell r="C335">
            <v>0.34699999999999998</v>
          </cell>
          <cell r="D335">
            <v>0.50900000000000001</v>
          </cell>
          <cell r="F335" t="str">
            <v>расчет 17.09.10</v>
          </cell>
        </row>
        <row r="336">
          <cell r="A336">
            <v>333</v>
          </cell>
          <cell r="B336" t="str">
            <v>РУ-6кВ КНС-2 от сети 1сш</v>
          </cell>
          <cell r="C336">
            <v>0.99482596819291602</v>
          </cell>
          <cell r="D336">
            <v>1.0389999999999999</v>
          </cell>
          <cell r="F336" t="str">
            <v>расчет 03.06.20</v>
          </cell>
        </row>
        <row r="337">
          <cell r="B337" t="str">
            <v>РУ-6кВ КНС-2 от сети 2сш</v>
          </cell>
          <cell r="C337">
            <v>0.99199999999999999</v>
          </cell>
          <cell r="D337">
            <v>1.036</v>
          </cell>
        </row>
        <row r="338">
          <cell r="A338">
            <v>334</v>
          </cell>
          <cell r="B338" t="str">
            <v>РУ-6кВ ДНС-2</v>
          </cell>
          <cell r="C338">
            <v>0.37366171961667044</v>
          </cell>
          <cell r="D338">
            <v>0.49933702193415952</v>
          </cell>
          <cell r="F338" t="str">
            <v>расчет 20.06.17</v>
          </cell>
          <cell r="J338">
            <v>0.69727435722389786</v>
          </cell>
          <cell r="K338">
            <v>0.69727435722389786</v>
          </cell>
        </row>
        <row r="339">
          <cell r="B339" t="str">
            <v>РУ-6кВ ДНС-2 1сш</v>
          </cell>
          <cell r="C339">
            <v>1.014</v>
          </cell>
          <cell r="D339">
            <v>1.0580000000000001</v>
          </cell>
          <cell r="F339" t="str">
            <v>расчет 05.03.26</v>
          </cell>
        </row>
        <row r="340">
          <cell r="B340" t="str">
            <v>РУ-6кВ ДНС-2 2сш</v>
          </cell>
          <cell r="C340">
            <v>1.012</v>
          </cell>
          <cell r="D340">
            <v>1.056</v>
          </cell>
        </row>
        <row r="341">
          <cell r="A341">
            <v>335</v>
          </cell>
          <cell r="B341" t="str">
            <v>КРУН-6кВ ДНС-2</v>
          </cell>
          <cell r="C341">
            <v>0.26200000000000001</v>
          </cell>
          <cell r="D341">
            <v>0.26200000000000001</v>
          </cell>
          <cell r="J341">
            <v>0.65878864520421121</v>
          </cell>
          <cell r="K341">
            <v>0.81545539366049924</v>
          </cell>
        </row>
        <row r="342">
          <cell r="A342">
            <v>336</v>
          </cell>
          <cell r="B342" t="str">
            <v>КРУН-6кВ ДНС-2 от сети</v>
          </cell>
          <cell r="C342">
            <v>0.94571338182750775</v>
          </cell>
          <cell r="D342">
            <v>0.98712192568885782</v>
          </cell>
          <cell r="F342" t="str">
            <v>расчет 03.06.20</v>
          </cell>
          <cell r="J342">
            <v>0.65878864520421121</v>
          </cell>
          <cell r="K342">
            <v>0.81545539366049924</v>
          </cell>
        </row>
        <row r="343">
          <cell r="A343">
            <v>337</v>
          </cell>
          <cell r="B343" t="str">
            <v>ПС 35/6кВ Салманов от ГТЭ</v>
          </cell>
          <cell r="C343">
            <v>1.206084829663546</v>
          </cell>
          <cell r="D343">
            <v>1.3509216690541863</v>
          </cell>
          <cell r="F343" t="str">
            <v>расчет 16.04.18</v>
          </cell>
        </row>
        <row r="344">
          <cell r="A344">
            <v>338</v>
          </cell>
          <cell r="B344" t="str">
            <v xml:space="preserve">ПС 35/6кВ Салманов 1с.ш. от сети </v>
          </cell>
          <cell r="C344">
            <v>1.0275082323141271</v>
          </cell>
          <cell r="D344">
            <v>1.073080782499148</v>
          </cell>
        </row>
        <row r="345">
          <cell r="A345">
            <v>339</v>
          </cell>
          <cell r="B345" t="str">
            <v xml:space="preserve">ПС 35/6кВ Салманов 2с.ш. от сети </v>
          </cell>
          <cell r="C345">
            <v>1.0248279363928152</v>
          </cell>
          <cell r="D345">
            <v>1.0703924558883544</v>
          </cell>
        </row>
        <row r="346">
          <cell r="A346">
            <v>340</v>
          </cell>
          <cell r="B346" t="str">
            <v xml:space="preserve">ПС 35/6кВ Норкин 1, 2с.ш. от ГТЭС </v>
          </cell>
          <cell r="C346">
            <v>0.86</v>
          </cell>
          <cell r="D346">
            <v>1.0592984627419162</v>
          </cell>
        </row>
        <row r="347">
          <cell r="A347">
            <v>341</v>
          </cell>
          <cell r="B347" t="str">
            <v xml:space="preserve">ПС 35/6кВ Норкин 1с.ш. от сети </v>
          </cell>
          <cell r="C347">
            <v>1.0151002201683255</v>
          </cell>
          <cell r="D347">
            <v>1.0592984627419162</v>
          </cell>
        </row>
        <row r="348">
          <cell r="A348">
            <v>342</v>
          </cell>
          <cell r="B348" t="str">
            <v xml:space="preserve">ПС 35/6кВ Норкин 2с.ш. от сети </v>
          </cell>
          <cell r="C348">
            <v>1.0138755496363536</v>
          </cell>
          <cell r="D348">
            <v>1.0580647287404643</v>
          </cell>
        </row>
        <row r="349">
          <cell r="A349">
            <v>343</v>
          </cell>
          <cell r="B349" t="str">
            <v xml:space="preserve">           СР №10</v>
          </cell>
        </row>
        <row r="350">
          <cell r="A350">
            <v>344</v>
          </cell>
          <cell r="B350" t="str">
            <v>ПС 110/35/6кВ Жагрин   1с.ш. 35кВ</v>
          </cell>
          <cell r="C350">
            <v>6.8750726564632316</v>
          </cell>
          <cell r="D350">
            <v>8.328723853804318</v>
          </cell>
        </row>
        <row r="351">
          <cell r="A351">
            <v>345</v>
          </cell>
          <cell r="B351" t="str">
            <v>ПС 110/35/6кВ Жагрин   2с.ш. 35кВ</v>
          </cell>
          <cell r="C351">
            <v>6.8492692662713619</v>
          </cell>
          <cell r="D351">
            <v>8.3027771407944595</v>
          </cell>
        </row>
        <row r="352">
          <cell r="A352">
            <v>346</v>
          </cell>
          <cell r="B352" t="str">
            <v>РУ-6кВ ДНС-1 пит. от ЗРУ-6кВ ГПЭС ДНС-1</v>
          </cell>
          <cell r="C352">
            <v>0.28499999999999998</v>
          </cell>
          <cell r="D352">
            <v>0.47699999999999998</v>
          </cell>
          <cell r="F352" t="str">
            <v>расчет 20.02.2017</v>
          </cell>
        </row>
        <row r="353">
          <cell r="A353">
            <v>347</v>
          </cell>
          <cell r="B353" t="str">
            <v>РУ-6кВ КНС-1</v>
          </cell>
          <cell r="C353">
            <v>0.27500000000000002</v>
          </cell>
          <cell r="D353">
            <v>0.318</v>
          </cell>
          <cell r="F353" t="str">
            <v>расчет 23.11.2016</v>
          </cell>
        </row>
        <row r="354">
          <cell r="A354">
            <v>348</v>
          </cell>
          <cell r="B354" t="str">
            <v>ЗРУ-6кВ Тайлаковское  1, 2 с.ш. от сети</v>
          </cell>
          <cell r="C354">
            <v>0.2794144288759049</v>
          </cell>
          <cell r="D354">
            <v>0.32576678646689017</v>
          </cell>
        </row>
        <row r="355">
          <cell r="A355">
            <v>349</v>
          </cell>
          <cell r="B355" t="str">
            <v>РУ-6кВ ДНС-1 от сети</v>
          </cell>
          <cell r="C355">
            <v>0.31470899065644758</v>
          </cell>
          <cell r="D355">
            <v>0.36147125584201029</v>
          </cell>
          <cell r="F355" t="str">
            <v>расчет 23.06.2019</v>
          </cell>
        </row>
        <row r="356">
          <cell r="A356">
            <v>350</v>
          </cell>
          <cell r="B356" t="str">
            <v>РУ-6кВ КНС-1 от сети</v>
          </cell>
          <cell r="C356">
            <v>0.31217044991478615</v>
          </cell>
          <cell r="D356">
            <v>0.35896095860134986</v>
          </cell>
          <cell r="F356" t="str">
            <v>расчет 23.06.2019</v>
          </cell>
        </row>
        <row r="357">
          <cell r="A357">
            <v>351</v>
          </cell>
          <cell r="B357" t="str">
            <v>РУ-6кВ ДНС-3 от сети</v>
          </cell>
          <cell r="C357">
            <v>0.83995408998268473</v>
          </cell>
          <cell r="D357">
            <v>0.88232452750365564</v>
          </cell>
          <cell r="F357" t="str">
            <v>расчет 12.12.2019</v>
          </cell>
        </row>
        <row r="358">
          <cell r="A358">
            <v>352</v>
          </cell>
          <cell r="B358" t="str">
            <v xml:space="preserve">ПС 35/6кВ Рынковой 1с.ш. от сети </v>
          </cell>
          <cell r="C358">
            <v>0.67317554622284947</v>
          </cell>
          <cell r="D358">
            <v>0.71917834426156535</v>
          </cell>
          <cell r="F358" t="str">
            <v>расчет 05.06.20</v>
          </cell>
        </row>
        <row r="359">
          <cell r="A359">
            <v>353</v>
          </cell>
          <cell r="B359" t="str">
            <v xml:space="preserve">ПС 35/6кВ Рынковой 2с.ш. от сети </v>
          </cell>
          <cell r="C359">
            <v>0.67423609536388318</v>
          </cell>
          <cell r="D359">
            <v>0.72023602376258711</v>
          </cell>
          <cell r="F359" t="str">
            <v>расчет 05.06.20</v>
          </cell>
        </row>
        <row r="360">
          <cell r="A360">
            <v>354</v>
          </cell>
          <cell r="B360" t="str">
            <v xml:space="preserve">ПС 35/6кВ Кузьмин 1с.ш. от сети </v>
          </cell>
          <cell r="C360">
            <v>0.82456710924644228</v>
          </cell>
          <cell r="D360">
            <v>0.86948597476704392</v>
          </cell>
          <cell r="F360" t="str">
            <v>расчет 05.06.20</v>
          </cell>
        </row>
        <row r="361">
          <cell r="A361">
            <v>355</v>
          </cell>
          <cell r="B361" t="str">
            <v xml:space="preserve">ПС 35/6кВ Кузьмин 2с.ш. от сети </v>
          </cell>
          <cell r="C361">
            <v>0.82466202946276845</v>
          </cell>
          <cell r="D361">
            <v>0.86957814298674374</v>
          </cell>
          <cell r="F361" t="str">
            <v>расчет 05.06.20</v>
          </cell>
        </row>
        <row r="362">
          <cell r="A362">
            <v>356</v>
          </cell>
          <cell r="B362" t="str">
            <v xml:space="preserve">ПС 35/6кВ Абазаров 1с.ш. от сети </v>
          </cell>
          <cell r="C362">
            <v>0.51892453356054002</v>
          </cell>
          <cell r="D362">
            <v>0.56513547640322137</v>
          </cell>
          <cell r="F362" t="str">
            <v>расчет 05.06.20</v>
          </cell>
        </row>
        <row r="363">
          <cell r="A363">
            <v>357</v>
          </cell>
          <cell r="B363" t="str">
            <v xml:space="preserve">ПС 35/6кВ Абазаров 2с.ш. от сети </v>
          </cell>
          <cell r="C363">
            <v>0.51823806655720883</v>
          </cell>
          <cell r="D363">
            <v>0.5644436860770542</v>
          </cell>
          <cell r="F363" t="str">
            <v>расчет 05.06.20</v>
          </cell>
        </row>
        <row r="364">
          <cell r="A364">
            <v>358</v>
          </cell>
          <cell r="B364" t="str">
            <v xml:space="preserve">ПС 35/6кВ Временная БУ КП-21 1с.ш. от сети </v>
          </cell>
          <cell r="C364">
            <v>0.89404881458865992</v>
          </cell>
          <cell r="D364">
            <v>0.9403067997518566</v>
          </cell>
          <cell r="F364" t="str">
            <v>расчет 07.06.23</v>
          </cell>
        </row>
        <row r="365">
          <cell r="A365">
            <v>359</v>
          </cell>
          <cell r="B365" t="str">
            <v>/\/\/\/\/\/\/\/\/\/\/\/\/\/\/\/\/\/\/\/\/\/\/\/\/\</v>
          </cell>
        </row>
        <row r="366">
          <cell r="A366">
            <v>360</v>
          </cell>
          <cell r="B366" t="str">
            <v>ГТЭС</v>
          </cell>
          <cell r="C366">
            <v>4.3499999999999996</v>
          </cell>
          <cell r="D366">
            <v>4.5</v>
          </cell>
        </row>
        <row r="367">
          <cell r="A367">
            <v>361</v>
          </cell>
          <cell r="B367" t="str">
            <v>ГТЭС Н-ПОКУРСКАЯ</v>
          </cell>
          <cell r="C367">
            <v>22.082999999999998</v>
          </cell>
          <cell r="D367">
            <v>23.922000000000001</v>
          </cell>
        </row>
        <row r="368">
          <cell r="A368">
            <v>362</v>
          </cell>
          <cell r="B368" t="str">
            <v>ГТЭС Покамасы</v>
          </cell>
          <cell r="C368">
            <v>16.486000000000001</v>
          </cell>
        </row>
        <row r="369">
          <cell r="A369">
            <v>363</v>
          </cell>
          <cell r="B369" t="str">
            <v>ГТЭС Покамасы +ПС110/35/6кВ</v>
          </cell>
          <cell r="C369">
            <v>6.0839999999999996</v>
          </cell>
          <cell r="D369">
            <v>6.774</v>
          </cell>
        </row>
        <row r="370">
          <cell r="A370">
            <v>364</v>
          </cell>
          <cell r="B370" t="str">
            <v>ГТЭСН-ПОКУР+ПС110/35/6кВ</v>
          </cell>
          <cell r="C370">
            <v>5.4619999999999997</v>
          </cell>
          <cell r="D370">
            <v>7.6710000000000003</v>
          </cell>
        </row>
        <row r="371">
          <cell r="A371">
            <v>365</v>
          </cell>
          <cell r="B371" t="str">
            <v>Аригольское м.р.</v>
          </cell>
        </row>
        <row r="372">
          <cell r="A372">
            <v>366</v>
          </cell>
          <cell r="B372" t="str">
            <v>ПС 110/35/6кВ Вахская    1с.ш.35кВ</v>
          </cell>
          <cell r="C372">
            <v>7.16</v>
          </cell>
          <cell r="D372">
            <v>11.85</v>
          </cell>
        </row>
        <row r="373">
          <cell r="A373">
            <v>367</v>
          </cell>
          <cell r="B373" t="str">
            <v>ПС 110/35/6кВ Вахская    2с.ш.35кВ</v>
          </cell>
          <cell r="C373">
            <v>6.77</v>
          </cell>
          <cell r="D373">
            <v>11.18</v>
          </cell>
        </row>
        <row r="374">
          <cell r="A374">
            <v>368</v>
          </cell>
          <cell r="B374" t="str">
            <v xml:space="preserve">ГПЭС-1 АЭС </v>
          </cell>
          <cell r="C374">
            <v>0.62142273655547986</v>
          </cell>
          <cell r="D374">
            <v>2.4856909462219194</v>
          </cell>
          <cell r="F374" t="str">
            <v>расчет 09.07.18</v>
          </cell>
        </row>
        <row r="375">
          <cell r="A375">
            <v>369</v>
          </cell>
          <cell r="B375" t="str">
            <v>ПС 35/6кВ Аригольская-1   1,2с.ш. (пит. от сети.)</v>
          </cell>
          <cell r="C375">
            <v>1.02</v>
          </cell>
          <cell r="D375">
            <v>1.1499999999999999</v>
          </cell>
        </row>
        <row r="376">
          <cell r="A376">
            <v>370</v>
          </cell>
          <cell r="B376" t="str">
            <v>ПС 35/6кВ Аригольская-1   1,2с.ш. (пит. от ГПЭС-1)</v>
          </cell>
          <cell r="C376">
            <v>0.63881480367880472</v>
          </cell>
          <cell r="D376">
            <v>1.26</v>
          </cell>
          <cell r="F376" t="str">
            <v>расчет 28.11.18</v>
          </cell>
        </row>
        <row r="377">
          <cell r="A377">
            <v>371</v>
          </cell>
          <cell r="B377" t="str">
            <v>ПС 35/6кВ Аригольcкая-2   1,2с.ш.</v>
          </cell>
          <cell r="C377">
            <v>0.97</v>
          </cell>
          <cell r="D377">
            <v>1.08</v>
          </cell>
        </row>
        <row r="378">
          <cell r="A378">
            <v>372</v>
          </cell>
          <cell r="B378" t="str">
            <v xml:space="preserve">ПС 35/6кВ Максимкинская    1с.ш. </v>
          </cell>
          <cell r="C378">
            <v>1.1801411252228102</v>
          </cell>
          <cell r="D378">
            <v>1.3316498067207609</v>
          </cell>
        </row>
        <row r="379">
          <cell r="A379">
            <v>373</v>
          </cell>
          <cell r="B379" t="str">
            <v xml:space="preserve">ПС 35/6кВ Максимкинская    2с.ш. </v>
          </cell>
          <cell r="C379">
            <v>1.1121795787319599</v>
          </cell>
          <cell r="D379">
            <v>1.2545897601870981</v>
          </cell>
        </row>
        <row r="380">
          <cell r="A380">
            <v>374</v>
          </cell>
          <cell r="B380" t="str">
            <v>РУ-6кВ №1 УПН   1,2с.ш. (пит. от ГПЭС)</v>
          </cell>
          <cell r="C380">
            <v>0.63500000000000001</v>
          </cell>
          <cell r="D380">
            <v>0.84499999999999997</v>
          </cell>
          <cell r="F380" t="str">
            <v>расчет 29.10.10</v>
          </cell>
        </row>
        <row r="381">
          <cell r="A381">
            <v>375</v>
          </cell>
          <cell r="B381" t="str">
            <v>РУ-6кВ №1 УПН   1,2с.ш. (пит. от сети)</v>
          </cell>
          <cell r="C381">
            <v>1.03</v>
          </cell>
          <cell r="D381">
            <v>1.1599999999999999</v>
          </cell>
        </row>
        <row r="382">
          <cell r="A382">
            <v>376</v>
          </cell>
          <cell r="B382" t="str">
            <v>РУ-6кВ №2 КНС   1,2с.ш. (пит. от ГПЭС)</v>
          </cell>
          <cell r="C382">
            <v>0.64800000000000002</v>
          </cell>
          <cell r="D382">
            <v>1.27</v>
          </cell>
          <cell r="F382" t="str">
            <v>расчет 28.11.18</v>
          </cell>
        </row>
        <row r="383">
          <cell r="A383">
            <v>377</v>
          </cell>
          <cell r="B383" t="str">
            <v>РУ-6кВ №2 КНС   1,2с.ш. (пит. от сети)</v>
          </cell>
          <cell r="C383">
            <v>1.04</v>
          </cell>
          <cell r="D383">
            <v>1.17</v>
          </cell>
        </row>
        <row r="384">
          <cell r="A384">
            <v>378</v>
          </cell>
          <cell r="B384" t="str">
            <v xml:space="preserve">Чистинное м.р. </v>
          </cell>
        </row>
        <row r="385">
          <cell r="A385">
            <v>379</v>
          </cell>
          <cell r="B385" t="str">
            <v>ПС 110/35/6кВ Чистинная 1СШ35кВ</v>
          </cell>
          <cell r="C385">
            <v>16.467651596412026</v>
          </cell>
          <cell r="D385">
            <v>16.240105625445242</v>
          </cell>
          <cell r="F385" t="str">
            <v>Перерасчет по письму №М4/П6/2/227 от 18.02.2026г. Россети МЭС Урала</v>
          </cell>
          <cell r="G385" t="str">
            <v>№РТ2/1/1635 от 22.11.2024</v>
          </cell>
        </row>
        <row r="386">
          <cell r="A386">
            <v>380</v>
          </cell>
          <cell r="B386" t="str">
            <v>ПС 110/35/6кВ Чистинная 2СШ35кВ</v>
          </cell>
          <cell r="C386">
            <v>16.392443979021444</v>
          </cell>
          <cell r="D386">
            <v>16.164951553596101</v>
          </cell>
          <cell r="G386" t="str">
            <v>№РТ2/1/1635 от 22.11.2024</v>
          </cell>
        </row>
        <row r="387">
          <cell r="A387">
            <v>381</v>
          </cell>
          <cell r="B387" t="str">
            <v>ПС 110/35/6кВ ЗРУ 6кВ "Чистинная" 1СШ</v>
          </cell>
          <cell r="C387">
            <v>0.61986275990185513</v>
          </cell>
          <cell r="D387">
            <v>0.61310936304829888</v>
          </cell>
        </row>
        <row r="388">
          <cell r="A388">
            <v>382</v>
          </cell>
          <cell r="B388" t="str">
            <v>ПС 110/35/6кВ ЗРУ 6кВ "Чистинная" 2СШ</v>
          </cell>
          <cell r="C388">
            <v>0.62175141698741232</v>
          </cell>
          <cell r="D388">
            <v>0.61499739651516006</v>
          </cell>
        </row>
        <row r="389">
          <cell r="A389">
            <v>383</v>
          </cell>
          <cell r="B389" t="str">
            <v>РУ-6кВ ДНС-1 Чистинное м.р. 1СШ</v>
          </cell>
          <cell r="C389">
            <v>0.64513236228267468</v>
          </cell>
          <cell r="D389">
            <v>0.6383918674451563</v>
          </cell>
        </row>
        <row r="390">
          <cell r="A390">
            <v>384</v>
          </cell>
          <cell r="B390" t="str">
            <v>РУ-6кВ ДНС-1 Чистинное м.р. 2СШ</v>
          </cell>
          <cell r="C390">
            <v>0.64701745933394228</v>
          </cell>
          <cell r="D390">
            <v>0.64027626653875291</v>
          </cell>
        </row>
        <row r="391">
          <cell r="A391">
            <v>385</v>
          </cell>
          <cell r="B391" t="str">
            <v xml:space="preserve">ПС 35/6кВ Куст-4  1с.ш. Чистинное м.р. </v>
          </cell>
          <cell r="C391">
            <v>1.056337186355544</v>
          </cell>
          <cell r="D391">
            <v>1.0489653479644943</v>
          </cell>
        </row>
        <row r="392">
          <cell r="A392">
            <v>386</v>
          </cell>
          <cell r="B392" t="str">
            <v xml:space="preserve">ПС 35/6кВ Куст-4  2с.ш. Чистинное м.р. </v>
          </cell>
          <cell r="C392">
            <v>1.0664995767850434</v>
          </cell>
          <cell r="D392">
            <v>1.0591294607263027</v>
          </cell>
        </row>
        <row r="393">
          <cell r="A393">
            <v>387</v>
          </cell>
          <cell r="B393" t="str">
            <v xml:space="preserve">ПС 35/6кВ Куст-24  1с.ш. Чистинное м.р. </v>
          </cell>
          <cell r="C393">
            <v>1.3208887120134305</v>
          </cell>
          <cell r="D393">
            <v>1.3135410942723351</v>
          </cell>
        </row>
        <row r="394">
          <cell r="A394">
            <v>388</v>
          </cell>
          <cell r="B394" t="str">
            <v xml:space="preserve">ПС 35/6кВ Куст-24  2с.ш. Чистинное м.р. </v>
          </cell>
          <cell r="C394">
            <v>1.3481296519895576</v>
          </cell>
          <cell r="D394">
            <v>1.3407827641901413</v>
          </cell>
        </row>
        <row r="395">
          <cell r="A395">
            <v>389</v>
          </cell>
          <cell r="B395" t="str">
            <v>РУ-6кВ КНС-2    1,2с.ш.</v>
          </cell>
          <cell r="C395">
            <v>1.1000000000000001</v>
          </cell>
          <cell r="D395">
            <v>1.2</v>
          </cell>
        </row>
        <row r="396">
          <cell r="A396">
            <v>390</v>
          </cell>
          <cell r="B396" t="str">
            <v>РУ-6кВ МФНС    1с.ш.</v>
          </cell>
          <cell r="C396">
            <v>0.62546404236077113</v>
          </cell>
          <cell r="D396">
            <v>0.64955304947720305</v>
          </cell>
          <cell r="F396" t="str">
            <v>расчет от 25.06.2018</v>
          </cell>
        </row>
        <row r="397">
          <cell r="A397">
            <v>391</v>
          </cell>
          <cell r="B397" t="str">
            <v>РУ-6кВ МФНС    2с.ш.</v>
          </cell>
          <cell r="C397">
            <v>0.62735078296561597</v>
          </cell>
          <cell r="D397">
            <v>0.65144203575520121</v>
          </cell>
          <cell r="F397" t="str">
            <v>расчет от 25.06.2018</v>
          </cell>
        </row>
        <row r="398">
          <cell r="A398">
            <v>392</v>
          </cell>
          <cell r="B398" t="str">
            <v>РУ-6кВ МДНС    1с.ш.</v>
          </cell>
          <cell r="C398">
            <v>0.8695272030874871</v>
          </cell>
          <cell r="D398">
            <v>0.89324739477743642</v>
          </cell>
          <cell r="F398" t="str">
            <v>расчет от 25.06.2018</v>
          </cell>
        </row>
        <row r="399">
          <cell r="A399">
            <v>393</v>
          </cell>
          <cell r="B399" t="str">
            <v>РУ-6кВ МДНС    2с.ш.</v>
          </cell>
          <cell r="C399">
            <v>0.87138430176337855</v>
          </cell>
          <cell r="D399">
            <v>0.89510831959002479</v>
          </cell>
          <cell r="F399" t="str">
            <v>расчет от 25.06.2018</v>
          </cell>
        </row>
        <row r="400">
          <cell r="A400">
            <v>394</v>
          </cell>
          <cell r="B400" t="str">
            <v xml:space="preserve">Ачимовское м.р. </v>
          </cell>
        </row>
        <row r="401">
          <cell r="A401">
            <v>395</v>
          </cell>
          <cell r="B401" t="str">
            <v>ПС 35/6кВ Ачимовская-1  1с.ш.</v>
          </cell>
          <cell r="C401">
            <v>1.318396399923542</v>
          </cell>
          <cell r="D401">
            <v>1.3118205511716448</v>
          </cell>
          <cell r="F401" t="str">
            <v>Перерасчет по письму №М4/П6/2/227 от 18.02.2026г. Россети МЭС Урала</v>
          </cell>
        </row>
        <row r="402">
          <cell r="A402">
            <v>396</v>
          </cell>
          <cell r="B402" t="str">
            <v>ПС 35/6кВ Ачимовская-1  2с.ш.</v>
          </cell>
          <cell r="C402">
            <v>1.3193454594300538</v>
          </cell>
          <cell r="D402">
            <v>1.3127709963078849</v>
          </cell>
        </row>
        <row r="403">
          <cell r="A403">
            <v>397</v>
          </cell>
          <cell r="B403" t="str">
            <v>ПС 35/6кВ Ачимовская-2  1с.ш.</v>
          </cell>
          <cell r="C403">
            <v>1.6056957467006174</v>
          </cell>
          <cell r="D403">
            <v>1.5984237295322992</v>
          </cell>
        </row>
        <row r="404">
          <cell r="A404">
            <v>398</v>
          </cell>
          <cell r="B404" t="str">
            <v>ПС 35/6кВ Ачимовская-2  2с.ш.</v>
          </cell>
          <cell r="C404">
            <v>1.5958354777992032</v>
          </cell>
          <cell r="D404">
            <v>1.5885664283902219</v>
          </cell>
        </row>
        <row r="405">
          <cell r="A405">
            <v>399</v>
          </cell>
          <cell r="B405" t="str">
            <v>РУ-6кВ ДНС-1 Ачимовское м.р .</v>
          </cell>
          <cell r="C405">
            <v>1.3740000000000001</v>
          </cell>
          <cell r="D405">
            <v>1.4139999999999999</v>
          </cell>
          <cell r="F405" t="str">
            <v>расчет 18.09.08</v>
          </cell>
        </row>
        <row r="406">
          <cell r="A406">
            <v>400</v>
          </cell>
          <cell r="B406" t="str">
            <v>РУ-6кВ КНС-1 Ачимовское м.р .</v>
          </cell>
          <cell r="C406">
            <v>1.5659295016315065</v>
          </cell>
          <cell r="D406">
            <v>1.5855441467726483</v>
          </cell>
          <cell r="F406" t="str">
            <v>расчет 10.06.22</v>
          </cell>
        </row>
        <row r="407">
          <cell r="A407">
            <v>401</v>
          </cell>
          <cell r="B407" t="str">
            <v>Ачимовское м/р ВДМ</v>
          </cell>
          <cell r="C407">
            <v>0.73</v>
          </cell>
          <cell r="D407">
            <v>0.57499999999999996</v>
          </cell>
        </row>
        <row r="408">
          <cell r="A408">
            <v>402</v>
          </cell>
          <cell r="B408" t="str">
            <v>Энергопоезд 1100 кВт</v>
          </cell>
          <cell r="C408">
            <v>2.67</v>
          </cell>
          <cell r="D408">
            <v>2.31</v>
          </cell>
        </row>
        <row r="409">
          <cell r="A409">
            <v>403</v>
          </cell>
          <cell r="B409" t="str">
            <v>Энергопоезд 1100 кВт 2 поезда</v>
          </cell>
          <cell r="C409">
            <v>1.33</v>
          </cell>
          <cell r="D409">
            <v>1.1499999999999999</v>
          </cell>
        </row>
        <row r="410">
          <cell r="A410">
            <v>404</v>
          </cell>
          <cell r="B410" t="str">
            <v>Энергопоезд 1100 кВт 4 поезда</v>
          </cell>
          <cell r="C410">
            <v>0.66749999999999998</v>
          </cell>
          <cell r="D410">
            <v>0.57750000000000001</v>
          </cell>
        </row>
        <row r="411">
          <cell r="A411">
            <v>405</v>
          </cell>
          <cell r="B411" t="str">
            <v>ЗУБ</v>
          </cell>
        </row>
        <row r="412">
          <cell r="A412">
            <v>406</v>
          </cell>
          <cell r="B412" t="str">
            <v xml:space="preserve">ПС 110/35/6кВ Ореховская </v>
          </cell>
          <cell r="C412">
            <v>0.47699999999999998</v>
          </cell>
          <cell r="D412">
            <v>0.60799999999999998</v>
          </cell>
        </row>
        <row r="413">
          <cell r="A413">
            <v>407</v>
          </cell>
          <cell r="B413" t="str">
            <v>ЗРУ-6кВ КП-1   Зап.Усть-Балыкское м.р.</v>
          </cell>
          <cell r="C413">
            <v>1.353</v>
          </cell>
          <cell r="D413">
            <v>1.353</v>
          </cell>
          <cell r="F413" t="str">
            <v>расчет 24.01.12</v>
          </cell>
        </row>
        <row r="414">
          <cell r="A414">
            <v>408</v>
          </cell>
          <cell r="B414" t="str">
            <v>ЗРУ-6кВ КП-6   Зап.Усть-Балыкское м.р.</v>
          </cell>
          <cell r="C414">
            <v>3.63</v>
          </cell>
          <cell r="D414">
            <v>3.63</v>
          </cell>
          <cell r="F414" t="str">
            <v>расчет 01.02.12</v>
          </cell>
        </row>
        <row r="415">
          <cell r="A415">
            <v>409</v>
          </cell>
          <cell r="B415" t="str">
            <v xml:space="preserve">ЗРУ-6кВ ДНС-1 </v>
          </cell>
          <cell r="C415">
            <v>1.1968734511767638</v>
          </cell>
          <cell r="D415">
            <v>1.2127017460193765</v>
          </cell>
          <cell r="F415" t="str">
            <v>расчёт 15.12.2017</v>
          </cell>
          <cell r="J415">
            <v>1.4160521858337844</v>
          </cell>
          <cell r="K415">
            <v>1.461817410009234</v>
          </cell>
        </row>
        <row r="416">
          <cell r="A416">
            <v>410</v>
          </cell>
          <cell r="B416" t="str">
            <v>ЗРУ-6кВ КНС</v>
          </cell>
          <cell r="C416">
            <v>1.2018555375903019</v>
          </cell>
          <cell r="D416">
            <v>1.2176836753253599</v>
          </cell>
          <cell r="F416" t="str">
            <v>расчёт 15.12.2017</v>
          </cell>
          <cell r="J416">
            <v>1.421032408051212</v>
          </cell>
          <cell r="K416">
            <v>1.4667973132855119</v>
          </cell>
        </row>
        <row r="417">
          <cell r="A417">
            <v>411</v>
          </cell>
          <cell r="B417" t="str">
            <v>ПС 35/6кВ Куст-6 питание от ПС 110/35/6кВ "Ореховская"</v>
          </cell>
          <cell r="C417">
            <v>1.327</v>
          </cell>
          <cell r="D417">
            <v>1.329</v>
          </cell>
          <cell r="F417" t="str">
            <v>расчёт 26.02.2013</v>
          </cell>
        </row>
        <row r="418">
          <cell r="A418">
            <v>412</v>
          </cell>
          <cell r="B418" t="str">
            <v>ПС 35/6кВ ДНС-Ореховская</v>
          </cell>
          <cell r="C418">
            <v>0.92</v>
          </cell>
          <cell r="D418">
            <v>1.07</v>
          </cell>
          <cell r="F418" t="str">
            <v>расчет от 26.11.2013.</v>
          </cell>
        </row>
        <row r="419">
          <cell r="A419">
            <v>413</v>
          </cell>
          <cell r="B419" t="str">
            <v>ДЭС-1,6МВт</v>
          </cell>
          <cell r="C419">
            <v>3.5720999999999998</v>
          </cell>
          <cell r="D419">
            <v>3.5720999999999998</v>
          </cell>
        </row>
        <row r="420">
          <cell r="A420">
            <v>414</v>
          </cell>
          <cell r="B420" t="str">
            <v>ЭНЕРГОЦЕНТР КУСТ 9 СКВ 3011</v>
          </cell>
          <cell r="C420">
            <v>1.603</v>
          </cell>
          <cell r="D420">
            <v>3.105</v>
          </cell>
          <cell r="F420" t="str">
            <v>ПИСЬМО №134/НВ от 24.01.22г.</v>
          </cell>
        </row>
        <row r="421">
          <cell r="A421">
            <v>415</v>
          </cell>
          <cell r="B421" t="str">
            <v>ООО "НГ-Энерго"</v>
          </cell>
        </row>
        <row r="422">
          <cell r="A422">
            <v>416</v>
          </cell>
          <cell r="B422" t="str">
            <v>ЗРУ-6кВ энергоцентра КП-49</v>
          </cell>
          <cell r="C422">
            <v>1.55</v>
          </cell>
          <cell r="D422">
            <v>2.1749999999999998</v>
          </cell>
          <cell r="F422" t="str">
            <v>данные НГ-Энерго на 26.01.2017</v>
          </cell>
        </row>
        <row r="423">
          <cell r="A423">
            <v>417</v>
          </cell>
          <cell r="B423" t="str">
            <v>ООО "Энергопотенциал"</v>
          </cell>
        </row>
        <row r="424">
          <cell r="A424">
            <v>418</v>
          </cell>
          <cell r="B424" t="str">
            <v>ГПЭС ДНС-1 (энергопотенциал)</v>
          </cell>
          <cell r="C424">
            <v>0.27600000000000002</v>
          </cell>
          <cell r="D424">
            <v>0.46800000000000003</v>
          </cell>
          <cell r="F424" t="str">
            <v>расчет 11.12.15</v>
          </cell>
        </row>
        <row r="425">
          <cell r="A425">
            <v>419</v>
          </cell>
          <cell r="B425" t="str">
            <v>РУ-6кВ "ГПЭС-1",ЗРУ-6кВ "ДЭС ДНС-1" "Энергопотениал-1" ( паралл.работа)</v>
          </cell>
          <cell r="C425">
            <v>0.36299999999999999</v>
          </cell>
          <cell r="D425">
            <v>0.41</v>
          </cell>
          <cell r="F425" t="str">
            <v>расчет 20.11.12</v>
          </cell>
        </row>
        <row r="426">
          <cell r="A426">
            <v>420</v>
          </cell>
          <cell r="B426" t="str">
            <v>НКУ-0,4 КП-55</v>
          </cell>
          <cell r="C426">
            <v>4.550787878787879E-3</v>
          </cell>
          <cell r="D426">
            <v>6.826181818181818E-3</v>
          </cell>
          <cell r="F426" t="str">
            <v>расчет от 11.01.18</v>
          </cell>
        </row>
        <row r="427">
          <cell r="A427">
            <v>421</v>
          </cell>
          <cell r="B427" t="str">
            <v>ЗРУ-6кВ КП-3 Южно-Островное м.р.</v>
          </cell>
          <cell r="C427">
            <v>1.521033793614722</v>
          </cell>
          <cell r="D427">
            <v>2.7683682352941177</v>
          </cell>
          <cell r="F427" t="str">
            <v>расчет от 18.10.17</v>
          </cell>
        </row>
        <row r="428">
          <cell r="A428">
            <v>422</v>
          </cell>
          <cell r="B428" t="str">
            <v>ООО "АЭС"</v>
          </cell>
        </row>
        <row r="429">
          <cell r="A429">
            <v>423</v>
          </cell>
          <cell r="B429" t="str">
            <v xml:space="preserve">РУ-6кВ ГПЭС-1 </v>
          </cell>
          <cell r="C429">
            <v>0.46497667568054973</v>
          </cell>
          <cell r="D429">
            <v>0.49713818924438391</v>
          </cell>
          <cell r="F429" t="str">
            <v>расчет 23.11.16</v>
          </cell>
        </row>
        <row r="430">
          <cell r="A430">
            <v>424</v>
          </cell>
          <cell r="B430" t="str">
            <v>РУ-6кВ ДЭС ДНС-1</v>
          </cell>
          <cell r="C430">
            <v>0.64376268261503489</v>
          </cell>
          <cell r="D430">
            <v>0.84380770923201787</v>
          </cell>
          <cell r="F430" t="str">
            <v>расчет 23.11.16</v>
          </cell>
        </row>
        <row r="431">
          <cell r="A431">
            <v>425</v>
          </cell>
          <cell r="B431" t="str">
            <v xml:space="preserve">ДЭС ДНС-1 паралл.работа с ГПЭС-1 </v>
          </cell>
          <cell r="C431">
            <v>0.26997745669431761</v>
          </cell>
          <cell r="D431">
            <v>0.31283069444836309</v>
          </cell>
          <cell r="F431" t="str">
            <v>расчет 23.11.16</v>
          </cell>
        </row>
        <row r="432">
          <cell r="A432">
            <v>426</v>
          </cell>
          <cell r="B432" t="str">
            <v xml:space="preserve">РУ-6кВ ГПЭС-2 </v>
          </cell>
          <cell r="C432">
            <v>0.37145991610715934</v>
          </cell>
          <cell r="D432">
            <v>0.49713818924438391</v>
          </cell>
          <cell r="F432" t="str">
            <v>расчет 16.11.16</v>
          </cell>
        </row>
        <row r="433">
          <cell r="A433">
            <v>427</v>
          </cell>
          <cell r="B433" t="str">
            <v xml:space="preserve">РУ-6кВ КП-44   </v>
          </cell>
          <cell r="C433">
            <v>0.96599999999999997</v>
          </cell>
          <cell r="D433">
            <v>0.96599999999999997</v>
          </cell>
          <cell r="F433" t="str">
            <v>01-17/484 от 17.04.17</v>
          </cell>
        </row>
        <row r="434">
          <cell r="A434">
            <v>428</v>
          </cell>
          <cell r="B434" t="str">
            <v>ЗРУ-6кВ КП-13</v>
          </cell>
          <cell r="C434">
            <v>1.4155800860792298</v>
          </cell>
          <cell r="D434">
            <v>2.4479236006310874</v>
          </cell>
          <cell r="F434" t="str">
            <v>расчет от 05.12.17</v>
          </cell>
        </row>
        <row r="435">
          <cell r="A435">
            <v>429</v>
          </cell>
          <cell r="B435" t="str">
            <v>ООО "ДЭС"</v>
          </cell>
        </row>
        <row r="436">
          <cell r="A436">
            <v>430</v>
          </cell>
          <cell r="B436" t="str">
            <v>ЗРУ-6кВ ЭЦ КП-9 ЗУБ</v>
          </cell>
          <cell r="C436">
            <v>0.89144999999999996</v>
          </cell>
          <cell r="D436">
            <v>1.4148387931034483</v>
          </cell>
          <cell r="F436" t="str">
            <v>расчет от 30.05.17</v>
          </cell>
        </row>
        <row r="437">
          <cell r="A437">
            <v>431</v>
          </cell>
          <cell r="B437" t="str">
            <v>ЗРУ-10кВ ЭЦ №1 УПН</v>
          </cell>
          <cell r="C437">
            <v>1.55</v>
          </cell>
          <cell r="D437">
            <v>2.1749999999999998</v>
          </cell>
          <cell r="F437" t="str">
            <v>расчет от 06.09.19</v>
          </cell>
        </row>
        <row r="438">
          <cell r="A438">
            <v>432</v>
          </cell>
          <cell r="B438" t="str">
            <v>ЗРУ-10кВ ЭЦ №2 КП-3</v>
          </cell>
          <cell r="C438">
            <v>5.9735185714285723</v>
          </cell>
          <cell r="D438">
            <v>10.860942857142858</v>
          </cell>
          <cell r="F438" t="str">
            <v>расчет от 15.06.17</v>
          </cell>
        </row>
        <row r="439">
          <cell r="A439">
            <v>433</v>
          </cell>
          <cell r="B439" t="str">
            <v>ВЭЦ Юрубчено-Тохомское м.р.</v>
          </cell>
          <cell r="C439">
            <v>0.45573789309223456</v>
          </cell>
          <cell r="D439">
            <v>1.2493669940155694</v>
          </cell>
          <cell r="F439" t="str">
            <v>расчет от 17.10.17</v>
          </cell>
        </row>
        <row r="440">
          <cell r="A440">
            <v>434</v>
          </cell>
        </row>
        <row r="441">
          <cell r="A441">
            <v>435</v>
          </cell>
        </row>
        <row r="442">
          <cell r="A442">
            <v>436</v>
          </cell>
          <cell r="B442" t="str">
            <v>ПС 35/6кВ ДНС Узунского м/р обсл. ООО ЮЭС</v>
          </cell>
          <cell r="C442">
            <v>1.01</v>
          </cell>
          <cell r="D442">
            <v>1.1679999999999999</v>
          </cell>
        </row>
        <row r="443">
          <cell r="A443">
            <v>437</v>
          </cell>
          <cell r="B443" t="str">
            <v>ГПЭС-1 ДНС-1 ТОЛЬКО С ГПГУ</v>
          </cell>
          <cell r="C443">
            <v>0.75</v>
          </cell>
          <cell r="D443">
            <v>0.9375</v>
          </cell>
        </row>
        <row r="444">
          <cell r="A444">
            <v>438</v>
          </cell>
        </row>
        <row r="445">
          <cell r="A445">
            <v>439</v>
          </cell>
          <cell r="B445" t="str">
            <v>Мессояха</v>
          </cell>
        </row>
        <row r="446">
          <cell r="A446">
            <v>440</v>
          </cell>
          <cell r="B446" t="str">
            <v>214 ЗРУ-10 2СШ</v>
          </cell>
          <cell r="C446">
            <v>0.74299999999999999</v>
          </cell>
          <cell r="D446">
            <v>0.97899999999999998</v>
          </cell>
        </row>
        <row r="447">
          <cell r="A447">
            <v>441</v>
          </cell>
          <cell r="B447" t="str">
            <v>ПС 35/10 кВ "ПСП"</v>
          </cell>
          <cell r="C447">
            <v>0.99</v>
          </cell>
          <cell r="D447">
            <v>1.22</v>
          </cell>
        </row>
        <row r="448">
          <cell r="A448">
            <v>442</v>
          </cell>
        </row>
        <row r="449">
          <cell r="A449">
            <v>443</v>
          </cell>
        </row>
        <row r="450">
          <cell r="A450">
            <v>444</v>
          </cell>
        </row>
      </sheetData>
      <sheetData sheetId="4">
        <row r="1">
          <cell r="A1" t="str">
            <v>Трансформаторы 6/0,4кВ</v>
          </cell>
        </row>
        <row r="2">
          <cell r="A2">
            <v>1</v>
          </cell>
          <cell r="B2" t="str">
            <v>100кВА</v>
          </cell>
          <cell r="C2">
            <v>16.2</v>
          </cell>
        </row>
        <row r="3">
          <cell r="A3">
            <v>2</v>
          </cell>
          <cell r="B3" t="str">
            <v>160кВА</v>
          </cell>
          <cell r="C3">
            <v>9.68</v>
          </cell>
        </row>
        <row r="4">
          <cell r="A4">
            <v>3</v>
          </cell>
          <cell r="B4" t="str">
            <v>250кВА</v>
          </cell>
          <cell r="C4">
            <v>6.48</v>
          </cell>
        </row>
        <row r="5">
          <cell r="A5">
            <v>4</v>
          </cell>
          <cell r="B5" t="str">
            <v>400кВА</v>
          </cell>
          <cell r="C5">
            <v>4.5</v>
          </cell>
        </row>
        <row r="6">
          <cell r="A6">
            <v>5</v>
          </cell>
          <cell r="B6" t="str">
            <v>630кВА</v>
          </cell>
          <cell r="C6">
            <v>2.86</v>
          </cell>
        </row>
        <row r="7">
          <cell r="A7">
            <v>6</v>
          </cell>
          <cell r="B7" t="str">
            <v>1000кВА</v>
          </cell>
          <cell r="C7">
            <v>1.98</v>
          </cell>
        </row>
        <row r="8">
          <cell r="A8">
            <v>7</v>
          </cell>
          <cell r="B8" t="str">
            <v>40кВА</v>
          </cell>
          <cell r="C8">
            <v>4.3</v>
          </cell>
        </row>
        <row r="9">
          <cell r="A9">
            <v>8</v>
          </cell>
          <cell r="B9" t="str">
            <v>1600кВА</v>
          </cell>
          <cell r="C9">
            <v>1.08</v>
          </cell>
        </row>
        <row r="10">
          <cell r="A10">
            <v>9</v>
          </cell>
          <cell r="B10" t="str">
            <v>1250кВА</v>
          </cell>
          <cell r="C10">
            <v>1.58</v>
          </cell>
        </row>
        <row r="11">
          <cell r="A11">
            <v>10</v>
          </cell>
          <cell r="B11">
            <v>3200</v>
          </cell>
          <cell r="C11">
            <v>0.67</v>
          </cell>
        </row>
        <row r="12">
          <cell r="A12">
            <v>11</v>
          </cell>
          <cell r="B12">
            <v>2500</v>
          </cell>
          <cell r="C12">
            <v>0.84</v>
          </cell>
        </row>
      </sheetData>
      <sheetData sheetId="5"/>
      <sheetData sheetId="6"/>
      <sheetData sheetId="7">
        <row r="1">
          <cell r="C1" t="str">
            <v>МТО</v>
          </cell>
          <cell r="D1" t="str">
            <v>МТЗ</v>
          </cell>
        </row>
        <row r="2">
          <cell r="A2">
            <v>1</v>
          </cell>
          <cell r="B2" t="str">
            <v>РТ40,RI-80</v>
          </cell>
          <cell r="C2">
            <v>1.3</v>
          </cell>
          <cell r="D2">
            <v>3.5</v>
          </cell>
          <cell r="E2" t="str">
            <v>Кратности нет</v>
          </cell>
          <cell r="F2" t="str">
            <v>РТ40</v>
          </cell>
        </row>
        <row r="3">
          <cell r="A3">
            <v>2</v>
          </cell>
          <cell r="B3" t="str">
            <v>РТ80</v>
          </cell>
          <cell r="C3">
            <v>1.6</v>
          </cell>
          <cell r="D3">
            <v>4.5</v>
          </cell>
          <cell r="E3" t="str">
            <v>При 3-х крат.</v>
          </cell>
          <cell r="F3" t="str">
            <v>РТ80</v>
          </cell>
        </row>
        <row r="4">
          <cell r="A4">
            <v>3</v>
          </cell>
          <cell r="B4" t="str">
            <v>РТ40-СТД_двиг</v>
          </cell>
          <cell r="C4">
            <v>1.8</v>
          </cell>
          <cell r="D4">
            <v>1.5</v>
          </cell>
          <cell r="E4" t="str">
            <v>СТД</v>
          </cell>
          <cell r="F4" t="str">
            <v>РТ40</v>
          </cell>
        </row>
        <row r="5">
          <cell r="A5">
            <v>4</v>
          </cell>
          <cell r="B5" t="str">
            <v>РТ40-АД_двиг</v>
          </cell>
          <cell r="C5">
            <v>1.5</v>
          </cell>
          <cell r="D5">
            <v>1.5</v>
          </cell>
          <cell r="E5" t="str">
            <v>АД</v>
          </cell>
          <cell r="F5" t="str">
            <v>РТ40</v>
          </cell>
        </row>
        <row r="6">
          <cell r="A6">
            <v>5</v>
          </cell>
          <cell r="B6" t="str">
            <v>РТ80-АД_двиг</v>
          </cell>
          <cell r="C6">
            <v>1.8</v>
          </cell>
          <cell r="D6">
            <v>1.5</v>
          </cell>
          <cell r="E6" t="str">
            <v>АД</v>
          </cell>
          <cell r="F6" t="str">
            <v>РТ80</v>
          </cell>
        </row>
        <row r="7">
          <cell r="A7">
            <v>6</v>
          </cell>
          <cell r="B7" t="str">
            <v>МПУ</v>
          </cell>
          <cell r="C7">
            <v>1.1499999999999999</v>
          </cell>
          <cell r="D7">
            <v>3</v>
          </cell>
          <cell r="E7" t="str">
            <v>Кратности нет</v>
          </cell>
          <cell r="F7" t="str">
            <v>цифровое</v>
          </cell>
        </row>
        <row r="8">
          <cell r="A8">
            <v>7</v>
          </cell>
          <cell r="B8" t="str">
            <v>РТ40 БСК</v>
          </cell>
          <cell r="C8">
            <v>1.5</v>
          </cell>
          <cell r="D8">
            <v>3.5</v>
          </cell>
          <cell r="E8" t="str">
            <v>Кратности нет</v>
          </cell>
          <cell r="F8" t="str">
            <v>РТ40</v>
          </cell>
        </row>
        <row r="9">
          <cell r="A9">
            <v>8</v>
          </cell>
          <cell r="B9" t="str">
            <v>МПУ БСК</v>
          </cell>
          <cell r="C9">
            <v>1.3</v>
          </cell>
          <cell r="D9">
            <v>3.5</v>
          </cell>
          <cell r="E9" t="str">
            <v>Кратности нет</v>
          </cell>
          <cell r="F9" t="str">
            <v>цифровое</v>
          </cell>
        </row>
        <row r="10">
          <cell r="A10">
            <v>9</v>
          </cell>
          <cell r="B10" t="str">
            <v>МПУ-Д</v>
          </cell>
          <cell r="C10">
            <v>1.5</v>
          </cell>
          <cell r="D10">
            <v>1.4</v>
          </cell>
          <cell r="E10" t="str">
            <v>Кратности нет</v>
          </cell>
          <cell r="F10" t="str">
            <v>цифровое</v>
          </cell>
        </row>
      </sheetData>
      <sheetData sheetId="8"/>
      <sheetData sheetId="9">
        <row r="2">
          <cell r="A2">
            <v>1</v>
          </cell>
          <cell r="B2" t="str">
            <v>№1</v>
          </cell>
          <cell r="C2" t="str">
            <v>Атавову А.А.</v>
          </cell>
        </row>
        <row r="3">
          <cell r="A3">
            <v>2</v>
          </cell>
          <cell r="B3" t="str">
            <v>№2</v>
          </cell>
          <cell r="C3" t="str">
            <v>Винокурову Р.И.</v>
          </cell>
        </row>
        <row r="4">
          <cell r="A4">
            <v>3</v>
          </cell>
          <cell r="B4" t="str">
            <v>№3</v>
          </cell>
          <cell r="C4" t="str">
            <v>Макарову А.Б.</v>
          </cell>
        </row>
        <row r="5">
          <cell r="A5">
            <v>4</v>
          </cell>
          <cell r="B5" t="str">
            <v>№4</v>
          </cell>
          <cell r="C5" t="str">
            <v>Левину Е.В</v>
          </cell>
        </row>
        <row r="6">
          <cell r="A6">
            <v>5</v>
          </cell>
          <cell r="B6" t="str">
            <v>№5</v>
          </cell>
          <cell r="C6" t="str">
            <v>Хайруллин Р.Ф.</v>
          </cell>
        </row>
        <row r="7">
          <cell r="A7">
            <v>6</v>
          </cell>
          <cell r="B7" t="str">
            <v>№6</v>
          </cell>
          <cell r="C7" t="str">
            <v>Шабров Е.Н.</v>
          </cell>
        </row>
        <row r="8">
          <cell r="A8">
            <v>7</v>
          </cell>
          <cell r="B8" t="str">
            <v>№7</v>
          </cell>
          <cell r="C8" t="str">
            <v>Зайцеву С.Г.</v>
          </cell>
        </row>
        <row r="9">
          <cell r="A9">
            <v>8</v>
          </cell>
          <cell r="B9" t="str">
            <v>№8</v>
          </cell>
          <cell r="C9" t="str">
            <v>Баркову А.А.</v>
          </cell>
        </row>
        <row r="10">
          <cell r="A10">
            <v>9</v>
          </cell>
          <cell r="B10" t="str">
            <v>№9</v>
          </cell>
          <cell r="C10" t="str">
            <v>Уразову Т.Р.</v>
          </cell>
        </row>
        <row r="11">
          <cell r="A11">
            <v>10</v>
          </cell>
          <cell r="B11" t="str">
            <v>№10</v>
          </cell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D5B8D-FB94-469B-A093-D2B621C32D3C}">
  <sheetPr codeName="Лист1"/>
  <dimension ref="A1:AB50"/>
  <sheetViews>
    <sheetView view="pageBreakPreview" zoomScale="80" zoomScaleNormal="82" zoomScaleSheetLayoutView="80" workbookViewId="0">
      <selection activeCell="P42" sqref="P42"/>
    </sheetView>
  </sheetViews>
  <sheetFormatPr defaultRowHeight="12.75"/>
  <cols>
    <col min="1" max="1" width="11.85546875" customWidth="1"/>
    <col min="2" max="2" width="12.28515625" customWidth="1"/>
    <col min="3" max="3" width="11.7109375" customWidth="1"/>
    <col min="4" max="4" width="7.85546875" customWidth="1"/>
    <col min="5" max="6" width="5" customWidth="1"/>
    <col min="7" max="7" width="0.5703125" customWidth="1"/>
    <col min="8" max="8" width="4.7109375" customWidth="1"/>
    <col min="9" max="9" width="10.42578125" customWidth="1"/>
    <col min="10" max="10" width="11.140625" bestFit="1" customWidth="1"/>
    <col min="11" max="11" width="13.85546875" customWidth="1"/>
    <col min="12" max="12" width="10" customWidth="1"/>
    <col min="13" max="13" width="3.85546875" customWidth="1"/>
    <col min="15" max="15" width="10.85546875" customWidth="1"/>
  </cols>
  <sheetData>
    <row r="1" spans="1:28" s="96" customFormat="1" ht="20.100000000000001" customHeight="1">
      <c r="A1" s="99" t="s">
        <v>128</v>
      </c>
      <c r="B1" s="98"/>
      <c r="C1" s="126">
        <v>8</v>
      </c>
      <c r="D1" s="121"/>
      <c r="E1" s="98"/>
      <c r="F1" s="98"/>
      <c r="G1" s="98"/>
      <c r="H1" s="223" t="s">
        <v>109</v>
      </c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  <c r="AA1" s="224"/>
      <c r="AB1" s="225"/>
    </row>
    <row r="2" spans="1:28" s="96" customFormat="1" ht="20.100000000000001" customHeight="1">
      <c r="A2" s="100" t="s">
        <v>108</v>
      </c>
      <c r="B2" s="128" t="s">
        <v>153</v>
      </c>
      <c r="E2" s="97"/>
      <c r="F2" s="97"/>
      <c r="G2" s="97"/>
      <c r="H2" s="226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8"/>
    </row>
    <row r="3" spans="1:28" s="96" customFormat="1" ht="20.100000000000001" customHeight="1" thickBot="1">
      <c r="A3" s="100" t="s">
        <v>106</v>
      </c>
      <c r="B3" s="97"/>
      <c r="C3" s="134" t="s">
        <v>154</v>
      </c>
      <c r="E3" s="97"/>
      <c r="F3" s="97"/>
      <c r="G3" s="97"/>
      <c r="H3" s="229"/>
      <c r="I3" s="227"/>
      <c r="J3" s="227"/>
      <c r="K3" s="227"/>
      <c r="L3" s="227"/>
      <c r="M3" s="227"/>
      <c r="N3" s="230"/>
      <c r="O3" s="230"/>
      <c r="P3" s="230"/>
      <c r="Q3" s="230"/>
      <c r="R3" s="230"/>
      <c r="S3" s="230"/>
      <c r="T3" s="230"/>
      <c r="U3" s="230"/>
      <c r="V3" s="230"/>
      <c r="W3" s="230"/>
      <c r="X3" s="230"/>
      <c r="Y3" s="230"/>
      <c r="Z3" s="230"/>
      <c r="AA3" s="230"/>
      <c r="AB3" s="231"/>
    </row>
    <row r="4" spans="1:28" ht="15.75" customHeight="1" thickBot="1">
      <c r="A4" s="253" t="s">
        <v>6</v>
      </c>
      <c r="B4" s="132"/>
      <c r="C4" s="5"/>
      <c r="D4" s="137" t="s">
        <v>137</v>
      </c>
      <c r="E4" s="135" t="s">
        <v>134</v>
      </c>
      <c r="F4" s="140" t="s">
        <v>0</v>
      </c>
      <c r="H4" s="256" t="s">
        <v>55</v>
      </c>
      <c r="I4" s="212"/>
      <c r="J4" s="213"/>
      <c r="K4" s="213"/>
      <c r="L4" s="247" t="s">
        <v>140</v>
      </c>
      <c r="M4" s="248"/>
    </row>
    <row r="5" spans="1:28" ht="15.75" customHeight="1" thickBot="1">
      <c r="A5" s="254"/>
      <c r="B5" s="136"/>
      <c r="C5" s="9">
        <v>401</v>
      </c>
      <c r="D5" s="138" t="s">
        <v>138</v>
      </c>
      <c r="E5" s="144">
        <f>VLOOKUP(C5,[1]Реактансы!$A$2:$D$450,3)</f>
        <v>0.73</v>
      </c>
      <c r="F5" s="145">
        <f>VLOOKUP(C5,[1]Реактансы!$A$2:$D$450,4)</f>
        <v>0.57499999999999996</v>
      </c>
      <c r="H5" s="257"/>
      <c r="I5" s="170">
        <v>250</v>
      </c>
      <c r="J5" s="171"/>
      <c r="K5" s="171"/>
      <c r="L5" s="249"/>
      <c r="M5" s="250"/>
    </row>
    <row r="6" spans="1:28" ht="15.75" customHeight="1" thickBot="1">
      <c r="A6" s="255"/>
      <c r="B6" s="133"/>
      <c r="C6" s="9"/>
      <c r="D6" s="139" t="s">
        <v>139</v>
      </c>
      <c r="E6" s="146" t="str">
        <f>IF(VLOOKUP(C5,[1]Реактансы!$A$2:$K$450,10)&gt;0,VLOOKUP(C5,[1]Реактансы!$A$2:$K$450,10),"---")</f>
        <v>---</v>
      </c>
      <c r="F6" s="143" t="str">
        <f>IF(VLOOKUP(C5,[1]Реактансы!$A$2:$K$450,11)&gt;0,VLOOKUP(C5,[1]Реактансы!$A$2:$K$450,11),"---")</f>
        <v>---</v>
      </c>
      <c r="H6" s="257"/>
      <c r="I6" s="170"/>
      <c r="J6" s="171"/>
      <c r="K6" s="171"/>
      <c r="L6" s="249"/>
      <c r="M6" s="250"/>
    </row>
    <row r="7" spans="1:28" ht="13.5" customHeight="1" thickBot="1">
      <c r="H7" s="257"/>
      <c r="I7" s="197"/>
      <c r="J7" s="208"/>
      <c r="K7" s="208"/>
      <c r="L7" s="249"/>
      <c r="M7" s="250"/>
    </row>
    <row r="8" spans="1:28" ht="15" customHeight="1" thickBot="1">
      <c r="A8" s="217" t="s">
        <v>64</v>
      </c>
      <c r="B8" s="218"/>
      <c r="C8" s="219"/>
      <c r="D8" s="131" t="s">
        <v>5</v>
      </c>
      <c r="E8" s="129" t="s">
        <v>135</v>
      </c>
      <c r="F8" s="130" t="s">
        <v>136</v>
      </c>
      <c r="H8" s="257"/>
      <c r="I8" s="197"/>
      <c r="J8" s="208"/>
      <c r="K8" s="208"/>
      <c r="L8" s="249"/>
      <c r="M8" s="250"/>
    </row>
    <row r="9" spans="1:28" ht="19.5" customHeight="1" thickBot="1">
      <c r="A9" s="66" t="s">
        <v>3</v>
      </c>
      <c r="C9" s="88">
        <v>1</v>
      </c>
      <c r="D9" s="94">
        <v>1</v>
      </c>
      <c r="E9" s="13">
        <f>VLOOKUP(C9,[1]Провода!$A$1:$E$27,3)</f>
        <v>1.1399999999999999</v>
      </c>
      <c r="F9" s="11">
        <f>VLOOKUP(C9,[1]Провода!$A$1:$E$27,4)</f>
        <v>0.4</v>
      </c>
      <c r="H9" s="257"/>
      <c r="I9" s="214"/>
      <c r="J9" s="215"/>
      <c r="K9" s="215"/>
      <c r="L9" s="251">
        <f>SUM(I4:K9)</f>
        <v>250</v>
      </c>
      <c r="M9" s="252"/>
    </row>
    <row r="10" spans="1:28" ht="19.5" customHeight="1" thickBot="1">
      <c r="A10" s="66" t="s">
        <v>4</v>
      </c>
      <c r="C10" s="88">
        <v>1</v>
      </c>
      <c r="D10" s="95">
        <v>1</v>
      </c>
      <c r="E10" s="13">
        <f>VLOOKUP(C10,[1]Кабели!$A$1:$E$68,3)</f>
        <v>3.1</v>
      </c>
      <c r="F10" s="11">
        <f>VLOOKUP(C10,[1]Кабели!$A$1:$E$68,4)</f>
        <v>0.11</v>
      </c>
      <c r="H10" s="257"/>
      <c r="I10" s="209" t="s">
        <v>36</v>
      </c>
      <c r="J10" s="206">
        <f>L9/10.38</f>
        <v>24.084778420038536</v>
      </c>
      <c r="K10" s="207" t="s">
        <v>144</v>
      </c>
      <c r="L10" s="147"/>
      <c r="M10" s="141"/>
    </row>
    <row r="11" spans="1:28" ht="15" customHeight="1" thickBot="1">
      <c r="A11" s="220" t="s">
        <v>65</v>
      </c>
      <c r="B11" s="221"/>
      <c r="C11" s="222"/>
      <c r="D11" s="131" t="s">
        <v>5</v>
      </c>
      <c r="E11" s="129" t="s">
        <v>135</v>
      </c>
      <c r="F11" s="130" t="s">
        <v>136</v>
      </c>
      <c r="H11" s="257"/>
      <c r="I11" s="210" t="s">
        <v>46</v>
      </c>
      <c r="J11" s="169">
        <f>0.7*J10</f>
        <v>16.859344894026975</v>
      </c>
      <c r="K11" s="180" t="s">
        <v>144</v>
      </c>
      <c r="L11" s="147"/>
      <c r="M11" s="141"/>
    </row>
    <row r="12" spans="1:28" ht="19.5" customHeight="1" thickBot="1">
      <c r="A12" s="66" t="s">
        <v>3</v>
      </c>
      <c r="C12" s="88">
        <v>1</v>
      </c>
      <c r="D12" s="94">
        <v>1</v>
      </c>
      <c r="E12" s="13">
        <f>VLOOKUP(C12,[1]Провода!$A$1:$E$27,3)</f>
        <v>1.1399999999999999</v>
      </c>
      <c r="F12" s="11">
        <f>VLOOKUP(C12,[1]Провода!$A$1:$E$27,4)</f>
        <v>0.4</v>
      </c>
      <c r="H12" s="258"/>
      <c r="I12" s="211" t="s">
        <v>37</v>
      </c>
      <c r="J12" s="198">
        <v>22</v>
      </c>
      <c r="K12" s="181" t="s">
        <v>144</v>
      </c>
      <c r="L12" s="148"/>
      <c r="M12" s="142"/>
    </row>
    <row r="13" spans="1:28" ht="19.5" customHeight="1" thickBot="1">
      <c r="A13" s="66" t="s">
        <v>4</v>
      </c>
      <c r="C13" s="88">
        <v>1</v>
      </c>
      <c r="D13" s="95">
        <v>1</v>
      </c>
      <c r="E13" s="13">
        <f>VLOOKUP(C13,[1]Кабели!$A$1:$E$68,3)</f>
        <v>3.1</v>
      </c>
      <c r="F13" s="11">
        <f>VLOOKUP(C13,[1]Кабели!$A$1:$E$68,4)</f>
        <v>0.11</v>
      </c>
    </row>
    <row r="14" spans="1:28" ht="15" customHeight="1" thickBot="1">
      <c r="A14" s="220" t="s">
        <v>66</v>
      </c>
      <c r="B14" s="221"/>
      <c r="C14" s="222"/>
      <c r="D14" s="131" t="s">
        <v>5</v>
      </c>
      <c r="E14" s="129" t="s">
        <v>135</v>
      </c>
      <c r="F14" s="130" t="s">
        <v>136</v>
      </c>
      <c r="H14" s="312" t="s">
        <v>39</v>
      </c>
      <c r="I14" s="313"/>
      <c r="J14" s="313"/>
      <c r="K14" s="313"/>
      <c r="L14" s="291" t="s">
        <v>75</v>
      </c>
    </row>
    <row r="15" spans="1:28" ht="19.5" customHeight="1" thickBot="1">
      <c r="A15" s="66" t="s">
        <v>3</v>
      </c>
      <c r="C15" s="88">
        <v>1</v>
      </c>
      <c r="D15" s="94">
        <v>1</v>
      </c>
      <c r="E15" s="13">
        <f>VLOOKUP(C15,[1]Провода!$A$1:$E$27,3)</f>
        <v>1.1399999999999999</v>
      </c>
      <c r="F15" s="11">
        <f>VLOOKUP(C15,[1]Провода!$A$1:$E$27,4)</f>
        <v>0.4</v>
      </c>
      <c r="H15" s="314"/>
      <c r="I15" s="315"/>
      <c r="J15" s="315"/>
      <c r="K15" s="315"/>
      <c r="L15" s="292"/>
    </row>
    <row r="16" spans="1:28" ht="19.5" customHeight="1" thickBot="1">
      <c r="A16" s="66" t="s">
        <v>4</v>
      </c>
      <c r="C16" s="88">
        <v>1</v>
      </c>
      <c r="D16" s="95">
        <v>1</v>
      </c>
      <c r="E16" s="13">
        <f>VLOOKUP(C16,[1]Кабели!$A$1:$E$68,3)</f>
        <v>3.1</v>
      </c>
      <c r="F16" s="11">
        <f>VLOOKUP(C16,[1]Кабели!$A$1:$E$68,4)</f>
        <v>0.11</v>
      </c>
      <c r="H16" s="7"/>
      <c r="K16" s="89">
        <v>6</v>
      </c>
      <c r="L16" s="292"/>
    </row>
    <row r="17" spans="1:13" ht="15" customHeight="1" thickBot="1">
      <c r="A17" s="220" t="s">
        <v>67</v>
      </c>
      <c r="B17" s="221"/>
      <c r="C17" s="222"/>
      <c r="D17" s="131" t="s">
        <v>5</v>
      </c>
      <c r="E17" s="129" t="s">
        <v>135</v>
      </c>
      <c r="F17" s="130" t="s">
        <v>136</v>
      </c>
      <c r="H17" s="7"/>
      <c r="L17" s="292"/>
    </row>
    <row r="18" spans="1:13" ht="19.5" customHeight="1">
      <c r="A18" s="66" t="s">
        <v>3</v>
      </c>
      <c r="C18" s="88">
        <v>1</v>
      </c>
      <c r="D18" s="94">
        <v>1</v>
      </c>
      <c r="E18" s="13">
        <f>VLOOKUP(C18,[1]Провода!$A$1:$E$27,3)</f>
        <v>1.1399999999999999</v>
      </c>
      <c r="F18" s="11">
        <f>VLOOKUP(C18,[1]Провода!$A$1:$E$27,4)</f>
        <v>0.4</v>
      </c>
      <c r="H18" s="7"/>
      <c r="L18" s="292"/>
    </row>
    <row r="19" spans="1:13" ht="19.5" customHeight="1" thickBot="1">
      <c r="A19" s="172" t="s">
        <v>4</v>
      </c>
      <c r="B19" s="9"/>
      <c r="C19" s="87">
        <v>1</v>
      </c>
      <c r="D19" s="173">
        <v>1</v>
      </c>
      <c r="E19" s="14">
        <f>VLOOKUP(C19,[1]Кабели!$A$1:$E$68,3)</f>
        <v>3.1</v>
      </c>
      <c r="F19" s="12">
        <f>VLOOKUP(C19,[1]Кабели!$A$1:$E$68,4)</f>
        <v>0.11</v>
      </c>
      <c r="H19" s="316" t="s">
        <v>40</v>
      </c>
      <c r="I19" s="317"/>
      <c r="J19" s="317"/>
      <c r="K19" s="317"/>
      <c r="L19" s="57">
        <f>VLOOKUP(K16,[1]Реле!$A$1:$D$10,4)</f>
        <v>3</v>
      </c>
    </row>
    <row r="20" spans="1:13" ht="13.5" thickBot="1">
      <c r="A20" s="303" t="s">
        <v>56</v>
      </c>
      <c r="B20" s="304"/>
      <c r="C20" s="304"/>
      <c r="D20" s="60">
        <f>SUM(D9:D19)</f>
        <v>8</v>
      </c>
      <c r="H20" s="232" t="s">
        <v>41</v>
      </c>
      <c r="I20" s="233"/>
      <c r="J20" s="233"/>
      <c r="K20" s="233"/>
      <c r="L20" s="58">
        <f>VLOOKUP(K16,[1]Реле!$A$1:$D$10,3)</f>
        <v>1.1499999999999999</v>
      </c>
    </row>
    <row r="21" spans="1:13" ht="13.5" customHeight="1" thickBot="1"/>
    <row r="22" spans="1:13" ht="12.75" customHeight="1">
      <c r="A22" s="318" t="s">
        <v>38</v>
      </c>
      <c r="B22" s="319"/>
      <c r="C22" s="319"/>
      <c r="D22" s="320"/>
      <c r="E22" s="309" t="s">
        <v>143</v>
      </c>
      <c r="H22" s="235" t="s">
        <v>50</v>
      </c>
      <c r="I22" s="236"/>
      <c r="J22" s="236"/>
      <c r="K22" s="236"/>
      <c r="L22" s="236"/>
      <c r="M22" s="237"/>
    </row>
    <row r="23" spans="1:13" ht="15" customHeight="1">
      <c r="A23" s="321"/>
      <c r="B23" s="322"/>
      <c r="C23" s="322"/>
      <c r="D23" s="323"/>
      <c r="E23" s="310"/>
      <c r="H23" s="238"/>
      <c r="I23" s="239"/>
      <c r="J23" s="239"/>
      <c r="K23" s="239"/>
      <c r="L23" s="239"/>
      <c r="M23" s="240"/>
    </row>
    <row r="24" spans="1:13" ht="19.5" thickBot="1">
      <c r="A24" s="324"/>
      <c r="B24" s="325"/>
      <c r="C24" s="325"/>
      <c r="D24" s="326"/>
      <c r="E24" s="311"/>
      <c r="H24" s="241" t="s">
        <v>51</v>
      </c>
      <c r="I24" s="242"/>
      <c r="J24" s="242"/>
      <c r="K24" s="68">
        <f>IFERROR('1'!B44*L20,"---")</f>
        <v>113.40292587610691</v>
      </c>
      <c r="L24" s="179" t="str">
        <f>IFERROR('1'!P44*L20,"---")</f>
        <v>---</v>
      </c>
      <c r="M24" s="182" t="s">
        <v>31</v>
      </c>
    </row>
    <row r="25" spans="1:13" ht="19.5" thickBot="1">
      <c r="A25" s="7"/>
      <c r="D25" s="8"/>
      <c r="E25" s="56"/>
      <c r="H25" s="241" t="s">
        <v>52</v>
      </c>
      <c r="I25" s="242"/>
      <c r="J25" s="242"/>
      <c r="K25" s="166">
        <f>J10*L19</f>
        <v>72.25433526011561</v>
      </c>
      <c r="L25" s="176"/>
      <c r="M25" s="182" t="s">
        <v>31</v>
      </c>
    </row>
    <row r="26" spans="1:13" ht="17.25" customHeight="1" thickBot="1">
      <c r="A26" s="65"/>
      <c r="B26" s="67"/>
      <c r="C26" s="9"/>
      <c r="D26" s="87">
        <v>2</v>
      </c>
      <c r="E26" s="59">
        <f>VLOOKUP(D26,[1]Трансформаторы!$A$1:$C$12,3)</f>
        <v>9.68</v>
      </c>
      <c r="H26" s="244" t="s">
        <v>57</v>
      </c>
      <c r="I26" s="245"/>
      <c r="J26" s="245"/>
      <c r="K26" s="168">
        <v>20</v>
      </c>
      <c r="L26" s="175"/>
      <c r="M26" s="183" t="s">
        <v>31</v>
      </c>
    </row>
    <row r="27" spans="1:13" ht="15" customHeight="1" thickBot="1">
      <c r="A27" s="217" t="s">
        <v>64</v>
      </c>
      <c r="B27" s="218"/>
      <c r="C27" s="219"/>
      <c r="D27" s="131" t="s">
        <v>5</v>
      </c>
      <c r="E27" s="129" t="s">
        <v>135</v>
      </c>
      <c r="F27" s="130" t="s">
        <v>136</v>
      </c>
      <c r="H27" s="244" t="s">
        <v>59</v>
      </c>
      <c r="I27" s="245"/>
      <c r="J27" s="246">
        <v>0</v>
      </c>
      <c r="K27" s="246"/>
      <c r="L27" s="246"/>
      <c r="M27" s="141"/>
    </row>
    <row r="28" spans="1:13" ht="19.5" customHeight="1" thickBot="1">
      <c r="A28" s="66" t="s">
        <v>3</v>
      </c>
      <c r="C28" s="88">
        <v>1</v>
      </c>
      <c r="D28" s="94">
        <v>1</v>
      </c>
      <c r="E28" s="13">
        <f>VLOOKUP(C28,[1]Провода!$A$1:$E$27,3)</f>
        <v>1.1399999999999999</v>
      </c>
      <c r="F28" s="11">
        <f>VLOOKUP(C28,[1]Провода!$A$1:$E$27,4)</f>
        <v>0.4</v>
      </c>
      <c r="H28" s="300" t="s">
        <v>70</v>
      </c>
      <c r="I28" s="301"/>
      <c r="J28" s="302">
        <v>15</v>
      </c>
      <c r="K28" s="302"/>
      <c r="L28" s="302"/>
      <c r="M28" s="142"/>
    </row>
    <row r="29" spans="1:13" ht="19.5" customHeight="1" thickBot="1">
      <c r="A29" s="66" t="s">
        <v>4</v>
      </c>
      <c r="C29" s="88">
        <v>1</v>
      </c>
      <c r="D29" s="95">
        <v>1</v>
      </c>
      <c r="E29" s="13">
        <f>VLOOKUP(C29,[1]Кабели!$A$1:$E$68,3)</f>
        <v>3.1</v>
      </c>
      <c r="F29" s="11">
        <f>VLOOKUP(C29,[1]Кабели!$A$1:$E$68,4)</f>
        <v>0.11</v>
      </c>
      <c r="H29" s="235" t="s">
        <v>50</v>
      </c>
      <c r="I29" s="236"/>
      <c r="J29" s="236"/>
      <c r="K29" s="236"/>
      <c r="L29" s="236"/>
      <c r="M29" s="237"/>
    </row>
    <row r="30" spans="1:13" ht="15" customHeight="1" thickBot="1">
      <c r="A30" s="220" t="s">
        <v>65</v>
      </c>
      <c r="B30" s="221"/>
      <c r="C30" s="222"/>
      <c r="D30" s="131" t="s">
        <v>5</v>
      </c>
      <c r="E30" s="129" t="s">
        <v>135</v>
      </c>
      <c r="F30" s="130" t="s">
        <v>136</v>
      </c>
      <c r="H30" s="238"/>
      <c r="I30" s="239"/>
      <c r="J30" s="239"/>
      <c r="K30" s="239"/>
      <c r="L30" s="239"/>
      <c r="M30" s="240"/>
    </row>
    <row r="31" spans="1:13" ht="19.5" customHeight="1">
      <c r="A31" s="66" t="s">
        <v>3</v>
      </c>
      <c r="C31" s="88">
        <v>1</v>
      </c>
      <c r="D31" s="94">
        <v>1</v>
      </c>
      <c r="E31" s="13">
        <f>VLOOKUP(C31,[1]Провода!$A$1:$E$27,3)</f>
        <v>1.1399999999999999</v>
      </c>
      <c r="F31" s="11">
        <f>VLOOKUP(C31,[1]Провода!$A$1:$E$27,4)</f>
        <v>0.4</v>
      </c>
      <c r="H31" s="241" t="s">
        <v>53</v>
      </c>
      <c r="I31" s="242"/>
      <c r="J31" s="242"/>
      <c r="K31" s="68">
        <f>J11*1.5</f>
        <v>25.289017341040463</v>
      </c>
      <c r="L31" s="184" t="s">
        <v>31</v>
      </c>
      <c r="M31" s="8"/>
    </row>
    <row r="32" spans="1:13" ht="19.5" customHeight="1" thickBot="1">
      <c r="A32" s="66" t="s">
        <v>4</v>
      </c>
      <c r="C32" s="88">
        <v>1</v>
      </c>
      <c r="D32" s="95">
        <v>1</v>
      </c>
      <c r="E32" s="13">
        <f>VLOOKUP(C32,[1]Кабели!$A$1:$E$68,3)</f>
        <v>3.1</v>
      </c>
      <c r="F32" s="11">
        <f>VLOOKUP(C32,[1]Кабели!$A$1:$E$68,4)</f>
        <v>0.11</v>
      </c>
      <c r="H32" s="241" t="s">
        <v>54</v>
      </c>
      <c r="I32" s="242"/>
      <c r="J32" s="242"/>
      <c r="K32" s="166">
        <f>J12*1.5</f>
        <v>33</v>
      </c>
      <c r="L32" s="184" t="s">
        <v>31</v>
      </c>
      <c r="M32" s="8"/>
    </row>
    <row r="33" spans="1:28" ht="18.75" customHeight="1" thickBot="1">
      <c r="A33" s="220" t="s">
        <v>66</v>
      </c>
      <c r="B33" s="221"/>
      <c r="C33" s="222"/>
      <c r="D33" s="131" t="s">
        <v>5</v>
      </c>
      <c r="E33" s="129" t="s">
        <v>135</v>
      </c>
      <c r="F33" s="130" t="s">
        <v>136</v>
      </c>
      <c r="H33" s="244" t="s">
        <v>58</v>
      </c>
      <c r="I33" s="245"/>
      <c r="J33" s="245"/>
      <c r="K33" s="216">
        <v>20</v>
      </c>
      <c r="L33" s="185" t="s">
        <v>31</v>
      </c>
      <c r="M33" s="141"/>
    </row>
    <row r="34" spans="1:28" ht="19.5" customHeight="1">
      <c r="A34" s="66" t="s">
        <v>3</v>
      </c>
      <c r="C34" s="88">
        <v>1</v>
      </c>
      <c r="D34" s="94">
        <v>1</v>
      </c>
      <c r="E34" s="13">
        <f>VLOOKUP(C34,[1]Провода!$A$1:$E$27,3)</f>
        <v>1.1399999999999999</v>
      </c>
      <c r="F34" s="11">
        <f>VLOOKUP(C34,[1]Провода!$A$1:$E$27,4)</f>
        <v>0.4</v>
      </c>
      <c r="H34" s="244" t="s">
        <v>59</v>
      </c>
      <c r="I34" s="245"/>
      <c r="J34" s="174">
        <v>0.5</v>
      </c>
      <c r="K34" s="243" t="str">
        <f>VLOOKUP(K16,[1]Реле!$A$1:$E$9,5)</f>
        <v>Кратности нет</v>
      </c>
      <c r="L34" s="243"/>
      <c r="M34" s="141"/>
    </row>
    <row r="35" spans="1:28" ht="19.5" customHeight="1" thickBot="1">
      <c r="A35" s="66" t="s">
        <v>4</v>
      </c>
      <c r="C35" s="88">
        <v>1</v>
      </c>
      <c r="D35" s="95">
        <v>1</v>
      </c>
      <c r="E35" s="13">
        <f>VLOOKUP(C35,[1]Кабели!$A$1:$E$68,3)</f>
        <v>3.1</v>
      </c>
      <c r="F35" s="11">
        <f>VLOOKUP(C35,[1]Кабели!$A$1:$E$68,4)</f>
        <v>0.11</v>
      </c>
      <c r="H35" s="295" t="s">
        <v>77</v>
      </c>
      <c r="I35" s="296"/>
      <c r="J35" s="296"/>
      <c r="K35" s="272">
        <f>'1'!D30</f>
        <v>61.335494911531249</v>
      </c>
      <c r="L35" s="267" t="str">
        <f>IFERROR('1'!R30,"---")</f>
        <v>---</v>
      </c>
      <c r="M35" s="234" t="s">
        <v>31</v>
      </c>
    </row>
    <row r="36" spans="1:28" ht="15" customHeight="1" thickBot="1">
      <c r="A36" s="220" t="s">
        <v>67</v>
      </c>
      <c r="B36" s="221"/>
      <c r="C36" s="222"/>
      <c r="D36" s="131" t="s">
        <v>5</v>
      </c>
      <c r="E36" s="129" t="s">
        <v>135</v>
      </c>
      <c r="F36" s="130" t="s">
        <v>136</v>
      </c>
      <c r="H36" s="297"/>
      <c r="I36" s="296"/>
      <c r="J36" s="296"/>
      <c r="K36" s="272"/>
      <c r="L36" s="267"/>
      <c r="M36" s="234"/>
    </row>
    <row r="37" spans="1:28" ht="19.5" customHeight="1" thickBot="1">
      <c r="A37" s="66" t="s">
        <v>3</v>
      </c>
      <c r="C37" s="88">
        <v>1</v>
      </c>
      <c r="D37" s="94">
        <v>1</v>
      </c>
      <c r="E37" s="13">
        <f>VLOOKUP(C37,[1]Провода!$A$1:$E$27,3)</f>
        <v>1.1399999999999999</v>
      </c>
      <c r="F37" s="11">
        <f>VLOOKUP(C37,[1]Провода!$A$1:$E$27,4)</f>
        <v>0.4</v>
      </c>
      <c r="H37" s="268" t="s">
        <v>78</v>
      </c>
      <c r="I37" s="269"/>
      <c r="J37" s="269"/>
      <c r="K37" s="167">
        <f>'1'!B30</f>
        <v>92.003242367296878</v>
      </c>
      <c r="L37" s="178" t="str">
        <f>IFERROR('1'!P30,"---")</f>
        <v>---</v>
      </c>
      <c r="M37" s="186" t="s">
        <v>31</v>
      </c>
    </row>
    <row r="38" spans="1:28" ht="19.5" customHeight="1" thickBot="1">
      <c r="A38" s="66" t="s">
        <v>4</v>
      </c>
      <c r="C38" s="88">
        <v>1</v>
      </c>
      <c r="D38" s="95">
        <v>1</v>
      </c>
      <c r="E38" s="14">
        <f>VLOOKUP(C38,[1]Кабели!$A$1:$E$68,3)</f>
        <v>3.1</v>
      </c>
      <c r="F38" s="12">
        <f>VLOOKUP(C38,[1]Кабели!$A$1:$E$68,4)</f>
        <v>0.11</v>
      </c>
      <c r="H38" s="238" t="s">
        <v>50</v>
      </c>
      <c r="I38" s="239"/>
      <c r="J38" s="239"/>
      <c r="K38" s="239"/>
      <c r="L38" s="239"/>
      <c r="M38" s="240"/>
    </row>
    <row r="39" spans="1:28" ht="18" customHeight="1" thickBot="1">
      <c r="A39" s="286" t="s">
        <v>45</v>
      </c>
      <c r="B39" s="287"/>
      <c r="C39" s="287"/>
      <c r="D39" s="60">
        <f>SUM(D28:D38)</f>
        <v>8</v>
      </c>
      <c r="H39" s="273" t="s">
        <v>53</v>
      </c>
      <c r="I39" s="274"/>
      <c r="J39" s="274"/>
      <c r="K39" s="68"/>
      <c r="L39" s="184" t="s">
        <v>31</v>
      </c>
      <c r="M39" s="8"/>
    </row>
    <row r="40" spans="1:28" ht="20.25" customHeight="1" thickBot="1">
      <c r="H40" s="101" t="s">
        <v>110</v>
      </c>
      <c r="I40" s="102"/>
      <c r="J40" s="103"/>
      <c r="K40" s="90"/>
      <c r="L40" s="185" t="s">
        <v>31</v>
      </c>
      <c r="M40" s="141"/>
    </row>
    <row r="41" spans="1:28" ht="20.25" customHeight="1">
      <c r="H41" s="244" t="s">
        <v>59</v>
      </c>
      <c r="I41" s="245"/>
      <c r="J41" s="91"/>
      <c r="K41" s="103"/>
      <c r="L41" s="103"/>
      <c r="M41" s="141"/>
    </row>
    <row r="42" spans="1:28" ht="17.25" customHeight="1" thickBot="1">
      <c r="H42" s="150" t="s">
        <v>107</v>
      </c>
      <c r="I42" s="105"/>
      <c r="J42" s="104"/>
      <c r="K42" s="106" t="s">
        <v>111</v>
      </c>
      <c r="L42" s="104"/>
      <c r="M42" s="142"/>
    </row>
    <row r="43" spans="1:28" ht="18" customHeight="1">
      <c r="A43" s="42"/>
      <c r="B43" s="42"/>
      <c r="C43" s="42"/>
      <c r="D43" s="51"/>
      <c r="H43" s="253" t="s">
        <v>60</v>
      </c>
      <c r="I43" s="275"/>
      <c r="J43" s="275"/>
      <c r="K43" s="92">
        <v>300</v>
      </c>
      <c r="L43" s="149" t="s">
        <v>61</v>
      </c>
      <c r="M43" s="6"/>
    </row>
    <row r="44" spans="1:28" ht="18" customHeight="1" thickBot="1">
      <c r="A44" s="42"/>
      <c r="B44" s="42"/>
      <c r="C44" s="42"/>
      <c r="D44" s="51"/>
      <c r="H44" s="293" t="str">
        <f>IF(K43&gt;=J12,'1'!A69,'1'!A70)</f>
        <v>Т.Т. соответствует нагрузке</v>
      </c>
      <c r="I44" s="294"/>
      <c r="J44" s="294"/>
      <c r="K44" s="294"/>
      <c r="L44" s="294"/>
      <c r="M44" s="8"/>
    </row>
    <row r="45" spans="1:28" ht="12.75" customHeight="1">
      <c r="A45" s="202"/>
      <c r="B45" s="203"/>
      <c r="C45" s="203"/>
      <c r="D45" s="204"/>
      <c r="E45" s="205"/>
      <c r="F45" s="205"/>
      <c r="G45" s="205"/>
      <c r="H45" s="205"/>
      <c r="I45" s="205"/>
      <c r="J45" s="205"/>
      <c r="K45" s="305" t="s">
        <v>73</v>
      </c>
      <c r="L45" s="30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Y45" s="276"/>
      <c r="Z45" s="276"/>
      <c r="AA45" s="276"/>
      <c r="AB45" s="277"/>
    </row>
    <row r="46" spans="1:28" ht="23.25" customHeight="1">
      <c r="A46" s="288" t="s">
        <v>74</v>
      </c>
      <c r="B46" s="289"/>
      <c r="C46" s="200"/>
      <c r="D46" s="290" t="s">
        <v>71</v>
      </c>
      <c r="E46" s="290"/>
      <c r="F46" s="290"/>
      <c r="G46" s="201"/>
      <c r="H46" s="70"/>
      <c r="I46" s="70"/>
      <c r="J46" s="199"/>
      <c r="K46" s="307"/>
      <c r="L46" s="308"/>
      <c r="M46" s="278"/>
      <c r="N46" s="278"/>
      <c r="O46" s="278"/>
      <c r="P46" s="278"/>
      <c r="Q46" s="278"/>
      <c r="R46" s="278"/>
      <c r="S46" s="278"/>
      <c r="T46" s="278"/>
      <c r="U46" s="278"/>
      <c r="V46" s="278"/>
      <c r="W46" s="278"/>
      <c r="X46" s="278"/>
      <c r="Y46" s="278"/>
      <c r="Z46" s="278"/>
      <c r="AA46" s="278"/>
      <c r="AB46" s="279"/>
    </row>
    <row r="47" spans="1:28" ht="21" customHeight="1">
      <c r="A47" s="62"/>
      <c r="B47" s="93">
        <v>2</v>
      </c>
      <c r="C47" s="199"/>
      <c r="D47" s="298">
        <f ca="1">TODAY()</f>
        <v>46117</v>
      </c>
      <c r="E47" s="298"/>
      <c r="F47" s="298"/>
      <c r="G47" s="298"/>
      <c r="H47" s="265" t="s">
        <v>76</v>
      </c>
      <c r="I47" s="265"/>
      <c r="J47" s="265"/>
      <c r="K47" s="7"/>
      <c r="M47" s="278"/>
      <c r="N47" s="278"/>
      <c r="O47" s="278"/>
      <c r="P47" s="278"/>
      <c r="Q47" s="278"/>
      <c r="R47" s="278"/>
      <c r="S47" s="278"/>
      <c r="T47" s="278"/>
      <c r="U47" s="278"/>
      <c r="V47" s="278"/>
      <c r="W47" s="278"/>
      <c r="X47" s="278"/>
      <c r="Y47" s="278"/>
      <c r="Z47" s="278"/>
      <c r="AA47" s="278"/>
      <c r="AB47" s="279"/>
    </row>
    <row r="48" spans="1:28" ht="21" customHeight="1" thickBot="1">
      <c r="A48" s="63"/>
      <c r="B48" s="64"/>
      <c r="C48" s="64"/>
      <c r="D48" s="299"/>
      <c r="E48" s="299"/>
      <c r="F48" s="299"/>
      <c r="G48" s="299"/>
      <c r="H48" s="266"/>
      <c r="I48" s="266"/>
      <c r="J48" s="266"/>
      <c r="K48" s="7"/>
      <c r="M48" s="278"/>
      <c r="N48" s="278"/>
      <c r="O48" s="278"/>
      <c r="P48" s="278"/>
      <c r="Q48" s="278"/>
      <c r="R48" s="278"/>
      <c r="S48" s="278"/>
      <c r="T48" s="278"/>
      <c r="U48" s="278"/>
      <c r="V48" s="278"/>
      <c r="W48" s="278"/>
      <c r="X48" s="278"/>
      <c r="Y48" s="278"/>
      <c r="Z48" s="278"/>
      <c r="AA48" s="278"/>
      <c r="AB48" s="279"/>
    </row>
    <row r="49" spans="1:28" ht="21" customHeight="1">
      <c r="A49" s="280" t="s">
        <v>155</v>
      </c>
      <c r="B49" s="284" t="s">
        <v>152</v>
      </c>
      <c r="C49" s="282" t="s">
        <v>72</v>
      </c>
      <c r="D49" s="270">
        <v>46085</v>
      </c>
      <c r="E49" s="270"/>
      <c r="F49" s="270"/>
      <c r="G49" s="270"/>
      <c r="H49" s="270"/>
      <c r="I49" s="270"/>
      <c r="J49" s="270"/>
      <c r="K49" s="7"/>
      <c r="W49" s="259" t="s">
        <v>147</v>
      </c>
      <c r="X49" s="260"/>
      <c r="Y49" s="260"/>
      <c r="Z49" s="260"/>
      <c r="AA49" s="260"/>
      <c r="AB49" s="261"/>
    </row>
    <row r="50" spans="1:28" ht="21" customHeight="1" thickBot="1">
      <c r="A50" s="281"/>
      <c r="B50" s="285"/>
      <c r="C50" s="283"/>
      <c r="D50" s="271"/>
      <c r="E50" s="271"/>
      <c r="F50" s="271"/>
      <c r="G50" s="271"/>
      <c r="H50" s="271"/>
      <c r="I50" s="271"/>
      <c r="J50" s="271"/>
      <c r="K50" s="65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262"/>
      <c r="X50" s="263"/>
      <c r="Y50" s="263"/>
      <c r="Z50" s="263"/>
      <c r="AA50" s="263"/>
      <c r="AB50" s="264"/>
    </row>
  </sheetData>
  <mergeCells count="56">
    <mergeCell ref="L14:L18"/>
    <mergeCell ref="A17:C17"/>
    <mergeCell ref="H44:L44"/>
    <mergeCell ref="H35:J36"/>
    <mergeCell ref="D47:G48"/>
    <mergeCell ref="H28:I28"/>
    <mergeCell ref="J28:L28"/>
    <mergeCell ref="A20:C20"/>
    <mergeCell ref="H34:I34"/>
    <mergeCell ref="K45:L46"/>
    <mergeCell ref="H24:J24"/>
    <mergeCell ref="A14:C14"/>
    <mergeCell ref="E22:E24"/>
    <mergeCell ref="H14:K15"/>
    <mergeCell ref="H19:K19"/>
    <mergeCell ref="A22:D24"/>
    <mergeCell ref="H31:J31"/>
    <mergeCell ref="H32:J32"/>
    <mergeCell ref="B49:B50"/>
    <mergeCell ref="A39:C39"/>
    <mergeCell ref="H41:I41"/>
    <mergeCell ref="A46:B46"/>
    <mergeCell ref="D46:F46"/>
    <mergeCell ref="A36:C36"/>
    <mergeCell ref="A30:C30"/>
    <mergeCell ref="H4:H12"/>
    <mergeCell ref="W49:AB50"/>
    <mergeCell ref="H47:J48"/>
    <mergeCell ref="L35:L36"/>
    <mergeCell ref="H37:J37"/>
    <mergeCell ref="H29:M30"/>
    <mergeCell ref="D49:J50"/>
    <mergeCell ref="K35:K36"/>
    <mergeCell ref="H33:J33"/>
    <mergeCell ref="H39:J39"/>
    <mergeCell ref="H43:J43"/>
    <mergeCell ref="M45:AB48"/>
    <mergeCell ref="H38:M38"/>
    <mergeCell ref="A49:A50"/>
    <mergeCell ref="C49:C50"/>
    <mergeCell ref="A8:C8"/>
    <mergeCell ref="A11:C11"/>
    <mergeCell ref="H1:AB3"/>
    <mergeCell ref="H20:K20"/>
    <mergeCell ref="M35:M36"/>
    <mergeCell ref="H22:M23"/>
    <mergeCell ref="A33:C33"/>
    <mergeCell ref="H25:J25"/>
    <mergeCell ref="K34:L34"/>
    <mergeCell ref="H27:I27"/>
    <mergeCell ref="J27:L27"/>
    <mergeCell ref="H26:J26"/>
    <mergeCell ref="L4:M8"/>
    <mergeCell ref="L9:M9"/>
    <mergeCell ref="A4:A6"/>
    <mergeCell ref="A27:C27"/>
  </mergeCells>
  <phoneticPr fontId="0" type="noConversion"/>
  <pageMargins left="0.59055118110236227" right="0.43307086614173229" top="0.82677165354330717" bottom="0" header="0.51181102362204722" footer="0"/>
  <pageSetup paperSize="9" scale="55" orientation="landscape" r:id="rId1"/>
  <headerFooter alignWithMargins="0">
    <oddFooter>&amp;L&amp;Z&amp;F&amp;D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Drop Down 1">
              <controlPr defaultSize="0" autoLine="0" autoPict="0">
                <anchor moveWithCells="1">
                  <from>
                    <xdr:col>1</xdr:col>
                    <xdr:colOff>0</xdr:colOff>
                    <xdr:row>8</xdr:row>
                    <xdr:rowOff>0</xdr:rowOff>
                  </from>
                  <to>
                    <xdr:col>2</xdr:col>
                    <xdr:colOff>771525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Drop Down 2">
              <controlPr defaultSize="0" autoLine="0" autoPict="0">
                <anchor moveWithCells="1">
                  <from>
                    <xdr:col>1</xdr:col>
                    <xdr:colOff>0</xdr:colOff>
                    <xdr:row>9</xdr:row>
                    <xdr:rowOff>0</xdr:rowOff>
                  </from>
                  <to>
                    <xdr:col>2</xdr:col>
                    <xdr:colOff>771525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Drop Down 3">
              <controlPr defaultSize="0" autoLine="0" autoPict="0">
                <anchor moveWithCells="1">
                  <from>
                    <xdr:col>1</xdr:col>
                    <xdr:colOff>0</xdr:colOff>
                    <xdr:row>11</xdr:row>
                    <xdr:rowOff>0</xdr:rowOff>
                  </from>
                  <to>
                    <xdr:col>2</xdr:col>
                    <xdr:colOff>771525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Drop Down 4">
              <controlPr defaultSize="0" autoLine="0" autoPict="0">
                <anchor moveWithCells="1">
                  <from>
                    <xdr:col>1</xdr:col>
                    <xdr:colOff>0</xdr:colOff>
                    <xdr:row>12</xdr:row>
                    <xdr:rowOff>0</xdr:rowOff>
                  </from>
                  <to>
                    <xdr:col>2</xdr:col>
                    <xdr:colOff>771525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Drop Down 5">
              <controlPr defaultSize="0" autoLine="0" autoPict="0">
                <anchor moveWithCells="1">
                  <from>
                    <xdr:col>1</xdr:col>
                    <xdr:colOff>0</xdr:colOff>
                    <xdr:row>14</xdr:row>
                    <xdr:rowOff>0</xdr:rowOff>
                  </from>
                  <to>
                    <xdr:col>2</xdr:col>
                    <xdr:colOff>771525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Drop Down 6">
              <controlPr defaultSize="0" autoLine="0" autoPict="0">
                <anchor moveWithCells="1">
                  <from>
                    <xdr:col>1</xdr:col>
                    <xdr:colOff>0</xdr:colOff>
                    <xdr:row>15</xdr:row>
                    <xdr:rowOff>0</xdr:rowOff>
                  </from>
                  <to>
                    <xdr:col>2</xdr:col>
                    <xdr:colOff>771525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Drop Down 7">
              <controlPr defaultSize="0" autoLine="0" autoPict="0">
                <anchor moveWithCells="1">
                  <from>
                    <xdr:col>1</xdr:col>
                    <xdr:colOff>0</xdr:colOff>
                    <xdr:row>17</xdr:row>
                    <xdr:rowOff>0</xdr:rowOff>
                  </from>
                  <to>
                    <xdr:col>2</xdr:col>
                    <xdr:colOff>771525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Drop Down 8">
              <controlPr defaultSize="0" autoLine="0" autoPict="0">
                <anchor moveWithCells="1">
                  <from>
                    <xdr:col>1</xdr:col>
                    <xdr:colOff>0</xdr:colOff>
                    <xdr:row>18</xdr:row>
                    <xdr:rowOff>0</xdr:rowOff>
                  </from>
                  <to>
                    <xdr:col>2</xdr:col>
                    <xdr:colOff>771525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Drop Down 9">
              <controlPr locked="0" defaultSize="0" autoLine="0" autoPict="0">
                <anchor moveWithCells="1">
                  <from>
                    <xdr:col>1</xdr:col>
                    <xdr:colOff>0</xdr:colOff>
                    <xdr:row>3</xdr:row>
                    <xdr:rowOff>9525</xdr:rowOff>
                  </from>
                  <to>
                    <xdr:col>3</xdr:col>
                    <xdr:colOff>314325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3" name="Drop Down 11">
              <controlPr defaultSize="0" autoLine="0" autoPict="0">
                <anchor moveWithCells="1">
                  <from>
                    <xdr:col>0</xdr:col>
                    <xdr:colOff>9525</xdr:colOff>
                    <xdr:row>24</xdr:row>
                    <xdr:rowOff>0</xdr:rowOff>
                  </from>
                  <to>
                    <xdr:col>4</xdr:col>
                    <xdr:colOff>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4" name="Drop Down 12">
              <controlPr defaultSize="0" autoLine="0" autoPict="0">
                <anchor moveWithCells="1">
                  <from>
                    <xdr:col>7</xdr:col>
                    <xdr:colOff>0</xdr:colOff>
                    <xdr:row>15</xdr:row>
                    <xdr:rowOff>0</xdr:rowOff>
                  </from>
                  <to>
                    <xdr:col>11</xdr:col>
                    <xdr:colOff>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5" name="Drop Down 13">
              <controlPr defaultSize="0" autoLine="0" autoPict="0">
                <anchor moveWithCells="1">
                  <from>
                    <xdr:col>1</xdr:col>
                    <xdr:colOff>0</xdr:colOff>
                    <xdr:row>27</xdr:row>
                    <xdr:rowOff>0</xdr:rowOff>
                  </from>
                  <to>
                    <xdr:col>2</xdr:col>
                    <xdr:colOff>771525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6" name="Drop Down 14">
              <controlPr defaultSize="0" autoLine="0" autoPict="0">
                <anchor moveWithCells="1">
                  <from>
                    <xdr:col>1</xdr:col>
                    <xdr:colOff>0</xdr:colOff>
                    <xdr:row>28</xdr:row>
                    <xdr:rowOff>0</xdr:rowOff>
                  </from>
                  <to>
                    <xdr:col>2</xdr:col>
                    <xdr:colOff>771525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7" name="Drop Down 15">
              <controlPr defaultSize="0" autoLine="0" autoPict="0">
                <anchor moveWithCells="1">
                  <from>
                    <xdr:col>1</xdr:col>
                    <xdr:colOff>0</xdr:colOff>
                    <xdr:row>30</xdr:row>
                    <xdr:rowOff>0</xdr:rowOff>
                  </from>
                  <to>
                    <xdr:col>2</xdr:col>
                    <xdr:colOff>771525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8" name="Drop Down 16">
              <controlPr defaultSize="0" autoLine="0" autoPict="0">
                <anchor moveWithCells="1">
                  <from>
                    <xdr:col>1</xdr:col>
                    <xdr:colOff>0</xdr:colOff>
                    <xdr:row>31</xdr:row>
                    <xdr:rowOff>0</xdr:rowOff>
                  </from>
                  <to>
                    <xdr:col>2</xdr:col>
                    <xdr:colOff>771525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19" name="Drop Down 17">
              <controlPr defaultSize="0" autoLine="0" autoPict="0">
                <anchor moveWithCells="1">
                  <from>
                    <xdr:col>1</xdr:col>
                    <xdr:colOff>0</xdr:colOff>
                    <xdr:row>33</xdr:row>
                    <xdr:rowOff>0</xdr:rowOff>
                  </from>
                  <to>
                    <xdr:col>2</xdr:col>
                    <xdr:colOff>771525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0" name="Drop Down 18">
              <controlPr defaultSize="0" autoLine="0" autoPict="0">
                <anchor moveWithCells="1">
                  <from>
                    <xdr:col>1</xdr:col>
                    <xdr:colOff>0</xdr:colOff>
                    <xdr:row>34</xdr:row>
                    <xdr:rowOff>0</xdr:rowOff>
                  </from>
                  <to>
                    <xdr:col>2</xdr:col>
                    <xdr:colOff>771525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1" name="Drop Down 19">
              <controlPr defaultSize="0" autoLine="0" autoPict="0">
                <anchor moveWithCells="1">
                  <from>
                    <xdr:col>1</xdr:col>
                    <xdr:colOff>0</xdr:colOff>
                    <xdr:row>36</xdr:row>
                    <xdr:rowOff>0</xdr:rowOff>
                  </from>
                  <to>
                    <xdr:col>2</xdr:col>
                    <xdr:colOff>771525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2" name="Drop Down 20">
              <controlPr defaultSize="0" autoLine="0" autoPict="0">
                <anchor moveWithCells="1">
                  <from>
                    <xdr:col>1</xdr:col>
                    <xdr:colOff>0</xdr:colOff>
                    <xdr:row>37</xdr:row>
                    <xdr:rowOff>0</xdr:rowOff>
                  </from>
                  <to>
                    <xdr:col>2</xdr:col>
                    <xdr:colOff>771525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3" name="Drop Down 21">
              <controlPr defaultSize="0" autoLine="0" autoPict="0">
                <anchor moveWithCells="1">
                  <from>
                    <xdr:col>0</xdr:col>
                    <xdr:colOff>9525</xdr:colOff>
                    <xdr:row>46</xdr:row>
                    <xdr:rowOff>0</xdr:rowOff>
                  </from>
                  <to>
                    <xdr:col>2</xdr:col>
                    <xdr:colOff>304800</xdr:colOff>
                    <xdr:row>47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B137E-02AC-4C56-88A0-6A6D0D6AF566}">
  <sheetPr codeName="Лист2"/>
  <dimension ref="A1:I59"/>
  <sheetViews>
    <sheetView view="pageBreakPreview" zoomScaleNormal="100" workbookViewId="0">
      <selection activeCell="C2" sqref="A1:I65536"/>
    </sheetView>
  </sheetViews>
  <sheetFormatPr defaultRowHeight="12.75"/>
  <cols>
    <col min="3" max="3" width="12.42578125" customWidth="1"/>
    <col min="4" max="4" width="5.85546875" customWidth="1"/>
    <col min="5" max="5" width="11.28515625" bestFit="1" customWidth="1"/>
    <col min="8" max="8" width="6.7109375" customWidth="1"/>
    <col min="9" max="9" width="12.5703125" customWidth="1"/>
  </cols>
  <sheetData>
    <row r="1" spans="1:9" ht="15.75">
      <c r="A1" s="328" t="s">
        <v>112</v>
      </c>
      <c r="B1" s="328"/>
      <c r="C1" s="328"/>
      <c r="D1" s="328"/>
      <c r="E1" s="328"/>
      <c r="F1" s="328"/>
      <c r="G1" s="328"/>
      <c r="H1" s="328"/>
      <c r="I1" s="328"/>
    </row>
    <row r="2" spans="1:9" ht="15.75">
      <c r="A2" s="107"/>
      <c r="B2" s="107"/>
      <c r="C2" s="107"/>
      <c r="D2" s="108" t="s">
        <v>113</v>
      </c>
      <c r="E2" s="109" t="str">
        <f>Расчет!B49</f>
        <v>211</v>
      </c>
      <c r="F2" s="107"/>
      <c r="G2" s="107"/>
      <c r="H2" s="107"/>
      <c r="I2" s="107"/>
    </row>
    <row r="3" spans="1:9" ht="15.75">
      <c r="A3" s="107"/>
      <c r="B3" s="107"/>
      <c r="C3" s="107"/>
      <c r="D3" s="108" t="s">
        <v>114</v>
      </c>
      <c r="E3" s="110">
        <f>Расчет!D49</f>
        <v>46085</v>
      </c>
      <c r="F3" s="107"/>
      <c r="G3" s="107"/>
      <c r="H3" s="107"/>
      <c r="I3" s="107"/>
    </row>
    <row r="4" spans="1:9" ht="15.75">
      <c r="A4" s="107"/>
      <c r="B4" s="107"/>
      <c r="C4" s="107"/>
      <c r="D4" s="108"/>
      <c r="E4" s="110"/>
      <c r="F4" s="107"/>
      <c r="G4" s="107"/>
      <c r="H4" s="107"/>
      <c r="I4" s="107"/>
    </row>
    <row r="5" spans="1:9" ht="15.75">
      <c r="A5" s="107" t="s">
        <v>126</v>
      </c>
      <c r="B5" s="107"/>
      <c r="C5" s="107"/>
      <c r="D5" s="123">
        <f>Расчет!C1</f>
        <v>8</v>
      </c>
      <c r="E5" s="124" t="str">
        <f>VLOOKUP(Расчет!C1,[1]СР!$A$2:$C$12,3)</f>
        <v>Баркову А.А.</v>
      </c>
      <c r="F5" s="107"/>
      <c r="G5" s="107"/>
      <c r="H5" s="107"/>
      <c r="I5" s="107"/>
    </row>
    <row r="6" spans="1:9" ht="15.75">
      <c r="A6" s="107" t="s">
        <v>148</v>
      </c>
      <c r="B6" s="107"/>
      <c r="C6" s="107"/>
      <c r="D6" s="108"/>
      <c r="E6" s="110"/>
      <c r="F6" s="107"/>
      <c r="G6" s="107"/>
      <c r="H6" s="107"/>
      <c r="I6" s="107"/>
    </row>
    <row r="7" spans="1:9" ht="15.75">
      <c r="A7" s="107"/>
      <c r="B7" s="107"/>
      <c r="C7" s="111"/>
      <c r="D7" s="107"/>
      <c r="E7" s="107"/>
      <c r="F7" s="107"/>
      <c r="G7" s="107"/>
      <c r="H7" s="107"/>
      <c r="I7" s="107"/>
    </row>
    <row r="8" spans="1:9" ht="15.75">
      <c r="A8" s="107" t="s">
        <v>127</v>
      </c>
      <c r="B8" s="107"/>
      <c r="C8" s="111" t="str">
        <f>Расчет!B2</f>
        <v>ПС 35/6кВ "Ачимовская-1"</v>
      </c>
      <c r="D8" s="107"/>
      <c r="E8" s="107"/>
      <c r="F8" s="107"/>
      <c r="G8" s="107"/>
      <c r="H8" s="107"/>
      <c r="I8" s="107"/>
    </row>
    <row r="9" spans="1:9" ht="15.75">
      <c r="A9" s="107" t="s">
        <v>106</v>
      </c>
      <c r="B9" s="107"/>
      <c r="C9" s="111" t="str">
        <f>Расчет!C3</f>
        <v>ф.6кВ №20</v>
      </c>
      <c r="D9" s="107"/>
      <c r="E9" s="107"/>
      <c r="F9" s="107"/>
      <c r="G9" s="107"/>
      <c r="H9" s="107"/>
      <c r="I9" s="107"/>
    </row>
    <row r="10" spans="1:9" ht="15.75">
      <c r="A10" s="107"/>
      <c r="B10" s="107"/>
      <c r="C10" s="107"/>
      <c r="D10" s="107"/>
      <c r="E10" s="107"/>
      <c r="F10" s="107"/>
      <c r="G10" s="107"/>
      <c r="H10" s="107"/>
      <c r="I10" s="107"/>
    </row>
    <row r="11" spans="1:9" ht="15.75">
      <c r="A11" s="107" t="s">
        <v>115</v>
      </c>
      <c r="B11" s="107"/>
      <c r="C11" s="107"/>
      <c r="D11" s="107"/>
      <c r="E11" s="107"/>
      <c r="F11" s="107"/>
      <c r="G11" s="107"/>
      <c r="H11" s="96"/>
      <c r="I11" s="112">
        <f>Расчет!K43</f>
        <v>300</v>
      </c>
    </row>
    <row r="12" spans="1:9" ht="15.75">
      <c r="A12" s="107" t="s">
        <v>116</v>
      </c>
      <c r="B12" s="107"/>
      <c r="C12" s="107"/>
      <c r="D12" s="107"/>
      <c r="E12" s="107"/>
      <c r="F12" s="107"/>
      <c r="G12" s="107"/>
      <c r="H12" s="96"/>
      <c r="I12" s="112">
        <v>5</v>
      </c>
    </row>
    <row r="13" spans="1:9" ht="15.75">
      <c r="A13" s="107" t="s">
        <v>117</v>
      </c>
      <c r="B13" s="107"/>
      <c r="C13" s="107"/>
      <c r="D13" s="107"/>
      <c r="E13" s="107"/>
      <c r="F13" s="107"/>
      <c r="G13" s="107"/>
      <c r="H13" s="107"/>
      <c r="I13" s="112">
        <f>Расчет!J28</f>
        <v>15</v>
      </c>
    </row>
    <row r="14" spans="1:9" ht="15.75">
      <c r="A14" s="329" t="s">
        <v>129</v>
      </c>
      <c r="B14" s="329"/>
      <c r="C14" s="329"/>
      <c r="D14" s="329"/>
      <c r="E14" s="329"/>
      <c r="F14" s="329"/>
      <c r="G14" s="329"/>
      <c r="H14" s="329"/>
      <c r="I14" s="329"/>
    </row>
    <row r="15" spans="1:9" ht="15.75">
      <c r="A15" s="107" t="s">
        <v>119</v>
      </c>
      <c r="B15" s="107"/>
      <c r="C15" s="107"/>
      <c r="D15" s="107"/>
      <c r="E15" s="107"/>
      <c r="F15" s="107"/>
      <c r="G15" s="107"/>
      <c r="I15" s="113" t="str">
        <f>VLOOKUP(Расчет!$K$16,[1]Реле!$A$2:$F$10,6)</f>
        <v>цифровое</v>
      </c>
    </row>
    <row r="16" spans="1:9" ht="15.75">
      <c r="A16" s="107" t="s">
        <v>130</v>
      </c>
      <c r="B16" s="107"/>
      <c r="C16" s="107"/>
      <c r="D16" s="107"/>
      <c r="E16" s="107"/>
      <c r="F16" s="107"/>
      <c r="G16" s="107"/>
      <c r="H16" s="107"/>
      <c r="I16" s="112">
        <f>Расчет!K26</f>
        <v>20</v>
      </c>
    </row>
    <row r="17" spans="1:9" ht="15.75">
      <c r="A17" s="107" t="s">
        <v>131</v>
      </c>
      <c r="B17" s="107"/>
      <c r="C17" s="107"/>
      <c r="D17" s="107"/>
      <c r="E17" s="107"/>
      <c r="F17" s="107"/>
      <c r="G17" s="107"/>
      <c r="H17" s="107"/>
      <c r="I17" s="117">
        <f>Расчет!K26/Расчет!K43*5</f>
        <v>0.33333333333333331</v>
      </c>
    </row>
    <row r="18" spans="1:9" ht="15.75">
      <c r="A18" s="107" t="s">
        <v>132</v>
      </c>
      <c r="B18" s="107"/>
      <c r="C18" s="107"/>
      <c r="D18" s="107"/>
      <c r="E18" s="107"/>
      <c r="F18" s="107"/>
      <c r="G18" s="107"/>
      <c r="H18" s="107"/>
      <c r="I18" s="112">
        <f>Расчет!J27</f>
        <v>0</v>
      </c>
    </row>
    <row r="19" spans="1:9" ht="15.75">
      <c r="A19" s="107"/>
      <c r="B19" s="107"/>
      <c r="C19" s="107"/>
      <c r="D19" s="107"/>
      <c r="E19" s="107"/>
      <c r="F19" s="107"/>
      <c r="G19" s="107"/>
      <c r="H19" s="107"/>
      <c r="I19" s="107"/>
    </row>
    <row r="20" spans="1:9" ht="15.75">
      <c r="A20" s="329" t="s">
        <v>118</v>
      </c>
      <c r="B20" s="329"/>
      <c r="C20" s="329"/>
      <c r="D20" s="329"/>
      <c r="E20" s="329"/>
      <c r="F20" s="329"/>
      <c r="G20" s="329"/>
      <c r="H20" s="329"/>
      <c r="I20" s="329"/>
    </row>
    <row r="21" spans="1:9" ht="15.75">
      <c r="A21" s="107" t="s">
        <v>119</v>
      </c>
      <c r="B21" s="107"/>
      <c r="C21" s="107"/>
      <c r="D21" s="107"/>
      <c r="E21" s="107"/>
      <c r="F21" s="107"/>
      <c r="G21" s="107"/>
      <c r="H21" s="107"/>
      <c r="I21" s="113" t="str">
        <f>VLOOKUP(Расчет!$K$16,[1]Реле!$A$2:$F$10,6)</f>
        <v>цифровое</v>
      </c>
    </row>
    <row r="22" spans="1:9" ht="15.75">
      <c r="A22" s="107" t="s">
        <v>130</v>
      </c>
      <c r="B22" s="107"/>
      <c r="C22" s="107"/>
      <c r="D22" s="107"/>
      <c r="E22" s="107"/>
      <c r="F22" s="107"/>
      <c r="G22" s="107"/>
      <c r="H22" s="107"/>
      <c r="I22" s="112">
        <f>Расчет!K33</f>
        <v>20</v>
      </c>
    </row>
    <row r="23" spans="1:9" ht="15.75">
      <c r="A23" s="107" t="s">
        <v>131</v>
      </c>
      <c r="B23" s="107"/>
      <c r="C23" s="107"/>
      <c r="D23" s="107"/>
      <c r="E23" s="107"/>
      <c r="F23" s="107"/>
      <c r="G23" s="107"/>
      <c r="H23" s="107"/>
      <c r="I23" s="117">
        <f>Расчет!K33/Расчет!K43*5</f>
        <v>0.33333333333333331</v>
      </c>
    </row>
    <row r="24" spans="1:9" ht="15.75">
      <c r="A24" s="107" t="s">
        <v>132</v>
      </c>
      <c r="B24" s="107"/>
      <c r="C24" s="107"/>
      <c r="D24" s="107"/>
      <c r="E24" s="107"/>
      <c r="F24" s="107"/>
      <c r="G24" s="107"/>
      <c r="H24" s="114">
        <f>Расчет!J34</f>
        <v>0.5</v>
      </c>
      <c r="I24" s="115" t="str">
        <f>Расчет!K34</f>
        <v>Кратности нет</v>
      </c>
    </row>
    <row r="25" spans="1:9" ht="15.75">
      <c r="A25" s="107"/>
      <c r="B25" s="107"/>
      <c r="C25" s="107"/>
      <c r="D25" s="107"/>
      <c r="E25" s="107"/>
      <c r="F25" s="107"/>
      <c r="G25" s="107"/>
      <c r="I25" s="116"/>
    </row>
    <row r="26" spans="1:9" ht="15.75">
      <c r="A26" s="329" t="s">
        <v>125</v>
      </c>
      <c r="B26" s="329"/>
      <c r="C26" s="329"/>
      <c r="D26" s="329"/>
      <c r="E26" s="329"/>
      <c r="F26" s="329"/>
      <c r="G26" s="329"/>
      <c r="H26" s="329"/>
      <c r="I26" s="329"/>
    </row>
    <row r="27" spans="1:9" ht="15.75">
      <c r="A27" s="107" t="s">
        <v>130</v>
      </c>
      <c r="B27" s="107"/>
      <c r="C27" s="107"/>
      <c r="D27" s="107"/>
      <c r="E27" s="107"/>
      <c r="F27" s="107"/>
      <c r="G27" s="107"/>
      <c r="H27" s="107"/>
      <c r="I27" s="127">
        <f>Расчет!K40</f>
        <v>0</v>
      </c>
    </row>
    <row r="28" spans="1:9" ht="15.75">
      <c r="A28" s="107" t="s">
        <v>132</v>
      </c>
      <c r="B28" s="107"/>
      <c r="C28" s="107"/>
      <c r="D28" s="107"/>
      <c r="E28" s="107"/>
      <c r="F28" s="107"/>
      <c r="G28" s="107"/>
      <c r="H28" s="107"/>
      <c r="I28" s="127">
        <f>Расчет!J41</f>
        <v>0</v>
      </c>
    </row>
    <row r="29" spans="1:9" ht="15.75">
      <c r="A29" s="107" t="s">
        <v>107</v>
      </c>
      <c r="B29" s="107"/>
      <c r="C29" s="107"/>
      <c r="D29" s="107"/>
      <c r="E29" s="107"/>
      <c r="F29" s="107"/>
      <c r="G29" s="107"/>
      <c r="H29" s="107"/>
      <c r="I29" s="127" t="str">
        <f>Расчет!K42</f>
        <v>на сигнал</v>
      </c>
    </row>
    <row r="30" spans="1:9" ht="15.75">
      <c r="A30" s="107"/>
      <c r="B30" s="107"/>
      <c r="C30" s="330">
        <f>Расчет!M45</f>
        <v>0</v>
      </c>
      <c r="D30" s="330"/>
      <c r="E30" s="330"/>
      <c r="F30" s="330"/>
      <c r="G30" s="330"/>
      <c r="H30" s="330"/>
      <c r="I30" s="330"/>
    </row>
    <row r="31" spans="1:9" ht="15.75">
      <c r="A31" s="118"/>
      <c r="B31" s="118"/>
      <c r="C31" s="330"/>
      <c r="D31" s="330"/>
      <c r="E31" s="330"/>
      <c r="F31" s="330"/>
      <c r="G31" s="330"/>
      <c r="H31" s="330"/>
      <c r="I31" s="330"/>
    </row>
    <row r="32" spans="1:9" ht="15.75" customHeight="1">
      <c r="A32" s="118" t="s">
        <v>73</v>
      </c>
      <c r="B32" s="107"/>
      <c r="C32" s="330"/>
      <c r="D32" s="330"/>
      <c r="E32" s="330"/>
      <c r="F32" s="330"/>
      <c r="G32" s="330"/>
      <c r="H32" s="330"/>
      <c r="I32" s="330"/>
    </row>
    <row r="33" spans="1:9" ht="15.75">
      <c r="A33" s="107"/>
      <c r="B33" s="107"/>
      <c r="C33" s="330"/>
      <c r="D33" s="330"/>
      <c r="E33" s="330"/>
      <c r="F33" s="330"/>
      <c r="G33" s="330"/>
      <c r="H33" s="330"/>
      <c r="I33" s="330"/>
    </row>
    <row r="34" spans="1:9" ht="15.75">
      <c r="A34" s="107"/>
      <c r="B34" s="107"/>
      <c r="C34" s="330"/>
      <c r="D34" s="330"/>
      <c r="E34" s="330"/>
      <c r="F34" s="330"/>
      <c r="G34" s="330"/>
      <c r="H34" s="330"/>
      <c r="I34" s="330"/>
    </row>
    <row r="35" spans="1:9" ht="15.75">
      <c r="A35" s="107" t="s">
        <v>149</v>
      </c>
      <c r="B35" s="107"/>
      <c r="C35" s="122"/>
      <c r="D35" s="125" t="s">
        <v>146</v>
      </c>
      <c r="E35" s="122"/>
      <c r="F35" s="107"/>
      <c r="G35" s="107" t="s">
        <v>120</v>
      </c>
      <c r="H35" s="125" t="s">
        <v>121</v>
      </c>
      <c r="I35" s="122"/>
    </row>
    <row r="36" spans="1:9" ht="15.75">
      <c r="A36" s="107" t="s">
        <v>150</v>
      </c>
      <c r="B36" s="107"/>
      <c r="C36" s="107"/>
      <c r="D36" s="107" t="s">
        <v>151</v>
      </c>
      <c r="E36" s="107"/>
      <c r="F36" s="107"/>
      <c r="G36" s="107" t="s">
        <v>120</v>
      </c>
      <c r="H36" s="125" t="s">
        <v>121</v>
      </c>
      <c r="I36" s="107"/>
    </row>
    <row r="37" spans="1:9" ht="15.75">
      <c r="A37" s="107" t="s">
        <v>133</v>
      </c>
      <c r="B37" s="107"/>
      <c r="C37" s="107"/>
      <c r="D37" s="107"/>
      <c r="E37" s="107"/>
      <c r="F37" s="107"/>
      <c r="G37" s="107"/>
      <c r="H37" s="107"/>
      <c r="I37" s="107"/>
    </row>
    <row r="38" spans="1:9" ht="15.75">
      <c r="A38" s="107" t="s">
        <v>122</v>
      </c>
      <c r="B38" s="107"/>
      <c r="C38" s="107"/>
      <c r="D38" s="107" t="s">
        <v>123</v>
      </c>
      <c r="E38" s="107"/>
      <c r="F38" s="107"/>
      <c r="G38" s="107" t="s">
        <v>120</v>
      </c>
      <c r="H38" s="125" t="s">
        <v>121</v>
      </c>
      <c r="I38" s="107"/>
    </row>
    <row r="39" spans="1:9" ht="15.75">
      <c r="A39" s="107" t="s">
        <v>124</v>
      </c>
      <c r="B39" s="107"/>
      <c r="C39" s="107"/>
      <c r="D39" s="107" t="s">
        <v>123</v>
      </c>
      <c r="F39" s="107"/>
      <c r="G39" s="107"/>
      <c r="H39" s="107"/>
      <c r="I39" s="107"/>
    </row>
    <row r="40" spans="1:9">
      <c r="A40" s="327" t="s">
        <v>145</v>
      </c>
      <c r="B40" s="327"/>
      <c r="C40" s="327"/>
      <c r="D40" s="327"/>
      <c r="E40" s="327"/>
      <c r="F40" s="327"/>
      <c r="G40" s="327"/>
      <c r="H40" s="327"/>
      <c r="I40" s="327"/>
    </row>
    <row r="41" spans="1:9" ht="23.25" customHeight="1">
      <c r="A41" s="327"/>
      <c r="B41" s="327"/>
      <c r="C41" s="327"/>
      <c r="D41" s="327"/>
      <c r="E41" s="327"/>
      <c r="F41" s="327"/>
      <c r="G41" s="327"/>
      <c r="H41" s="327"/>
      <c r="I41" s="327"/>
    </row>
    <row r="42" spans="1:9" ht="15.75">
      <c r="A42" s="119"/>
      <c r="B42" s="119"/>
      <c r="C42" s="119"/>
      <c r="D42" s="119"/>
      <c r="E42" s="119"/>
      <c r="F42" s="119"/>
      <c r="G42" s="119"/>
      <c r="H42" s="119"/>
      <c r="I42" s="119"/>
    </row>
    <row r="43" spans="1:9" ht="15.75">
      <c r="A43" s="119"/>
      <c r="B43" s="119"/>
      <c r="C43" s="119"/>
      <c r="D43" s="119"/>
      <c r="E43" s="119"/>
      <c r="F43" s="119"/>
      <c r="G43" s="119"/>
      <c r="H43" s="119"/>
      <c r="I43" s="119"/>
    </row>
    <row r="44" spans="1:9" ht="15.75">
      <c r="A44" s="119"/>
      <c r="B44" s="119"/>
      <c r="C44" s="119"/>
      <c r="D44" s="119"/>
      <c r="E44" s="119"/>
      <c r="F44" s="119"/>
      <c r="G44" s="119"/>
      <c r="H44" s="119"/>
      <c r="I44" s="119"/>
    </row>
    <row r="45" spans="1:9" ht="15.75">
      <c r="A45" s="119"/>
      <c r="B45" s="119"/>
      <c r="C45" s="119"/>
      <c r="D45" s="119"/>
      <c r="E45" s="119"/>
      <c r="F45" s="119"/>
      <c r="G45" s="119"/>
      <c r="H45" s="119"/>
      <c r="I45" s="119"/>
    </row>
    <row r="46" spans="1:9" ht="15.75">
      <c r="A46" s="119"/>
      <c r="B46" s="119"/>
      <c r="C46" s="119"/>
      <c r="D46" s="119"/>
      <c r="E46" s="119"/>
      <c r="F46" s="119"/>
      <c r="G46" s="119"/>
      <c r="H46" s="119"/>
      <c r="I46" s="119"/>
    </row>
    <row r="47" spans="1:9" ht="15.75">
      <c r="A47" s="119"/>
      <c r="B47" s="119"/>
      <c r="C47" s="119"/>
      <c r="D47" s="119"/>
      <c r="E47" s="119"/>
      <c r="F47" s="119"/>
      <c r="G47" s="119"/>
      <c r="H47" s="119"/>
      <c r="I47" s="119"/>
    </row>
    <row r="48" spans="1:9" ht="15.75">
      <c r="A48" s="119"/>
      <c r="B48" s="119"/>
      <c r="C48" s="119"/>
      <c r="D48" s="119"/>
      <c r="E48" s="119"/>
      <c r="F48" s="119"/>
      <c r="G48" s="119"/>
      <c r="H48" s="119"/>
      <c r="I48" s="119"/>
    </row>
    <row r="49" spans="1:9" ht="15.75">
      <c r="A49" s="119"/>
      <c r="B49" s="119"/>
      <c r="C49" s="119"/>
      <c r="D49" s="119"/>
      <c r="E49" s="119"/>
      <c r="F49" s="119"/>
      <c r="G49" s="119"/>
      <c r="H49" s="119"/>
      <c r="I49" s="119"/>
    </row>
    <row r="50" spans="1:9" ht="15.75">
      <c r="A50" s="119"/>
      <c r="B50" s="119"/>
      <c r="C50" s="119"/>
      <c r="D50" s="119"/>
      <c r="E50" s="119"/>
      <c r="F50" s="119"/>
      <c r="G50" s="119"/>
      <c r="H50" s="119"/>
      <c r="I50" s="119"/>
    </row>
    <row r="51" spans="1:9" ht="15.75">
      <c r="A51" s="119"/>
      <c r="B51" s="119"/>
      <c r="C51" s="119"/>
      <c r="D51" s="119"/>
      <c r="E51" s="119"/>
      <c r="F51" s="119"/>
      <c r="G51" s="119"/>
      <c r="H51" s="119"/>
      <c r="I51" s="119"/>
    </row>
    <row r="52" spans="1:9" ht="15.75">
      <c r="A52" s="119"/>
      <c r="B52" s="119"/>
      <c r="C52" s="119"/>
      <c r="D52" s="119"/>
      <c r="E52" s="119"/>
      <c r="F52" s="119"/>
      <c r="G52" s="119"/>
      <c r="H52" s="119"/>
      <c r="I52" s="119"/>
    </row>
    <row r="53" spans="1:9" ht="15">
      <c r="A53" s="120"/>
      <c r="B53" s="120"/>
      <c r="C53" s="120"/>
      <c r="D53" s="120"/>
      <c r="E53" s="120"/>
      <c r="F53" s="120"/>
      <c r="G53" s="120"/>
      <c r="H53" s="120"/>
      <c r="I53" s="120"/>
    </row>
    <row r="54" spans="1:9" ht="15">
      <c r="A54" s="120"/>
      <c r="B54" s="120"/>
      <c r="C54" s="120"/>
      <c r="D54" s="120"/>
      <c r="E54" s="120"/>
      <c r="F54" s="120"/>
      <c r="G54" s="120"/>
      <c r="H54" s="120"/>
      <c r="I54" s="120"/>
    </row>
    <row r="55" spans="1:9" ht="15">
      <c r="A55" s="120"/>
      <c r="B55" s="120"/>
      <c r="C55" s="120"/>
      <c r="D55" s="120"/>
      <c r="E55" s="120"/>
      <c r="F55" s="120"/>
      <c r="G55" s="120"/>
      <c r="H55" s="120"/>
      <c r="I55" s="120"/>
    </row>
    <row r="56" spans="1:9" ht="15">
      <c r="A56" s="120"/>
      <c r="B56" s="120"/>
      <c r="C56" s="120"/>
      <c r="D56" s="120"/>
      <c r="E56" s="120"/>
      <c r="F56" s="120"/>
      <c r="G56" s="120"/>
      <c r="H56" s="120"/>
      <c r="I56" s="120"/>
    </row>
    <row r="57" spans="1:9" ht="15">
      <c r="A57" s="120"/>
      <c r="B57" s="120"/>
      <c r="C57" s="120"/>
      <c r="D57" s="120"/>
      <c r="E57" s="120"/>
      <c r="F57" s="120"/>
      <c r="G57" s="120"/>
      <c r="H57" s="120"/>
      <c r="I57" s="120"/>
    </row>
    <row r="58" spans="1:9" ht="15">
      <c r="A58" s="120"/>
      <c r="B58" s="120"/>
      <c r="C58" s="120"/>
      <c r="D58" s="120"/>
      <c r="E58" s="120"/>
      <c r="F58" s="120"/>
      <c r="G58" s="120"/>
      <c r="H58" s="120"/>
      <c r="I58" s="120"/>
    </row>
    <row r="59" spans="1:9" ht="15">
      <c r="A59" s="120"/>
      <c r="B59" s="120"/>
      <c r="C59" s="120"/>
      <c r="D59" s="120"/>
      <c r="E59" s="120"/>
      <c r="F59" s="120"/>
      <c r="G59" s="120"/>
      <c r="H59" s="120"/>
      <c r="I59" s="120"/>
    </row>
  </sheetData>
  <mergeCells count="6">
    <mergeCell ref="A40:I41"/>
    <mergeCell ref="A1:I1"/>
    <mergeCell ref="A14:I14"/>
    <mergeCell ref="A20:I20"/>
    <mergeCell ref="A26:I26"/>
    <mergeCell ref="C30:I34"/>
  </mergeCells>
  <phoneticPr fontId="26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CF38C-DD54-469E-B510-8383941802B5}">
  <sheetPr codeName="Лист3"/>
  <dimension ref="A1:AC215"/>
  <sheetViews>
    <sheetView tabSelected="1" topLeftCell="A86" zoomScale="130" zoomScaleNormal="130" workbookViewId="0">
      <selection activeCell="J115" sqref="J115"/>
    </sheetView>
  </sheetViews>
  <sheetFormatPr defaultRowHeight="12.75"/>
  <cols>
    <col min="16" max="16" width="10.28515625" customWidth="1"/>
  </cols>
  <sheetData>
    <row r="1" spans="1:23">
      <c r="A1" s="42"/>
      <c r="B1" s="42"/>
      <c r="C1" s="42"/>
      <c r="D1" s="51"/>
    </row>
    <row r="3" spans="1:23" ht="12.75" customHeight="1">
      <c r="A3" s="151"/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</row>
    <row r="4" spans="1:23" ht="12.75" customHeight="1">
      <c r="A4" s="151"/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</row>
    <row r="5" spans="1:23" ht="12.75" customHeight="1">
      <c r="A5" s="151"/>
      <c r="B5" s="151"/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</row>
    <row r="6" spans="1:23" ht="13.5" thickBot="1">
      <c r="A6" s="52"/>
      <c r="B6" s="42"/>
      <c r="C6" s="42"/>
      <c r="D6" s="51"/>
      <c r="L6" s="9"/>
      <c r="M6" s="9"/>
    </row>
    <row r="7" spans="1:23" ht="13.5" thickBot="1">
      <c r="A7" s="43" t="s">
        <v>29</v>
      </c>
      <c r="H7" s="18" t="s">
        <v>17</v>
      </c>
      <c r="I7" s="165"/>
      <c r="J7" s="19"/>
      <c r="K7" s="5"/>
      <c r="L7" s="16" t="s">
        <v>16</v>
      </c>
      <c r="M7" s="17" t="s">
        <v>18</v>
      </c>
      <c r="N7" s="23"/>
      <c r="V7" s="23"/>
      <c r="W7" s="41"/>
    </row>
    <row r="8" spans="1:23" ht="12.75" customHeight="1">
      <c r="A8" s="29" t="s">
        <v>34</v>
      </c>
      <c r="B8" s="37">
        <f>0*Расчет!D20</f>
        <v>0</v>
      </c>
      <c r="C8" s="6" t="s">
        <v>2</v>
      </c>
      <c r="H8" s="7"/>
      <c r="L8" s="3"/>
      <c r="M8" s="331" t="b">
        <f>IF(L9+L11+L13+L15=B9,TRUE,FALSE)</f>
        <v>1</v>
      </c>
      <c r="N8" s="24"/>
      <c r="W8" s="152"/>
    </row>
    <row r="9" spans="1:23">
      <c r="A9" s="30" t="s">
        <v>7</v>
      </c>
      <c r="B9" s="32">
        <f>0.1*Расчет!D20</f>
        <v>0.8</v>
      </c>
      <c r="C9" s="8" t="s">
        <v>2</v>
      </c>
      <c r="H9" s="20">
        <v>1</v>
      </c>
      <c r="I9">
        <f>IF(Расчет!D9+Расчет!D10&gt;=B9,B9,K9)</f>
        <v>0.8</v>
      </c>
      <c r="J9">
        <f>IF(Расчет!D9+Расчет!D10=B9,B9,K9)</f>
        <v>0.8</v>
      </c>
      <c r="K9">
        <f>IF(Расчет!D9+Расчет!D10&lt;B9,Расчет!D9+Расчет!D10,I9)</f>
        <v>0.8</v>
      </c>
      <c r="L9" s="15">
        <f>IF(K9&lt;=0,0,K9)</f>
        <v>0.8</v>
      </c>
      <c r="M9" s="331"/>
      <c r="N9" s="24"/>
      <c r="R9" s="41"/>
      <c r="W9" s="152"/>
    </row>
    <row r="10" spans="1:23">
      <c r="A10" s="30" t="s">
        <v>8</v>
      </c>
      <c r="B10" s="32">
        <f>0.2*Расчет!D20</f>
        <v>1.6</v>
      </c>
      <c r="C10" s="8" t="s">
        <v>2</v>
      </c>
      <c r="H10" s="7"/>
      <c r="L10" s="3"/>
      <c r="M10" s="331"/>
      <c r="N10" s="24"/>
      <c r="W10" s="152"/>
    </row>
    <row r="11" spans="1:23">
      <c r="A11" s="30" t="s">
        <v>9</v>
      </c>
      <c r="B11" s="32">
        <f>0.3*Расчет!D20</f>
        <v>2.4</v>
      </c>
      <c r="C11" s="8" t="s">
        <v>2</v>
      </c>
      <c r="H11" s="20">
        <v>2</v>
      </c>
      <c r="I11">
        <f>IF(Расчет!D12+Расчет!D13&lt;=0,0,J11)</f>
        <v>0</v>
      </c>
      <c r="J11">
        <f>IF(B9&lt;=Расчет!D9+Расчет!D10,0,K11)</f>
        <v>0</v>
      </c>
      <c r="K11">
        <f>IF(B9&gt;=Расчет!D9+Расчет!D10+Расчет!D12+Расчет!D13,Расчет!D12+Расчет!D13,B9-(Расчет!D9+Расчет!D10))</f>
        <v>-1.2</v>
      </c>
      <c r="L11" s="15">
        <f>IF(K11&lt;=0,0,K11)</f>
        <v>0</v>
      </c>
      <c r="M11" s="331"/>
      <c r="N11" s="24"/>
      <c r="R11" s="41"/>
      <c r="W11" s="152"/>
    </row>
    <row r="12" spans="1:23">
      <c r="A12" s="30" t="s">
        <v>10</v>
      </c>
      <c r="B12" s="32">
        <f>0.4*Расчет!D20</f>
        <v>3.2</v>
      </c>
      <c r="C12" s="8" t="s">
        <v>2</v>
      </c>
      <c r="H12" s="7"/>
      <c r="L12" s="3"/>
      <c r="M12" s="331"/>
      <c r="N12" s="24"/>
      <c r="W12" s="152"/>
    </row>
    <row r="13" spans="1:23">
      <c r="A13" s="30" t="s">
        <v>11</v>
      </c>
      <c r="B13" s="32">
        <f>0.5*Расчет!D20</f>
        <v>4</v>
      </c>
      <c r="C13" s="8" t="s">
        <v>2</v>
      </c>
      <c r="H13" s="20">
        <v>3</v>
      </c>
      <c r="I13">
        <f>IF(Расчет!D15+Расчет!D16&lt;=0,0,J13)</f>
        <v>0</v>
      </c>
      <c r="J13">
        <f>IF(B9&lt;=Расчет!D9+Расчет!D10+Расчет!D12+Расчет!D13,0,K13)</f>
        <v>0</v>
      </c>
      <c r="K13">
        <f>IF(B9&gt;=Расчет!D9+Расчет!D10+Расчет!D12+Расчет!D13+Расчет!D15+Расчет!D16,Расчет!D15+Расчет!D16,B9-(Расчет!D9+Расчет!D10+Расчет!D12+Расчет!D13))</f>
        <v>-3.2</v>
      </c>
      <c r="L13" s="15">
        <f>IF(K13&lt;=0,0,K13)</f>
        <v>0</v>
      </c>
      <c r="M13" s="331"/>
      <c r="N13" s="24"/>
      <c r="R13" s="41"/>
      <c r="W13" s="152"/>
    </row>
    <row r="14" spans="1:23">
      <c r="A14" s="30" t="s">
        <v>12</v>
      </c>
      <c r="B14" s="32">
        <f>0.6*Расчет!D20</f>
        <v>4.8</v>
      </c>
      <c r="C14" s="8" t="s">
        <v>2</v>
      </c>
      <c r="H14" s="7"/>
      <c r="L14" s="3"/>
      <c r="M14" s="331"/>
      <c r="N14" s="24"/>
      <c r="W14" s="152"/>
    </row>
    <row r="15" spans="1:23" ht="13.5" thickBot="1">
      <c r="A15" s="30" t="s">
        <v>13</v>
      </c>
      <c r="B15" s="32">
        <f>0.7*Расчет!D20</f>
        <v>5.6</v>
      </c>
      <c r="C15" s="8" t="s">
        <v>2</v>
      </c>
      <c r="H15" s="161">
        <v>4</v>
      </c>
      <c r="I15" s="9">
        <f>IF(Расчет!D18+Расчет!D19&lt;=0,0,J15)</f>
        <v>0</v>
      </c>
      <c r="J15" s="9">
        <f>IF(B9&lt;=Расчет!D9+Расчет!D10+Расчет!D12+Расчет!D13+Расчет!D15+Расчет!D16,0,K15)</f>
        <v>0</v>
      </c>
      <c r="K15" s="9">
        <f>IF(B9&gt;=Расчет!D9+Расчет!D10+Расчет!D12+Расчет!D13+Расчет!D15+Расчет!D16+Расчет!D18+Расчет!D19,Расчет!D18+Расчет!D19,B9-(Расчет!D9+Расчет!D10+Расчет!D12+Расчет!D13+Расчет!D15+Расчет!D16))</f>
        <v>-5.2</v>
      </c>
      <c r="L15" s="162">
        <f>IF(K15&lt;=0,0,K15)</f>
        <v>0</v>
      </c>
      <c r="M15" s="340"/>
      <c r="N15" s="24"/>
      <c r="R15" s="41"/>
      <c r="W15" s="152"/>
    </row>
    <row r="16" spans="1:23" ht="15" thickBot="1">
      <c r="A16" s="30" t="s">
        <v>14</v>
      </c>
      <c r="B16" s="32">
        <f>0.8*Расчет!D20</f>
        <v>6.4</v>
      </c>
      <c r="C16" s="8" t="s">
        <v>2</v>
      </c>
      <c r="H16" s="157" t="s">
        <v>27</v>
      </c>
      <c r="I16" s="158" t="s">
        <v>28</v>
      </c>
      <c r="J16" s="159">
        <f>SQRT((SUMSQ(L9*(Расчет!E9+Расчет!E10)+L11*(Расчет!E12+Расчет!E13)+L13*(Расчет!E15+Расчет!E16)+L15*(Расчет!E18+Расчет!E19)))+(SUMSQ(Расчет!F5+L9*(Расчет!F9+Расчет!F10)+L11*(Расчет!F12+Расчет!F13)+L13*(Расчет!F15+Расчет!F16)+L15*(Расчет!F18+Расчет!F19))))</f>
        <v>3.5315652337171972</v>
      </c>
      <c r="K16" s="160" t="s">
        <v>141</v>
      </c>
      <c r="L16" s="163"/>
      <c r="M16" s="164"/>
      <c r="R16" s="153"/>
      <c r="S16" s="154"/>
      <c r="T16" s="154"/>
      <c r="U16" s="155"/>
      <c r="V16" s="154"/>
      <c r="W16" s="154"/>
    </row>
    <row r="17" spans="1:19" ht="15" thickBot="1">
      <c r="A17" s="30" t="s">
        <v>15</v>
      </c>
      <c r="B17" s="32">
        <f>0.9*Расчет!D20</f>
        <v>7.2</v>
      </c>
      <c r="C17" s="8" t="s">
        <v>2</v>
      </c>
      <c r="J17" s="193" t="str">
        <f>IFERROR(SQRT((SUMSQ(L9*(Расчет!E9+Расчет!E10)+L11*(Расчет!E12+Расчет!E13)+L13*(Расчет!E15+Расчет!E16)+L15*(Расчет!E18+Расчет!E19)))+(SUMSQ(Расчет!F6+L9*(Расчет!F9+Расчет!F10)+L11*(Расчет!F12+Расчет!F13)+L13*(Расчет!F15+Расчет!F16)+L15*(Расчет!F18+Расчет!F19)))),"---")</f>
        <v>---</v>
      </c>
      <c r="K17" s="156" t="s">
        <v>31</v>
      </c>
      <c r="L17" s="177"/>
    </row>
    <row r="18" spans="1:19" ht="13.5" thickBot="1">
      <c r="A18" s="31" t="s">
        <v>1</v>
      </c>
      <c r="B18" s="33">
        <f>1*Расчет!D20</f>
        <v>8</v>
      </c>
      <c r="C18" s="10" t="s">
        <v>2</v>
      </c>
      <c r="H18" s="18" t="s">
        <v>19</v>
      </c>
      <c r="I18" s="165"/>
      <c r="J18" s="19"/>
      <c r="K18" s="5"/>
      <c r="L18" s="16" t="s">
        <v>16</v>
      </c>
      <c r="M18" s="17" t="s">
        <v>18</v>
      </c>
    </row>
    <row r="19" spans="1:19" ht="15" customHeight="1" thickBot="1">
      <c r="A19" s="28" t="s">
        <v>30</v>
      </c>
      <c r="B19" s="26"/>
      <c r="C19" s="27"/>
      <c r="D19" s="341" t="s">
        <v>35</v>
      </c>
      <c r="E19" s="339"/>
      <c r="H19" s="7"/>
      <c r="L19" s="3"/>
      <c r="M19" s="331" t="b">
        <f>IF(L20+L22+L24+L26=B10,TRUE,FALSE)</f>
        <v>1</v>
      </c>
      <c r="O19" s="28" t="s">
        <v>30</v>
      </c>
      <c r="P19" s="26"/>
      <c r="Q19" s="27"/>
      <c r="R19" s="338" t="s">
        <v>35</v>
      </c>
      <c r="S19" s="339"/>
    </row>
    <row r="20" spans="1:19" ht="13.5" thickBot="1">
      <c r="A20" s="30" t="s">
        <v>32</v>
      </c>
      <c r="B20" s="36">
        <f>6300/(2*Расчет!F5)</f>
        <v>5478.2608695652179</v>
      </c>
      <c r="C20" s="8" t="s">
        <v>31</v>
      </c>
      <c r="D20" s="47">
        <f t="shared" ref="D20:D30" si="0">B20/1.5</f>
        <v>3652.1739130434785</v>
      </c>
      <c r="E20" s="44" t="s">
        <v>31</v>
      </c>
      <c r="H20" s="20">
        <v>1</v>
      </c>
      <c r="I20">
        <f>IF(Расчет!D9+Расчет!D10&gt;=B10,B10,K20)</f>
        <v>1.6</v>
      </c>
      <c r="J20">
        <f>IF(Расчет!D9+Расчет!D10=B10,B10,K20)</f>
        <v>1.6</v>
      </c>
      <c r="K20">
        <f>IF(Расчет!D9+Расчет!D10&lt;B10,Расчет!D9+Расчет!D10,I20)</f>
        <v>1.6</v>
      </c>
      <c r="L20" s="15">
        <f>IF(K20&lt;=0,0,K20)</f>
        <v>1.6</v>
      </c>
      <c r="M20" s="331"/>
      <c r="O20" s="30" t="s">
        <v>32</v>
      </c>
      <c r="P20" s="188" t="e">
        <f>IFERROR(6300/(2*Расчет!F6),NA())</f>
        <v>#N/A</v>
      </c>
      <c r="Q20" t="s">
        <v>31</v>
      </c>
      <c r="R20" s="47" t="e">
        <f t="shared" ref="R20:R30" si="1">IFERROR(P20/1.5,NA())</f>
        <v>#N/A</v>
      </c>
      <c r="S20" s="44" t="s">
        <v>31</v>
      </c>
    </row>
    <row r="21" spans="1:19">
      <c r="A21" s="30" t="s">
        <v>7</v>
      </c>
      <c r="B21" s="32">
        <f>6300/(2*J16)</f>
        <v>891.95577358326875</v>
      </c>
      <c r="C21" s="34" t="s">
        <v>31</v>
      </c>
      <c r="D21" s="15">
        <f t="shared" si="0"/>
        <v>594.63718238884587</v>
      </c>
      <c r="E21" s="45" t="s">
        <v>31</v>
      </c>
      <c r="H21" s="7"/>
      <c r="L21" s="3"/>
      <c r="M21" s="331"/>
      <c r="O21" s="30" t="s">
        <v>7</v>
      </c>
      <c r="P21" s="189" t="e">
        <f>IFERROR(6300/(2*J17),NA())</f>
        <v>#N/A</v>
      </c>
      <c r="Q21" s="41" t="s">
        <v>31</v>
      </c>
      <c r="R21" s="15" t="e">
        <f t="shared" si="1"/>
        <v>#N/A</v>
      </c>
      <c r="S21" s="45" t="s">
        <v>31</v>
      </c>
    </row>
    <row r="22" spans="1:19">
      <c r="A22" s="30" t="s">
        <v>8</v>
      </c>
      <c r="B22" s="32">
        <f>6300/(2*J27)</f>
        <v>454.86457853061512</v>
      </c>
      <c r="C22" s="34" t="s">
        <v>31</v>
      </c>
      <c r="D22" s="48">
        <f t="shared" si="0"/>
        <v>303.24305235374339</v>
      </c>
      <c r="E22" s="45" t="s">
        <v>31</v>
      </c>
      <c r="H22" s="20">
        <v>2</v>
      </c>
      <c r="I22">
        <f>IF(Расчет!D12+Расчет!D13&lt;=0,0,J22)</f>
        <v>0</v>
      </c>
      <c r="J22">
        <f>IF(B10&lt;=Расчет!D9+Расчет!D10,0,K22)</f>
        <v>0</v>
      </c>
      <c r="K22">
        <f>IF(B10&gt;=Расчет!D9+Расчет!D10+Расчет!D12+Расчет!D13,Расчет!D12+Расчет!D13,B10-(Расчет!D9+Расчет!D10))</f>
        <v>-0.39999999999999991</v>
      </c>
      <c r="L22" s="15">
        <f>IF(K22&lt;=0,0,K22)</f>
        <v>0</v>
      </c>
      <c r="M22" s="331"/>
      <c r="O22" s="30" t="s">
        <v>8</v>
      </c>
      <c r="P22" s="190" t="e">
        <f>IFERROR(6300/(2*J28),NA())</f>
        <v>#N/A</v>
      </c>
      <c r="Q22" s="41" t="s">
        <v>31</v>
      </c>
      <c r="R22" s="15" t="e">
        <f t="shared" si="1"/>
        <v>#N/A</v>
      </c>
      <c r="S22" s="45" t="s">
        <v>31</v>
      </c>
    </row>
    <row r="23" spans="1:19">
      <c r="A23" s="30" t="s">
        <v>9</v>
      </c>
      <c r="B23" s="32">
        <f>6300/(2*J38)</f>
        <v>304.82500824396641</v>
      </c>
      <c r="C23" s="34" t="s">
        <v>31</v>
      </c>
      <c r="D23" s="48">
        <f t="shared" si="0"/>
        <v>203.21667216264427</v>
      </c>
      <c r="E23" s="45" t="s">
        <v>31</v>
      </c>
      <c r="H23" s="7"/>
      <c r="L23" s="3"/>
      <c r="M23" s="331"/>
      <c r="O23" s="30" t="s">
        <v>9</v>
      </c>
      <c r="P23" s="190" t="e">
        <f>IFERROR(6300/(2*J39),NA())</f>
        <v>#N/A</v>
      </c>
      <c r="Q23" s="41" t="s">
        <v>31</v>
      </c>
      <c r="R23" s="15" t="e">
        <f t="shared" si="1"/>
        <v>#N/A</v>
      </c>
      <c r="S23" s="45" t="s">
        <v>31</v>
      </c>
    </row>
    <row r="24" spans="1:19">
      <c r="A24" s="30" t="s">
        <v>10</v>
      </c>
      <c r="B24" s="32">
        <f>6300/(2*J49)</f>
        <v>229.15214187618625</v>
      </c>
      <c r="C24" s="34" t="s">
        <v>31</v>
      </c>
      <c r="D24" s="48">
        <f t="shared" si="0"/>
        <v>152.76809458412416</v>
      </c>
      <c r="E24" s="45" t="s">
        <v>31</v>
      </c>
      <c r="H24" s="20">
        <v>3</v>
      </c>
      <c r="I24">
        <f>IF(Расчет!D15+Расчет!D16&lt;=0,0,J24)</f>
        <v>0</v>
      </c>
      <c r="J24">
        <f>IF(B10&lt;=Расчет!D9+Расчет!D10+Расчет!D12+Расчет!D13,0,K24)</f>
        <v>0</v>
      </c>
      <c r="K24">
        <f>IF(B10&gt;=Расчет!D9+Расчет!D10+Расчет!D12+Расчет!D13+Расчет!D15+Расчет!D16,Расчет!D15+Расчет!D16,B10-(Расчет!D9+Расчет!D10+Расчет!D12+Расчет!D13))</f>
        <v>-2.4</v>
      </c>
      <c r="L24" s="15">
        <f>IF(K24&lt;=0,0,K24)</f>
        <v>0</v>
      </c>
      <c r="M24" s="331"/>
      <c r="O24" s="30" t="s">
        <v>10</v>
      </c>
      <c r="P24" s="190" t="e">
        <f>IFERROR(6300/(2*J50),NA())</f>
        <v>#N/A</v>
      </c>
      <c r="Q24" s="41" t="s">
        <v>31</v>
      </c>
      <c r="R24" s="15" t="e">
        <f t="shared" si="1"/>
        <v>#N/A</v>
      </c>
      <c r="S24" s="45" t="s">
        <v>31</v>
      </c>
    </row>
    <row r="25" spans="1:19">
      <c r="A25" s="30" t="s">
        <v>11</v>
      </c>
      <c r="B25" s="32">
        <f>6300/(2*J60)</f>
        <v>183.56199987721141</v>
      </c>
      <c r="C25" s="34" t="s">
        <v>31</v>
      </c>
      <c r="D25" s="48">
        <f t="shared" si="0"/>
        <v>122.3746665848076</v>
      </c>
      <c r="E25" s="45" t="s">
        <v>31</v>
      </c>
      <c r="H25" s="7"/>
      <c r="L25" s="3"/>
      <c r="M25" s="331"/>
      <c r="O25" s="30" t="s">
        <v>11</v>
      </c>
      <c r="P25" s="190" t="e">
        <f>IFERROR(6300/(2*J61),NA())</f>
        <v>#N/A</v>
      </c>
      <c r="Q25" s="41" t="s">
        <v>31</v>
      </c>
      <c r="R25" s="15" t="e">
        <f t="shared" si="1"/>
        <v>#N/A</v>
      </c>
      <c r="S25" s="45" t="s">
        <v>31</v>
      </c>
    </row>
    <row r="26" spans="1:19" ht="13.5" thickBot="1">
      <c r="A26" s="30" t="s">
        <v>12</v>
      </c>
      <c r="B26" s="32">
        <f>6300/(2*J71)</f>
        <v>153.09628526363929</v>
      </c>
      <c r="C26" s="34" t="s">
        <v>31</v>
      </c>
      <c r="D26" s="48">
        <f t="shared" si="0"/>
        <v>102.06419017575952</v>
      </c>
      <c r="E26" s="45" t="s">
        <v>31</v>
      </c>
      <c r="H26" s="20">
        <v>4</v>
      </c>
      <c r="I26">
        <f>IF(Расчет!D18+Расчет!D19&lt;=0,0,J26)</f>
        <v>0</v>
      </c>
      <c r="J26">
        <f>IF(B10&lt;=Расчет!D9+Расчет!D10+Расчет!D12+Расчет!D13+Расчет!D15+Расчет!D16,0,K26)</f>
        <v>0</v>
      </c>
      <c r="K26">
        <f>IF(B10&gt;=Расчет!D9+Расчет!D10+Расчет!D12+Расчет!D13+Расчет!D15+Расчет!D16+Расчет!D18+Расчет!D19,Расчет!D18+Расчет!D19,B10-(Расчет!D9+Расчет!D10+Расчет!D12+Расчет!D13+Расчет!D15+Расчет!D16))</f>
        <v>-4.4000000000000004</v>
      </c>
      <c r="L26" s="15">
        <f>IF(K26&lt;=0,0,K26)</f>
        <v>0</v>
      </c>
      <c r="M26" s="331"/>
      <c r="O26" s="30" t="s">
        <v>12</v>
      </c>
      <c r="P26" s="190" t="e">
        <f>IFERROR(6300/(2*J72),NA())</f>
        <v>#N/A</v>
      </c>
      <c r="Q26" s="41" t="s">
        <v>31</v>
      </c>
      <c r="R26" s="15" t="e">
        <f t="shared" si="1"/>
        <v>#N/A</v>
      </c>
      <c r="S26" s="45" t="s">
        <v>31</v>
      </c>
    </row>
    <row r="27" spans="1:19" ht="15" thickBot="1">
      <c r="A27" s="30" t="s">
        <v>13</v>
      </c>
      <c r="B27" s="32">
        <f>6300/(2*J82)</f>
        <v>131.30137977998902</v>
      </c>
      <c r="C27" s="34" t="s">
        <v>31</v>
      </c>
      <c r="D27" s="48">
        <f t="shared" si="0"/>
        <v>87.534253186659342</v>
      </c>
      <c r="E27" s="45" t="s">
        <v>31</v>
      </c>
      <c r="H27" s="21" t="s">
        <v>27</v>
      </c>
      <c r="I27" s="22" t="s">
        <v>28</v>
      </c>
      <c r="J27" s="25">
        <f>SQRT((SUMSQ(L20*(Расчет!E9+Расчет!E10)+L22*(Расчет!E12+Расчет!E13)+L24*(Расчет!E15+Расчет!E16)+L26*(Расчет!E18+Расчет!E19)))+(SUMSQ(Расчет!F5+L20*(Расчет!F9+Расчет!F10)+L22*(Расчет!F12+Расчет!F13)+L24*(Расчет!F15+Расчет!F16)+L26*(Расчет!F18+Расчет!F19))))</f>
        <v>6.9251380491655192</v>
      </c>
      <c r="K27" s="160" t="s">
        <v>141</v>
      </c>
      <c r="L27" s="26"/>
      <c r="M27" s="27"/>
      <c r="O27" s="30" t="s">
        <v>13</v>
      </c>
      <c r="P27" s="190" t="e">
        <f>IFERROR(6300/(2*J83),NA())</f>
        <v>#N/A</v>
      </c>
      <c r="Q27" s="41" t="s">
        <v>31</v>
      </c>
      <c r="R27" s="15" t="e">
        <f t="shared" si="1"/>
        <v>#N/A</v>
      </c>
      <c r="S27" s="45" t="s">
        <v>31</v>
      </c>
    </row>
    <row r="28" spans="1:19" ht="15" thickBot="1">
      <c r="A28" s="30" t="s">
        <v>14</v>
      </c>
      <c r="B28" s="32">
        <f>6300/(2*J93)</f>
        <v>114.93744856736167</v>
      </c>
      <c r="C28" s="34" t="s">
        <v>31</v>
      </c>
      <c r="D28" s="48">
        <f t="shared" si="0"/>
        <v>76.624965711574447</v>
      </c>
      <c r="E28" s="45" t="s">
        <v>31</v>
      </c>
      <c r="J28" s="193" t="str">
        <f>IFERROR(SQRT((SUMSQ(L20*(Расчет!E9+Расчет!E10)+L22*(Расчет!E12+Расчет!E13)+L24*(Расчет!E15+Расчет!E16)+L26*(Расчет!E18+Расчет!E19)))+(SUMSQ(Расчет!F6+L20*(Расчет!F9+Расчет!F10)+L22*(Расчет!F12+Расчет!F13)+L24*(Расчет!F15+Расчет!F16)+L26*(Расчет!F18+Расчет!F19)))),"---")</f>
        <v>---</v>
      </c>
      <c r="K28" s="156" t="s">
        <v>31</v>
      </c>
      <c r="O28" s="30" t="s">
        <v>14</v>
      </c>
      <c r="P28" s="190" t="e">
        <f>IFERROR(6300/(2*J94),NA())</f>
        <v>#N/A</v>
      </c>
      <c r="Q28" s="41" t="s">
        <v>31</v>
      </c>
      <c r="R28" s="15" t="e">
        <f t="shared" si="1"/>
        <v>#N/A</v>
      </c>
      <c r="S28" s="45" t="s">
        <v>31</v>
      </c>
    </row>
    <row r="29" spans="1:19" ht="13.5" thickBot="1">
      <c r="A29" s="30" t="s">
        <v>15</v>
      </c>
      <c r="B29" s="32">
        <f>6300/(2*J104)</f>
        <v>102.19972160433029</v>
      </c>
      <c r="C29" s="34" t="s">
        <v>31</v>
      </c>
      <c r="D29" s="48">
        <f t="shared" si="0"/>
        <v>68.133147736220195</v>
      </c>
      <c r="E29" s="45" t="s">
        <v>31</v>
      </c>
      <c r="H29" s="18" t="s">
        <v>142</v>
      </c>
      <c r="I29" s="165"/>
      <c r="J29" s="19"/>
      <c r="K29" s="5"/>
      <c r="L29" s="16" t="s">
        <v>16</v>
      </c>
      <c r="M29" s="17" t="s">
        <v>18</v>
      </c>
      <c r="O29" s="30" t="s">
        <v>15</v>
      </c>
      <c r="P29" s="190" t="e">
        <f>IFERROR(6300/(2*J105),NA())</f>
        <v>#N/A</v>
      </c>
      <c r="Q29" s="41" t="s">
        <v>31</v>
      </c>
      <c r="R29" s="15" t="e">
        <f t="shared" si="1"/>
        <v>#N/A</v>
      </c>
      <c r="S29" s="45" t="s">
        <v>31</v>
      </c>
    </row>
    <row r="30" spans="1:19" ht="13.5" customHeight="1" thickBot="1">
      <c r="A30" s="31" t="s">
        <v>1</v>
      </c>
      <c r="B30" s="33">
        <f>6300/(2*J115)</f>
        <v>92.003242367296878</v>
      </c>
      <c r="C30" s="35" t="s">
        <v>31</v>
      </c>
      <c r="D30" s="49">
        <f t="shared" si="0"/>
        <v>61.335494911531249</v>
      </c>
      <c r="E30" s="46" t="s">
        <v>31</v>
      </c>
      <c r="H30" s="7"/>
      <c r="L30" s="7"/>
      <c r="M30" s="331" t="b">
        <f>IF(L31+L33+L35+L37=B11,TRUE,FALSE)</f>
        <v>1</v>
      </c>
      <c r="O30" s="31" t="s">
        <v>1</v>
      </c>
      <c r="P30" s="191" t="e">
        <f>IFERROR(6300/(2*J116),NA())</f>
        <v>#N/A</v>
      </c>
      <c r="Q30" s="192" t="s">
        <v>31</v>
      </c>
      <c r="R30" s="162" t="e">
        <f t="shared" si="1"/>
        <v>#N/A</v>
      </c>
      <c r="S30" s="46" t="s">
        <v>31</v>
      </c>
    </row>
    <row r="31" spans="1:19" ht="13.5" thickBot="1">
      <c r="A31" s="38" t="s">
        <v>33</v>
      </c>
      <c r="B31" s="36">
        <f>B30/1.5</f>
        <v>61.335494911531249</v>
      </c>
      <c r="C31" s="39" t="s">
        <v>31</v>
      </c>
      <c r="H31" s="20">
        <v>1</v>
      </c>
      <c r="I31">
        <f>IF(Расчет!D9+Расчет!D10&gt;=B11,B11,K31)</f>
        <v>2</v>
      </c>
      <c r="J31">
        <f>IF(Расчет!D9+Расчет!D10=B11,B11,K31)</f>
        <v>2</v>
      </c>
      <c r="K31">
        <f>IF(Расчет!D9+Расчет!D10&lt;B11,Расчет!D9+Расчет!D10,I31)</f>
        <v>2</v>
      </c>
      <c r="L31" s="15">
        <f>IF(K31&lt;=0,0,K31)</f>
        <v>2</v>
      </c>
      <c r="M31" s="331"/>
      <c r="O31" s="38" t="s">
        <v>33</v>
      </c>
      <c r="P31" s="36" t="str">
        <f>IFERROR(P30/1.5,"---")</f>
        <v>---</v>
      </c>
      <c r="Q31" s="39" t="s">
        <v>31</v>
      </c>
    </row>
    <row r="32" spans="1:19" ht="13.5" thickBot="1">
      <c r="A32" s="38" t="s">
        <v>33</v>
      </c>
      <c r="B32" s="36">
        <f>B30/1.5</f>
        <v>61.335494911531249</v>
      </c>
      <c r="C32" s="39" t="s">
        <v>31</v>
      </c>
      <c r="H32" s="7"/>
      <c r="L32" s="7"/>
      <c r="M32" s="331"/>
      <c r="O32" s="38" t="s">
        <v>33</v>
      </c>
      <c r="P32" s="36" t="str">
        <f>IFERROR(P30/1.5,"---")</f>
        <v>---</v>
      </c>
      <c r="Q32" s="39" t="s">
        <v>31</v>
      </c>
    </row>
    <row r="33" spans="1:17" ht="13.5" thickBot="1">
      <c r="A33" s="38" t="s">
        <v>33</v>
      </c>
      <c r="B33" s="36">
        <f>B30/1.5</f>
        <v>61.335494911531249</v>
      </c>
      <c r="C33" s="39" t="s">
        <v>31</v>
      </c>
      <c r="H33" s="20">
        <v>2</v>
      </c>
      <c r="I33">
        <f>IF(Расчет!D12+Расчет!D13&lt;=0,0,J33)</f>
        <v>0.39999999999999991</v>
      </c>
      <c r="J33">
        <f>IF(B11&lt;=Расчет!D9+Расчет!D10,0,K33)</f>
        <v>0.39999999999999991</v>
      </c>
      <c r="K33">
        <f>IF(B11&gt;=Расчет!D9+Расчет!D10+Расчет!D12+Расчет!D13,Расчет!D12+Расчет!D13,B11-(Расчет!D9+Расчет!D10))</f>
        <v>0.39999999999999991</v>
      </c>
      <c r="L33" s="15">
        <f>IF(K33&lt;=0,0,K33)</f>
        <v>0.39999999999999991</v>
      </c>
      <c r="M33" s="331"/>
      <c r="O33" s="38" t="s">
        <v>33</v>
      </c>
      <c r="P33" s="36" t="str">
        <f>IFERROR(P30/1.5,"---")</f>
        <v>---</v>
      </c>
      <c r="Q33" s="39" t="s">
        <v>31</v>
      </c>
    </row>
    <row r="34" spans="1:17" ht="13.5" thickBot="1">
      <c r="A34" s="38" t="s">
        <v>33</v>
      </c>
      <c r="B34" s="36">
        <f>B30/1.5</f>
        <v>61.335494911531249</v>
      </c>
      <c r="C34" s="39" t="s">
        <v>31</v>
      </c>
      <c r="H34" s="7"/>
      <c r="L34" s="7"/>
      <c r="M34" s="331"/>
      <c r="O34" s="38" t="s">
        <v>33</v>
      </c>
      <c r="P34" s="36" t="str">
        <f>IFERROR(P30/1.5,"---")</f>
        <v>---</v>
      </c>
      <c r="Q34" s="39" t="s">
        <v>31</v>
      </c>
    </row>
    <row r="35" spans="1:17" ht="13.5" thickBot="1">
      <c r="A35" s="38" t="s">
        <v>33</v>
      </c>
      <c r="B35" s="36">
        <f>B30/1.5</f>
        <v>61.335494911531249</v>
      </c>
      <c r="C35" s="39" t="s">
        <v>31</v>
      </c>
      <c r="H35" s="20">
        <v>3</v>
      </c>
      <c r="I35">
        <f>IF(Расчет!D15+Расчет!D16&lt;=0,0,J35)</f>
        <v>0</v>
      </c>
      <c r="J35">
        <f>IF(B11&lt;=Расчет!D9+Расчет!D10+Расчет!D12+Расчет!D13,0,K35)</f>
        <v>0</v>
      </c>
      <c r="K35">
        <f>IF(B11&gt;=Расчет!D9+Расчет!D10+Расчет!D12+Расчет!D13+Расчет!D15+Расчет!D16,Расчет!D15+Расчет!D16,B11-(Расчет!D9+Расчет!D10+Расчет!D12+Расчет!D13))</f>
        <v>-1.6</v>
      </c>
      <c r="L35" s="15">
        <f>IF(K35&lt;=0,0,K35)</f>
        <v>0</v>
      </c>
      <c r="M35" s="331"/>
      <c r="O35" s="38" t="s">
        <v>33</v>
      </c>
      <c r="P35" s="36" t="str">
        <f>IFERROR(P30/1.5,"---")</f>
        <v>---</v>
      </c>
      <c r="Q35" s="39" t="s">
        <v>31</v>
      </c>
    </row>
    <row r="36" spans="1:17" ht="13.5" thickBot="1">
      <c r="A36" s="38" t="s">
        <v>33</v>
      </c>
      <c r="B36" s="36">
        <f>B30/1.5</f>
        <v>61.335494911531249</v>
      </c>
      <c r="C36" s="39" t="s">
        <v>31</v>
      </c>
      <c r="H36" s="7"/>
      <c r="L36" s="7"/>
      <c r="M36" s="331"/>
      <c r="O36" s="38" t="s">
        <v>33</v>
      </c>
      <c r="P36" s="36" t="str">
        <f>IFERROR(P30/1.5,"---")</f>
        <v>---</v>
      </c>
      <c r="Q36" s="39" t="s">
        <v>31</v>
      </c>
    </row>
    <row r="37" spans="1:17" ht="13.5" thickBot="1">
      <c r="A37" s="38" t="s">
        <v>33</v>
      </c>
      <c r="B37" s="36">
        <f>B30/1.5</f>
        <v>61.335494911531249</v>
      </c>
      <c r="C37" s="39" t="s">
        <v>31</v>
      </c>
      <c r="H37" s="20">
        <v>4</v>
      </c>
      <c r="I37">
        <f>IF(Расчет!D18+Расчет!D19&lt;=0,0,J37)</f>
        <v>0</v>
      </c>
      <c r="J37">
        <f>IF(B11&lt;=Расчет!D9+Расчет!D10+Расчет!D12+Расчет!D13+Расчет!D15+Расчет!D16,0,K37)</f>
        <v>0</v>
      </c>
      <c r="K37">
        <f>IF(B11&gt;=Расчет!D9+Расчет!D10+Расчет!D12+Расчет!D13+Расчет!D15+Расчет!D16+Расчет!D18+Расчет!D19,Расчет!D18+Расчет!D19,B11-(Расчет!D9+Расчет!D10+Расчет!D12+Расчет!D13+Расчет!D15+Расчет!D16))</f>
        <v>-3.6</v>
      </c>
      <c r="L37" s="15">
        <f>IF(K37&lt;=0,0,K37)</f>
        <v>0</v>
      </c>
      <c r="M37" s="331"/>
      <c r="O37" s="38" t="s">
        <v>33</v>
      </c>
      <c r="P37" s="36" t="str">
        <f>IFERROR(P30/1.5,"---")</f>
        <v>---</v>
      </c>
      <c r="Q37" s="39" t="s">
        <v>31</v>
      </c>
    </row>
    <row r="38" spans="1:17" ht="15" thickBot="1">
      <c r="A38" s="38" t="s">
        <v>33</v>
      </c>
      <c r="B38" s="36">
        <f>B30/1.5</f>
        <v>61.335494911531249</v>
      </c>
      <c r="C38" s="39" t="s">
        <v>31</v>
      </c>
      <c r="H38" s="21" t="s">
        <v>27</v>
      </c>
      <c r="I38" s="22" t="s">
        <v>28</v>
      </c>
      <c r="J38" s="25">
        <f>SQRT((SUMSQ(L31*(Расчет!E9+Расчет!E10)+L33*(Расчет!E12+Расчет!E13)+L35*(Расчет!E15+Расчет!E16)+L37*(Расчет!E18+Расчет!E19)))+(SUMSQ(Расчет!F5+L31*(Расчет!F9+Расчет!F10)+L33*(Расчет!F12+Расчет!F13)+L35*(Расчет!F15+Расчет!F16)+L37*(Расчет!F18+Расчет!F19))))</f>
        <v>10.33379780138938</v>
      </c>
      <c r="K38" s="160" t="s">
        <v>141</v>
      </c>
      <c r="L38" s="26"/>
      <c r="M38" s="27"/>
      <c r="O38" s="38" t="s">
        <v>33</v>
      </c>
      <c r="P38" s="36" t="str">
        <f>IFERROR(P30/1.5,"---")</f>
        <v>---</v>
      </c>
      <c r="Q38" s="39" t="s">
        <v>31</v>
      </c>
    </row>
    <row r="39" spans="1:17" ht="15" thickBot="1">
      <c r="A39" s="38" t="s">
        <v>33</v>
      </c>
      <c r="B39" s="36">
        <f>B30/1.5</f>
        <v>61.335494911531249</v>
      </c>
      <c r="C39" s="39" t="s">
        <v>31</v>
      </c>
      <c r="J39" s="193" t="str">
        <f>IFERROR(SQRT((SUMSQ(L31*(Расчет!E9+Расчет!E10)+L33*(Расчет!E12+Расчет!E13)+L35*(Расчет!E15+Расчет!E16)+L37*(Расчет!E18+Расчет!E19)))+(SUMSQ(Расчет!F6+L31*(Расчет!F9+Расчет!F10)+L33*(Расчет!F12+Расчет!F13)+L35*(Расчет!F15+Расчет!F16)+L37*(Расчет!F18+Расчет!F19)))),"---")</f>
        <v>---</v>
      </c>
      <c r="K39" s="156" t="s">
        <v>31</v>
      </c>
      <c r="O39" s="38" t="s">
        <v>33</v>
      </c>
      <c r="P39" s="36" t="str">
        <f>IFERROR(P30/1.5,"---")</f>
        <v>---</v>
      </c>
      <c r="Q39" s="39" t="s">
        <v>31</v>
      </c>
    </row>
    <row r="40" spans="1:17" ht="13.5" thickBot="1">
      <c r="A40" s="38" t="s">
        <v>33</v>
      </c>
      <c r="B40" s="36">
        <f>B30/1.5</f>
        <v>61.335494911531249</v>
      </c>
      <c r="C40" s="39" t="s">
        <v>31</v>
      </c>
      <c r="H40" s="18" t="s">
        <v>20</v>
      </c>
      <c r="I40" s="19"/>
      <c r="J40" s="19"/>
      <c r="K40" s="5"/>
      <c r="L40" s="16" t="s">
        <v>16</v>
      </c>
      <c r="M40" s="17" t="s">
        <v>18</v>
      </c>
      <c r="O40" s="38" t="s">
        <v>33</v>
      </c>
      <c r="P40" s="36" t="str">
        <f>IFERROR(P30/1.5,"---")</f>
        <v>---</v>
      </c>
      <c r="Q40" s="39" t="s">
        <v>31</v>
      </c>
    </row>
    <row r="41" spans="1:17" ht="13.5" customHeight="1" thickBot="1">
      <c r="A41" s="38" t="s">
        <v>33</v>
      </c>
      <c r="B41" s="36">
        <f>B30/1.5</f>
        <v>61.335494911531249</v>
      </c>
      <c r="C41" s="39" t="s">
        <v>31</v>
      </c>
      <c r="H41" s="7"/>
      <c r="L41" s="1"/>
      <c r="M41" s="331" t="b">
        <f>IF(L42+L44+L46+L48=B12,TRUE,FALSE)</f>
        <v>1</v>
      </c>
      <c r="O41" s="38" t="s">
        <v>33</v>
      </c>
      <c r="P41" s="36" t="str">
        <f>IFERROR(P30/1.5,"---")</f>
        <v>---</v>
      </c>
      <c r="Q41" s="39" t="s">
        <v>31</v>
      </c>
    </row>
    <row r="42" spans="1:17" ht="13.5" thickBot="1">
      <c r="A42" s="40"/>
      <c r="C42" s="41"/>
      <c r="H42" s="20">
        <v>1</v>
      </c>
      <c r="I42">
        <f>IF(Расчет!D9+Расчет!D10&gt;=B12,B12,K42)</f>
        <v>2</v>
      </c>
      <c r="J42">
        <f>IF(Расчет!D9+Расчет!D10=B12,B12,K42)</f>
        <v>2</v>
      </c>
      <c r="K42">
        <f>IF(Расчет!D9+Расчет!D10&lt;B12,Расчет!D9+Расчет!D10,I42)</f>
        <v>2</v>
      </c>
      <c r="L42" s="15">
        <f>IF(K42&lt;=0,0,K42)</f>
        <v>2</v>
      </c>
      <c r="M42" s="331"/>
    </row>
    <row r="43" spans="1:17" ht="13.5" thickBot="1">
      <c r="A43" s="28" t="s">
        <v>47</v>
      </c>
      <c r="B43" s="26"/>
      <c r="C43" s="27"/>
      <c r="D43" s="42"/>
      <c r="E43" s="42"/>
      <c r="H43" s="7"/>
      <c r="L43" s="3"/>
      <c r="M43" s="331"/>
      <c r="O43" s="28" t="s">
        <v>47</v>
      </c>
      <c r="P43" s="26"/>
      <c r="Q43" s="27"/>
    </row>
    <row r="44" spans="1:17" ht="13.5" thickBot="1">
      <c r="A44" s="50" t="s">
        <v>48</v>
      </c>
      <c r="B44" s="187">
        <f>IFERROR(6300/(SQRT(3)*J118),"---")</f>
        <v>98.61123989226688</v>
      </c>
      <c r="C44" s="46" t="s">
        <v>31</v>
      </c>
      <c r="H44" s="20">
        <v>2</v>
      </c>
      <c r="I44">
        <f>IF(Расчет!D12+Расчет!D13&lt;=0,0,J44)</f>
        <v>1.2000000000000002</v>
      </c>
      <c r="J44">
        <f>IF(B12&lt;=Расчет!D9+Расчет!D10,0,K44)</f>
        <v>1.2000000000000002</v>
      </c>
      <c r="K44">
        <f>IF(B12&gt;=Расчет!D9+Расчет!D10+Расчет!D12+Расчет!D13,Расчет!D12+Расчет!D13,B12-(Расчет!D9+Расчет!D10))</f>
        <v>1.2000000000000002</v>
      </c>
      <c r="L44" s="15">
        <f>IF(K44&lt;=0,0,K44)</f>
        <v>1.2000000000000002</v>
      </c>
      <c r="M44" s="331"/>
      <c r="O44" s="50" t="s">
        <v>48</v>
      </c>
      <c r="P44" s="187" t="str">
        <f>IFERROR(6300/(SQRT(3)*J119),"---")</f>
        <v>---</v>
      </c>
      <c r="Q44" s="46" t="s">
        <v>31</v>
      </c>
    </row>
    <row r="45" spans="1:17" ht="13.5" thickBot="1">
      <c r="A45" s="37" t="s">
        <v>42</v>
      </c>
      <c r="B45" s="1">
        <f>Расчет!K26</f>
        <v>20</v>
      </c>
      <c r="C45" s="46" t="s">
        <v>31</v>
      </c>
      <c r="H45" s="7"/>
      <c r="L45" s="3"/>
      <c r="M45" s="331"/>
      <c r="O45" s="37" t="s">
        <v>42</v>
      </c>
      <c r="P45" s="1" t="str">
        <f>IF(Расчет!$F$6="---","---",Расчет!$K$26)</f>
        <v>---</v>
      </c>
      <c r="Q45" s="46" t="s">
        <v>31</v>
      </c>
    </row>
    <row r="46" spans="1:17" ht="13.5" thickBot="1">
      <c r="A46" s="54" t="s">
        <v>42</v>
      </c>
      <c r="B46" s="3">
        <f>Расчет!K26</f>
        <v>20</v>
      </c>
      <c r="C46" s="46" t="s">
        <v>31</v>
      </c>
      <c r="H46" s="20">
        <v>3</v>
      </c>
      <c r="I46">
        <f>IF(Расчет!D15+Расчет!D16&lt;=0,0,J46)</f>
        <v>0</v>
      </c>
      <c r="J46">
        <f>IF(B12&lt;=Расчет!D9+Расчет!D10+Расчет!D12+Расчет!D13,0,K46)</f>
        <v>0</v>
      </c>
      <c r="K46">
        <f>IF(B12&gt;=Расчет!D9+Расчет!D10+Расчет!D12+Расчет!D13+Расчет!D15+Расчет!D16,Расчет!D15+Расчет!D16,B12-(Расчет!D9+Расчет!D10+Расчет!D12+Расчет!D13))</f>
        <v>-0.79999999999999982</v>
      </c>
      <c r="L46" s="15">
        <f>IF(K46&lt;=0,0,K46)</f>
        <v>0</v>
      </c>
      <c r="M46" s="331"/>
      <c r="O46" s="54" t="s">
        <v>42</v>
      </c>
      <c r="P46" s="3" t="str">
        <f>IF(Расчет!$F$6="---","---",Расчет!$K$26)</f>
        <v>---</v>
      </c>
      <c r="Q46" s="46" t="s">
        <v>31</v>
      </c>
    </row>
    <row r="47" spans="1:17" ht="13.5" thickBot="1">
      <c r="A47" s="54" t="s">
        <v>42</v>
      </c>
      <c r="B47" s="3">
        <f>Расчет!K26</f>
        <v>20</v>
      </c>
      <c r="C47" s="46" t="s">
        <v>31</v>
      </c>
      <c r="H47" s="7"/>
      <c r="L47" s="3"/>
      <c r="M47" s="331"/>
      <c r="O47" s="54" t="s">
        <v>42</v>
      </c>
      <c r="P47" s="3" t="str">
        <f>IF(Расчет!$F$6="---","---",Расчет!$K$26)</f>
        <v>---</v>
      </c>
      <c r="Q47" s="46" t="s">
        <v>31</v>
      </c>
    </row>
    <row r="48" spans="1:17" ht="13.5" thickBot="1">
      <c r="A48" s="54" t="s">
        <v>42</v>
      </c>
      <c r="B48" s="3">
        <f>Расчет!K26</f>
        <v>20</v>
      </c>
      <c r="C48" s="46" t="s">
        <v>31</v>
      </c>
      <c r="H48" s="20">
        <v>4</v>
      </c>
      <c r="I48">
        <f>IF(Расчет!D18+Расчет!D19&lt;=0,0,J48)</f>
        <v>0</v>
      </c>
      <c r="J48">
        <f>IF(B12&lt;=Расчет!D9+Расчет!D10+Расчет!D12+Расчет!D13+Расчет!D15+Расчет!D16,0,K48)</f>
        <v>0</v>
      </c>
      <c r="K48">
        <f>IF(B12&gt;=Расчет!D9+Расчет!D10+Расчет!D12+Расчет!D13+Расчет!D15+Расчет!D16+Расчет!D18+Расчет!D19,Расчет!D18+Расчет!D19,B12-(Расчет!D9+Расчет!D10+Расчет!D12+Расчет!D13+Расчет!D15+Расчет!D16))</f>
        <v>-2.8</v>
      </c>
      <c r="L48" s="15">
        <f>IF(K48&lt;=0,0,K48)</f>
        <v>0</v>
      </c>
      <c r="M48" s="331"/>
      <c r="O48" s="54" t="s">
        <v>42</v>
      </c>
      <c r="P48" s="3" t="str">
        <f>IF(Расчет!$F$6="---","---",Расчет!$K$26)</f>
        <v>---</v>
      </c>
      <c r="Q48" s="46" t="s">
        <v>31</v>
      </c>
    </row>
    <row r="49" spans="1:17" ht="15" thickBot="1">
      <c r="A49" s="54" t="s">
        <v>42</v>
      </c>
      <c r="B49" s="3">
        <f>Расчет!K26</f>
        <v>20</v>
      </c>
      <c r="C49" s="46" t="s">
        <v>31</v>
      </c>
      <c r="H49" s="21" t="s">
        <v>27</v>
      </c>
      <c r="I49" s="22" t="s">
        <v>28</v>
      </c>
      <c r="J49" s="25">
        <f>SQRT((SUMSQ(L42*(Расчет!E9+Расчет!E10)+L44*(Расчет!E12+Расчет!E13)+L46*(Расчет!E15+Расчет!E16)+L48*(Расчет!E18+Расчет!E19)))+(SUMSQ(Расчет!F5+L42*(Расчет!F9+Расчет!F10)+L44*(Расчет!F12+Расчет!F13)+L46*(Расчет!F15+Расчет!F16)+L48*(Расчет!F18+Расчет!F19))))</f>
        <v>13.746325800009254</v>
      </c>
      <c r="K49" s="160" t="s">
        <v>141</v>
      </c>
      <c r="L49" s="26"/>
      <c r="M49" s="27"/>
      <c r="O49" s="54" t="s">
        <v>42</v>
      </c>
      <c r="P49" s="3" t="str">
        <f>IF(Расчет!$F$6="---","---",Расчет!$K$26)</f>
        <v>---</v>
      </c>
      <c r="Q49" s="46" t="s">
        <v>31</v>
      </c>
    </row>
    <row r="50" spans="1:17" ht="15" thickBot="1">
      <c r="A50" s="54" t="s">
        <v>42</v>
      </c>
      <c r="B50" s="3">
        <f>Расчет!K26</f>
        <v>20</v>
      </c>
      <c r="C50" s="46" t="s">
        <v>31</v>
      </c>
      <c r="J50" s="193" t="str">
        <f>IFERROR(SQRT((SUMSQ(L42*(Расчет!E9+Расчет!E10)+L44*(Расчет!E12+Расчет!E13)+L46*(Расчет!E15+Расчет!E16)+L48*(Расчет!E18+Расчет!E19)))+(SUMSQ(Расчет!F6+L42*(Расчет!F9+Расчет!F10)+L44*(Расчет!F12+Расчет!F13)+L46*(Расчет!F15+Расчет!F16)+L48*(Расчет!F18+Расчет!F19)))),"---")</f>
        <v>---</v>
      </c>
      <c r="K50" s="156" t="s">
        <v>31</v>
      </c>
      <c r="O50" s="54" t="s">
        <v>42</v>
      </c>
      <c r="P50" s="3" t="str">
        <f>IF(Расчет!$F$6="---","---",Расчет!$K$26)</f>
        <v>---</v>
      </c>
      <c r="Q50" s="46" t="s">
        <v>31</v>
      </c>
    </row>
    <row r="51" spans="1:17" ht="13.5" thickBot="1">
      <c r="A51" s="54" t="s">
        <v>42</v>
      </c>
      <c r="B51" s="3">
        <f>Расчет!K26</f>
        <v>20</v>
      </c>
      <c r="C51" s="46" t="s">
        <v>31</v>
      </c>
      <c r="H51" s="18" t="s">
        <v>21</v>
      </c>
      <c r="I51" s="165"/>
      <c r="J51" s="19"/>
      <c r="K51" s="5"/>
      <c r="L51" s="16" t="s">
        <v>16</v>
      </c>
      <c r="M51" s="17" t="s">
        <v>18</v>
      </c>
      <c r="O51" s="54" t="s">
        <v>42</v>
      </c>
      <c r="P51" s="3" t="str">
        <f>IF(Расчет!$F$6="---","---",Расчет!$K$26)</f>
        <v>---</v>
      </c>
      <c r="Q51" s="46" t="s">
        <v>31</v>
      </c>
    </row>
    <row r="52" spans="1:17" ht="13.5" customHeight="1" thickBot="1">
      <c r="A52" s="54" t="s">
        <v>42</v>
      </c>
      <c r="B52" s="3">
        <f>Расчет!K26</f>
        <v>20</v>
      </c>
      <c r="C52" s="46" t="s">
        <v>31</v>
      </c>
      <c r="H52" s="7"/>
      <c r="L52" s="7"/>
      <c r="M52" s="331" t="b">
        <f>IF(L53+L55+L57+L59=B13,TRUE,FALSE)</f>
        <v>1</v>
      </c>
      <c r="O52" s="54" t="s">
        <v>42</v>
      </c>
      <c r="P52" s="3" t="str">
        <f>IF(Расчет!$F$6="---","---",Расчет!$K$26)</f>
        <v>---</v>
      </c>
      <c r="Q52" s="46" t="s">
        <v>31</v>
      </c>
    </row>
    <row r="53" spans="1:17" ht="13.5" thickBot="1">
      <c r="A53" s="54" t="s">
        <v>42</v>
      </c>
      <c r="B53" s="3">
        <f>Расчет!K26</f>
        <v>20</v>
      </c>
      <c r="C53" s="46" t="s">
        <v>31</v>
      </c>
      <c r="H53" s="20">
        <v>1</v>
      </c>
      <c r="I53">
        <f>IF(Расчет!D9+Расчет!D10&gt;=B13,B13,K53)</f>
        <v>2</v>
      </c>
      <c r="J53">
        <f>IF(Расчет!D9+Расчет!D10=B13,B13,K53)</f>
        <v>2</v>
      </c>
      <c r="K53">
        <f>IF(Расчет!D9+Расчет!D10&lt;B13,Расчет!D9+Расчет!D10,I53)</f>
        <v>2</v>
      </c>
      <c r="L53" s="15">
        <f>IF(K53&lt;=0,0,K53)</f>
        <v>2</v>
      </c>
      <c r="M53" s="331"/>
      <c r="O53" s="54" t="s">
        <v>42</v>
      </c>
      <c r="P53" s="3" t="str">
        <f>IF(Расчет!$F$6="---","---",Расчет!$K$26)</f>
        <v>---</v>
      </c>
      <c r="Q53" s="46" t="s">
        <v>31</v>
      </c>
    </row>
    <row r="54" spans="1:17" ht="13.5" thickBot="1">
      <c r="A54" s="54" t="s">
        <v>42</v>
      </c>
      <c r="B54" s="3">
        <f>Расчет!K26</f>
        <v>20</v>
      </c>
      <c r="C54" s="46" t="s">
        <v>31</v>
      </c>
      <c r="H54" s="7"/>
      <c r="L54" s="7"/>
      <c r="M54" s="331"/>
      <c r="O54" s="54" t="s">
        <v>42</v>
      </c>
      <c r="P54" s="3" t="str">
        <f>IF(Расчет!$F$6="---","---",Расчет!$K$26)</f>
        <v>---</v>
      </c>
      <c r="Q54" s="46" t="s">
        <v>31</v>
      </c>
    </row>
    <row r="55" spans="1:17" ht="13.5" thickBot="1">
      <c r="A55" s="55" t="s">
        <v>42</v>
      </c>
      <c r="B55" s="2">
        <f>Расчет!K26</f>
        <v>20</v>
      </c>
      <c r="C55" s="46" t="s">
        <v>31</v>
      </c>
      <c r="H55" s="20">
        <v>2</v>
      </c>
      <c r="I55">
        <f>IF(Расчет!D12+Расчет!D13&lt;=0,0,J55)</f>
        <v>2</v>
      </c>
      <c r="J55">
        <f>IF(B13&lt;=Расчет!D9+Расчет!D10,0,K55)</f>
        <v>2</v>
      </c>
      <c r="K55">
        <f>IF(B13&gt;=Расчет!D9+Расчет!D10+Расчет!D12+Расчет!D13,Расчет!D12+Расчет!D13,B13-(Расчет!D9+Расчет!D10))</f>
        <v>2</v>
      </c>
      <c r="L55" s="15">
        <f>IF(K55&lt;=0,0,K55)</f>
        <v>2</v>
      </c>
      <c r="M55" s="331"/>
      <c r="O55" s="55" t="s">
        <v>42</v>
      </c>
      <c r="P55" s="2" t="str">
        <f>IF(Расчет!$F$6="---","---",Расчет!$K$26)</f>
        <v>---</v>
      </c>
      <c r="Q55" s="46" t="s">
        <v>31</v>
      </c>
    </row>
    <row r="56" spans="1:17">
      <c r="A56" s="4"/>
      <c r="B56" s="5"/>
      <c r="C56" s="6"/>
      <c r="H56" s="7"/>
      <c r="L56" s="7"/>
      <c r="M56" s="331"/>
      <c r="O56" s="4"/>
      <c r="P56" s="5"/>
      <c r="Q56" s="6"/>
    </row>
    <row r="57" spans="1:17">
      <c r="A57" s="53" t="s">
        <v>49</v>
      </c>
      <c r="B57">
        <f>Расчет!K33</f>
        <v>20</v>
      </c>
      <c r="C57" s="45" t="s">
        <v>31</v>
      </c>
      <c r="H57" s="20">
        <v>3</v>
      </c>
      <c r="I57">
        <f>IF(Расчет!D15+Расчет!D16&lt;=0,0,J57)</f>
        <v>0</v>
      </c>
      <c r="J57">
        <f>IF(B13&lt;=Расчет!D9+Расчет!D10+Расчет!D12+Расчет!D13,0,K57)</f>
        <v>0</v>
      </c>
      <c r="K57">
        <f>IF(B13&gt;=Расчет!D9+Расчет!D10+Расчет!D12+Расчет!D13+Расчет!D15+Расчет!D16,Расчет!D15+Расчет!D16,B13-(Расчет!D9+Расчет!D10+Расчет!D12+Расчет!D13))</f>
        <v>0</v>
      </c>
      <c r="L57" s="15">
        <f>IF(K57&lt;=0,0,K57)</f>
        <v>0</v>
      </c>
      <c r="M57" s="331"/>
      <c r="O57" s="53" t="s">
        <v>49</v>
      </c>
      <c r="P57" t="str">
        <f>IF(Расчет!$F$6="---","---",Расчет!$K$33)</f>
        <v>---</v>
      </c>
      <c r="Q57" s="45" t="s">
        <v>31</v>
      </c>
    </row>
    <row r="58" spans="1:17">
      <c r="A58" s="53" t="s">
        <v>49</v>
      </c>
      <c r="B58">
        <f>Расчет!K33</f>
        <v>20</v>
      </c>
      <c r="C58" s="45" t="s">
        <v>31</v>
      </c>
      <c r="H58" s="7"/>
      <c r="L58" s="7"/>
      <c r="M58" s="331"/>
      <c r="O58" s="53" t="s">
        <v>49</v>
      </c>
      <c r="P58" t="str">
        <f>IF(Расчет!$F$6="---","---",Расчет!$K$33)</f>
        <v>---</v>
      </c>
      <c r="Q58" s="45" t="s">
        <v>31</v>
      </c>
    </row>
    <row r="59" spans="1:17" ht="13.5" thickBot="1">
      <c r="A59" s="53" t="s">
        <v>49</v>
      </c>
      <c r="B59">
        <f>Расчет!K33</f>
        <v>20</v>
      </c>
      <c r="C59" s="45" t="s">
        <v>31</v>
      </c>
      <c r="H59" s="20">
        <v>4</v>
      </c>
      <c r="I59">
        <f>IF(Расчет!D18+Расчет!D19&lt;=0,0,J59)</f>
        <v>0</v>
      </c>
      <c r="J59">
        <f>IF(B13&lt;=Расчет!D9+Расчет!D10+Расчет!D12+Расчет!D13+Расчет!D15+Расчет!D16,0,K59)</f>
        <v>0</v>
      </c>
      <c r="K59">
        <f>IF(B13&gt;=Расчет!D9+Расчет!D10+Расчет!D12+Расчет!D13+Расчет!D15+Расчет!D16+Расчет!D18+Расчет!D19,Расчет!D18+Расчет!D19,B13-(Расчет!D9+Расчет!D10+Расчет!D12+Расчет!D13+Расчет!D15+Расчет!D16))</f>
        <v>-2</v>
      </c>
      <c r="L59" s="15">
        <f>IF(K59&lt;=0,0,K59)</f>
        <v>0</v>
      </c>
      <c r="M59" s="331"/>
      <c r="O59" s="53" t="s">
        <v>49</v>
      </c>
      <c r="P59" t="str">
        <f>IF(Расчет!$F$6="---","---",Расчет!$K$33)</f>
        <v>---</v>
      </c>
      <c r="Q59" s="45" t="s">
        <v>31</v>
      </c>
    </row>
    <row r="60" spans="1:17" ht="15" thickBot="1">
      <c r="A60" s="53" t="s">
        <v>49</v>
      </c>
      <c r="B60">
        <f>Расчет!K33</f>
        <v>20</v>
      </c>
      <c r="C60" s="45" t="s">
        <v>31</v>
      </c>
      <c r="H60" s="21" t="s">
        <v>27</v>
      </c>
      <c r="I60" s="22" t="s">
        <v>28</v>
      </c>
      <c r="J60" s="25">
        <f>SQRT((SUMSQ(L53*(Расчет!E9+Расчет!E10)+L55*(Расчет!E12+Расчет!E13)+L57*(Расчет!E15+Расчет!E16)+L59*(Расчет!E18+Расчет!E19)))+(SUMSQ(Расчет!F5+L53*(Расчет!F9+Расчет!F10)+L55*(Расчет!F12+Расчет!F13)+L57*(Расчет!F15+Расчет!F16)+L59*(Расчет!F18+Расчет!F19))))</f>
        <v>17.160414476346428</v>
      </c>
      <c r="K60" s="160" t="s">
        <v>141</v>
      </c>
      <c r="L60" s="26"/>
      <c r="M60" s="27"/>
      <c r="O60" s="53" t="s">
        <v>49</v>
      </c>
      <c r="P60" t="str">
        <f>IF(Расчет!$F$6="---","---",Расчет!$K$33)</f>
        <v>---</v>
      </c>
      <c r="Q60" s="45" t="s">
        <v>31</v>
      </c>
    </row>
    <row r="61" spans="1:17" ht="15" thickBot="1">
      <c r="A61" s="53" t="s">
        <v>49</v>
      </c>
      <c r="B61">
        <f>Расчет!K33</f>
        <v>20</v>
      </c>
      <c r="C61" s="45" t="s">
        <v>31</v>
      </c>
      <c r="J61" s="193" t="str">
        <f>IFERROR(SQRT((SUMSQ(L53*(Расчет!E9+Расчет!E10)+L55*(Расчет!E12+Расчет!E13)+L57*(Расчет!E15+Расчет!E16)+L59*(Расчет!E18+Расчет!E19)))+(SUMSQ(Расчет!F6+L53*(Расчет!F9+Расчет!F10)+L55*(Расчет!F12+Расчет!F13)+L57*(Расчет!F15+Расчет!F16)+L59*(Расчет!F18+Расчет!F19)))),"---")</f>
        <v>---</v>
      </c>
      <c r="K61" s="156" t="s">
        <v>31</v>
      </c>
      <c r="O61" s="53" t="s">
        <v>49</v>
      </c>
      <c r="P61" t="str">
        <f>IF(Расчет!$F$6="---","---",Расчет!$K$33)</f>
        <v>---</v>
      </c>
      <c r="Q61" s="45" t="s">
        <v>31</v>
      </c>
    </row>
    <row r="62" spans="1:17" ht="13.5" thickBot="1">
      <c r="A62" s="53" t="s">
        <v>49</v>
      </c>
      <c r="B62">
        <f>Расчет!K33</f>
        <v>20</v>
      </c>
      <c r="C62" s="45" t="s">
        <v>31</v>
      </c>
      <c r="H62" s="18" t="s">
        <v>22</v>
      </c>
      <c r="I62" s="165"/>
      <c r="J62" s="19"/>
      <c r="K62" s="5"/>
      <c r="L62" s="16" t="s">
        <v>16</v>
      </c>
      <c r="M62" s="17" t="s">
        <v>18</v>
      </c>
      <c r="O62" s="53" t="s">
        <v>49</v>
      </c>
      <c r="P62" t="str">
        <f>IF(Расчет!$F$6="---","---",Расчет!$K$33)</f>
        <v>---</v>
      </c>
      <c r="Q62" s="45" t="s">
        <v>31</v>
      </c>
    </row>
    <row r="63" spans="1:17" ht="12.75" customHeight="1">
      <c r="A63" s="53" t="s">
        <v>49</v>
      </c>
      <c r="B63">
        <f>Расчет!K33</f>
        <v>20</v>
      </c>
      <c r="C63" s="45" t="s">
        <v>31</v>
      </c>
      <c r="H63" s="7"/>
      <c r="L63" s="7"/>
      <c r="M63" s="331" t="b">
        <f>IF(L64+L66+L68+L70=B14,TRUE,FALSE)</f>
        <v>1</v>
      </c>
      <c r="O63" s="53" t="s">
        <v>49</v>
      </c>
      <c r="P63" t="str">
        <f>IF(Расчет!$F$6="---","---",Расчет!$K$33)</f>
        <v>---</v>
      </c>
      <c r="Q63" s="45" t="s">
        <v>31</v>
      </c>
    </row>
    <row r="64" spans="1:17">
      <c r="A64" s="53" t="s">
        <v>49</v>
      </c>
      <c r="B64">
        <f>Расчет!K33</f>
        <v>20</v>
      </c>
      <c r="C64" s="45" t="s">
        <v>31</v>
      </c>
      <c r="H64" s="20">
        <v>1</v>
      </c>
      <c r="I64">
        <f>IF(Расчет!D9+Расчет!D10&gt;=B14,B14,K64)</f>
        <v>2</v>
      </c>
      <c r="J64">
        <f>IF(Расчет!D9+Расчет!D10=B14,B14,K64)</f>
        <v>2</v>
      </c>
      <c r="K64">
        <f>IF(Расчет!D9+Расчет!D10&lt;B14,Расчет!D9+Расчет!D10,I64)</f>
        <v>2</v>
      </c>
      <c r="L64" s="15">
        <f>IF(K64&lt;=0,0,K64)</f>
        <v>2</v>
      </c>
      <c r="M64" s="331"/>
      <c r="O64" s="53" t="s">
        <v>49</v>
      </c>
      <c r="P64" t="str">
        <f>IF(Расчет!$F$6="---","---",Расчет!$K$33)</f>
        <v>---</v>
      </c>
      <c r="Q64" s="45" t="s">
        <v>31</v>
      </c>
    </row>
    <row r="65" spans="1:17">
      <c r="A65" s="53" t="s">
        <v>49</v>
      </c>
      <c r="B65">
        <f>Расчет!K33</f>
        <v>20</v>
      </c>
      <c r="C65" s="45" t="s">
        <v>31</v>
      </c>
      <c r="H65" s="7"/>
      <c r="L65" s="7"/>
      <c r="M65" s="331"/>
      <c r="O65" s="53" t="s">
        <v>49</v>
      </c>
      <c r="P65" t="str">
        <f>IF(Расчет!$F$6="---","---",Расчет!$K$33)</f>
        <v>---</v>
      </c>
      <c r="Q65" s="45" t="s">
        <v>31</v>
      </c>
    </row>
    <row r="66" spans="1:17">
      <c r="A66" s="53" t="s">
        <v>49</v>
      </c>
      <c r="B66">
        <f>Расчет!K33</f>
        <v>20</v>
      </c>
      <c r="C66" s="45" t="s">
        <v>31</v>
      </c>
      <c r="H66" s="20">
        <v>2</v>
      </c>
      <c r="I66">
        <f>IF(Расчет!D12+Расчет!D13&lt;=0,0,J66)</f>
        <v>2</v>
      </c>
      <c r="J66">
        <f>IF(B14&lt;=Расчет!D9+Расчет!D10,0,K66)</f>
        <v>2</v>
      </c>
      <c r="K66">
        <f>IF(B14&gt;=Расчет!D9+Расчет!D10+Расчет!D12+Расчет!D13,Расчет!D12+Расчет!D13,B14-(Расчет!D9+Расчет!D10))</f>
        <v>2</v>
      </c>
      <c r="L66" s="15">
        <f>IF(K66&lt;=0,0,K66)</f>
        <v>2</v>
      </c>
      <c r="M66" s="331"/>
      <c r="O66" s="53" t="s">
        <v>49</v>
      </c>
      <c r="P66" t="str">
        <f>IF(Расчет!$F$6="---","---",Расчет!$K$33)</f>
        <v>---</v>
      </c>
      <c r="Q66" s="45" t="s">
        <v>31</v>
      </c>
    </row>
    <row r="67" spans="1:17" ht="13.5" thickBot="1">
      <c r="A67" s="50" t="s">
        <v>49</v>
      </c>
      <c r="B67" s="9">
        <f>Расчет!K33</f>
        <v>20</v>
      </c>
      <c r="C67" s="46" t="s">
        <v>31</v>
      </c>
      <c r="H67" s="7"/>
      <c r="L67" s="7"/>
      <c r="M67" s="331"/>
      <c r="O67" s="50" t="s">
        <v>49</v>
      </c>
      <c r="P67" s="9" t="str">
        <f>IF(Расчет!$F$6="---","---",Расчет!$K$33)</f>
        <v>---</v>
      </c>
      <c r="Q67" s="46" t="s">
        <v>31</v>
      </c>
    </row>
    <row r="68" spans="1:17" ht="13.5" thickBot="1">
      <c r="A68" s="40"/>
      <c r="C68" s="41"/>
      <c r="H68" s="20">
        <v>3</v>
      </c>
      <c r="I68">
        <f>IF(Расчет!D15+Расчет!D16&lt;=0,0,J68)</f>
        <v>0.79999999999999982</v>
      </c>
      <c r="J68">
        <f>IF(B14&lt;=Расчет!D9+Расчет!D10+Расчет!D12+Расчет!D13,0,K68)</f>
        <v>0.79999999999999982</v>
      </c>
      <c r="K68">
        <f>IF(B14&gt;=Расчет!D9+Расчет!D10+Расчет!D12+Расчет!D13+Расчет!D15+Расчет!D16,Расчет!D15+Расчет!D16,B14-(Расчет!D9+Расчет!D10+Расчет!D12+Расчет!D13))</f>
        <v>0.79999999999999982</v>
      </c>
      <c r="L68" s="15">
        <f>IF(K68&lt;=0,0,K68)</f>
        <v>0.79999999999999982</v>
      </c>
      <c r="M68" s="331"/>
    </row>
    <row r="69" spans="1:17">
      <c r="A69" s="61" t="s">
        <v>62</v>
      </c>
      <c r="B69" s="312" t="s">
        <v>68</v>
      </c>
      <c r="C69" s="333"/>
      <c r="H69" s="7"/>
      <c r="L69" s="7"/>
      <c r="M69" s="331"/>
    </row>
    <row r="70" spans="1:17" ht="13.5" thickBot="1">
      <c r="A70" s="50" t="s">
        <v>63</v>
      </c>
      <c r="B70" s="314"/>
      <c r="C70" s="334"/>
      <c r="H70" s="20">
        <v>4</v>
      </c>
      <c r="I70">
        <f>IF(Расчет!D18+Расчет!D19&lt;=0,0,J70)</f>
        <v>0</v>
      </c>
      <c r="J70">
        <f>IF(B14&lt;=Расчет!D9+Расчет!D10+Расчет!D12+Расчет!D13+Расчет!D15+Расчет!D16,0,K70)</f>
        <v>0</v>
      </c>
      <c r="K70">
        <f>IF(B14&gt;=Расчет!D9+Расчет!D10+Расчет!D12+Расчет!D13+Расчет!D15+Расчет!D16+Расчет!D18+Расчет!D19,Расчет!D18+Расчет!D19,B14-(Расчет!D9+Расчет!D10+Расчет!D12+Расчет!D13+Расчет!D15+Расчет!D16))</f>
        <v>-1.2000000000000002</v>
      </c>
      <c r="L70" s="15">
        <f>IF(K70&lt;=0,0,K70)</f>
        <v>0</v>
      </c>
      <c r="M70" s="331"/>
    </row>
    <row r="71" spans="1:17" ht="15" thickBot="1">
      <c r="H71" s="21" t="s">
        <v>27</v>
      </c>
      <c r="I71" s="22" t="s">
        <v>28</v>
      </c>
      <c r="J71" s="25">
        <f>SQRT((SUMSQ(L64*(Расчет!E9+Расчет!E10)+L66*(Расчет!E12+Расчет!E13)+L68*(Расчет!E15+Расчет!E16)+L70*(Расчет!E18+Расчет!E19)))+(SUMSQ(Расчет!F5+L64*(Расчет!F9+Расчет!F10)+L66*(Расчет!F12+Расчет!F13)+L68*(Расчет!F15+Расчет!F16)+L70*(Расчет!F18+Расчет!F19))))</f>
        <v>20.575286948181308</v>
      </c>
      <c r="K71" s="160" t="s">
        <v>141</v>
      </c>
      <c r="L71" s="26"/>
      <c r="M71" s="27"/>
    </row>
    <row r="72" spans="1:17" ht="15" thickBot="1">
      <c r="A72" s="1"/>
      <c r="B72" s="253" t="s">
        <v>69</v>
      </c>
      <c r="C72" s="335"/>
      <c r="J72" s="193" t="str">
        <f>IFERROR(SQRT((SUMSQ(L64*(Расчет!E9+Расчет!E10)+L66*(Расчет!E12+Расчет!E13)+L68*(Расчет!E15+Расчет!E16)+L70*(Расчет!E18+Расчет!E19)))+(SUMSQ(Расчет!F6+L64*(Расчет!F9+Расчет!F10)+L66*(Расчет!F12+Расчет!F13)+L68*(Расчет!F15+Расчет!F16)+L70*(Расчет!F18+Расчет!F19)))),"---")</f>
        <v>---</v>
      </c>
      <c r="K72" s="156" t="s">
        <v>31</v>
      </c>
    </row>
    <row r="73" spans="1:17" ht="13.5" thickBot="1">
      <c r="A73" s="3"/>
      <c r="B73" s="254"/>
      <c r="C73" s="336"/>
      <c r="H73" s="18" t="s">
        <v>23</v>
      </c>
      <c r="I73" s="165"/>
      <c r="J73" s="19"/>
      <c r="K73" s="5"/>
      <c r="L73" s="16" t="s">
        <v>16</v>
      </c>
      <c r="M73" s="17" t="s">
        <v>18</v>
      </c>
    </row>
    <row r="74" spans="1:17" ht="13.5" customHeight="1" thickBot="1">
      <c r="A74" s="2"/>
      <c r="B74" s="255"/>
      <c r="C74" s="337"/>
      <c r="H74" s="7"/>
      <c r="L74" s="7"/>
      <c r="M74" s="331" t="b">
        <f>IF(L75+L77+L79+L81=B15,TRUE,FALSE)</f>
        <v>1</v>
      </c>
    </row>
    <row r="75" spans="1:17">
      <c r="H75" s="20">
        <v>1</v>
      </c>
      <c r="I75">
        <f>IF(Расчет!D9+Расчет!D10&gt;=B15,B15,K75)</f>
        <v>2</v>
      </c>
      <c r="J75">
        <f>IF(Расчет!D9+Расчет!D10=B15,B15,K75)</f>
        <v>2</v>
      </c>
      <c r="K75">
        <f>IF(Расчет!D9+Расчет!D10&lt;B15,Расчет!D9+Расчет!D10,I75)</f>
        <v>2</v>
      </c>
      <c r="L75" s="15">
        <f>IF(K75&lt;=0,0,K75)</f>
        <v>2</v>
      </c>
      <c r="M75" s="331"/>
    </row>
    <row r="76" spans="1:17">
      <c r="H76" s="7"/>
      <c r="L76" s="7"/>
      <c r="M76" s="331"/>
    </row>
    <row r="77" spans="1:17">
      <c r="H77" s="20">
        <v>2</v>
      </c>
      <c r="I77">
        <f>IF(Расчет!D12+Расчет!D13&lt;=0,0,J77)</f>
        <v>2</v>
      </c>
      <c r="J77">
        <f>IF(B15&lt;=Расчет!D9+Расчет!D10,0,K77)</f>
        <v>2</v>
      </c>
      <c r="K77">
        <f>IF(B15&gt;=Расчет!D9+Расчет!D10+Расчет!D12+Расчет!D13,Расчет!D12+Расчет!D13,B15-(Расчет!D9+Расчет!D10))</f>
        <v>2</v>
      </c>
      <c r="L77" s="15">
        <f>IF(K77&lt;=0,0,K77)</f>
        <v>2</v>
      </c>
      <c r="M77" s="331"/>
    </row>
    <row r="78" spans="1:17">
      <c r="H78" s="7"/>
      <c r="L78" s="7"/>
      <c r="M78" s="331"/>
    </row>
    <row r="79" spans="1:17">
      <c r="H79" s="20">
        <v>3</v>
      </c>
      <c r="I79">
        <f>IF(Расчет!D15+Расчет!D16&lt;=0,0,J79)</f>
        <v>1.5999999999999996</v>
      </c>
      <c r="J79">
        <f>IF(B15&lt;=Расчет!D9+Расчет!D10+Расчет!D12+Расчет!D13,0,K79)</f>
        <v>1.5999999999999996</v>
      </c>
      <c r="K79">
        <f>IF(B15&gt;=Расчет!D9+Расчет!D10+Расчет!D12+Расчет!D13+Расчет!D15+Расчет!D16,Расчет!D15+Расчет!D16,B15-(Расчет!D9+Расчет!D10+Расчет!D12+Расчет!D13))</f>
        <v>1.5999999999999996</v>
      </c>
      <c r="L79" s="15">
        <f>IF(K79&lt;=0,0,K79)</f>
        <v>1.5999999999999996</v>
      </c>
      <c r="M79" s="331"/>
    </row>
    <row r="80" spans="1:17">
      <c r="H80" s="7"/>
      <c r="L80" s="7"/>
      <c r="M80" s="331"/>
    </row>
    <row r="81" spans="8:13" ht="13.5" thickBot="1">
      <c r="H81" s="20">
        <v>4</v>
      </c>
      <c r="I81">
        <f>IF(Расчет!D18+Расчет!D19&lt;=0,0,J81)</f>
        <v>0</v>
      </c>
      <c r="J81">
        <f>IF(B15&lt;=Расчет!D9+Расчет!D10+Расчет!D12+Расчет!D13+Расчет!D15+Расчет!D16,0,K81)</f>
        <v>0</v>
      </c>
      <c r="K81">
        <f>IF(B15&gt;=Расчет!D9+Расчет!D10+Расчет!D12+Расчет!D13+Расчет!D15+Расчет!D16+Расчет!D18+Расчет!D19,Расчет!D18+Расчет!D19,B15-(Расчет!D9+Расчет!D10+Расчет!D12+Расчет!D13+Расчет!D15+Расчет!D16))</f>
        <v>-0.40000000000000036</v>
      </c>
      <c r="L81" s="15">
        <f>IF(K81&lt;=0,0,K81)</f>
        <v>0</v>
      </c>
      <c r="M81" s="331"/>
    </row>
    <row r="82" spans="8:13" ht="15" thickBot="1">
      <c r="H82" s="21" t="s">
        <v>27</v>
      </c>
      <c r="I82" s="22" t="s">
        <v>28</v>
      </c>
      <c r="J82" s="25">
        <f>SQRT((SUMSQ(L75*(Расчет!E9+Расчет!E10)+L77*(Расчет!E12+Расчет!E13)+L79*(Расчет!E15+Расчет!E16)+L81*(Расчет!E18+Расчет!E19)))+(SUMSQ(Расчет!F5+L75*(Расчет!F9+Расчет!F10)+L77*(Расчет!F12+Расчет!F13)+L79*(Расчет!F15+Расчет!F16)+L81*(Расчет!F18+Расчет!F19))))</f>
        <v>23.990608516667514</v>
      </c>
      <c r="K82" s="160" t="s">
        <v>141</v>
      </c>
      <c r="L82" s="26"/>
      <c r="M82" s="27"/>
    </row>
    <row r="83" spans="8:13" ht="15" thickBot="1">
      <c r="J83" s="193" t="str">
        <f>IFERROR(SQRT((SUMSQ(L75*(Расчет!E9+Расчет!E10)+L77*(Расчет!E12+Расчет!E13)+L79*(Расчет!E15+Расчет!E16)+L81*(Расчет!E18+Расчет!E19)))+(SUMSQ(Расчет!F6+L75*(Расчет!F9+Расчет!F10)+L77*(Расчет!F12+Расчет!F13)+L79*(Расчет!F15+Расчет!F16)+L81*(Расчет!F18+Расчет!F19)))),"---")</f>
        <v>---</v>
      </c>
      <c r="K83" s="156" t="s">
        <v>31</v>
      </c>
    </row>
    <row r="84" spans="8:13" ht="13.5" thickBot="1">
      <c r="H84" s="18" t="s">
        <v>24</v>
      </c>
      <c r="I84" s="165"/>
      <c r="J84" s="19"/>
      <c r="K84" s="5"/>
      <c r="L84" s="16" t="s">
        <v>16</v>
      </c>
      <c r="M84" s="17" t="s">
        <v>18</v>
      </c>
    </row>
    <row r="85" spans="8:13" ht="12.75" customHeight="1">
      <c r="H85" s="7"/>
      <c r="L85" s="7"/>
      <c r="M85" s="331" t="b">
        <f>IF(L86+L88+L90+L92=B16,TRUE,FALSE)</f>
        <v>1</v>
      </c>
    </row>
    <row r="86" spans="8:13">
      <c r="H86" s="20">
        <v>1</v>
      </c>
      <c r="I86">
        <f>IF(Расчет!D9+Расчет!D10&gt;=B16,B16,K86)</f>
        <v>2</v>
      </c>
      <c r="J86">
        <f>IF(Расчет!D9+Расчет!D10=B16,B16,K86)</f>
        <v>2</v>
      </c>
      <c r="K86">
        <f>IF(Расчет!D9+Расчет!D10&lt;B16,Расчет!D9+Расчет!D10,I86)</f>
        <v>2</v>
      </c>
      <c r="L86" s="15">
        <f>IF(K86&lt;=0,0,K86)</f>
        <v>2</v>
      </c>
      <c r="M86" s="331"/>
    </row>
    <row r="87" spans="8:13">
      <c r="H87" s="7"/>
      <c r="L87" s="7"/>
      <c r="M87" s="331"/>
    </row>
    <row r="88" spans="8:13">
      <c r="H88" s="20">
        <v>2</v>
      </c>
      <c r="I88">
        <f>IF(Расчет!D12+Расчет!D13&lt;=0,0,J88)</f>
        <v>2</v>
      </c>
      <c r="J88">
        <f>IF(B16&lt;=Расчет!D9+Расчет!D10,0,K88)</f>
        <v>2</v>
      </c>
      <c r="K88">
        <f>IF(B16&gt;=Расчет!D9+Расчет!D10+Расчет!D12+Расчет!D13,Расчет!D12+Расчет!D13,B16-(Расчет!D9+Расчет!D10))</f>
        <v>2</v>
      </c>
      <c r="L88" s="15">
        <f>IF(K88&lt;=0,0,K88)</f>
        <v>2</v>
      </c>
      <c r="M88" s="331"/>
    </row>
    <row r="89" spans="8:13">
      <c r="H89" s="7"/>
      <c r="L89" s="7"/>
      <c r="M89" s="331"/>
    </row>
    <row r="90" spans="8:13">
      <c r="H90" s="20">
        <v>3</v>
      </c>
      <c r="I90">
        <f>IF(Расчет!D15+Расчет!D16&lt;=0,0,J90)</f>
        <v>2</v>
      </c>
      <c r="J90">
        <f>IF(B16&lt;=Расчет!D9+Расчет!D10+Расчет!D12+Расчет!D13,0,K90)</f>
        <v>2</v>
      </c>
      <c r="K90">
        <f>IF(B16&gt;=Расчет!D9+Расчет!D10+Расчет!D12+Расчет!D13+Расчет!D15+Расчет!D16,Расчет!D15+Расчет!D16,B16-(Расчет!D9+Расчет!D10+Расчет!D12+Расчет!D13))</f>
        <v>2</v>
      </c>
      <c r="L90" s="15">
        <f>IF(K90&lt;=0,0,K90)</f>
        <v>2</v>
      </c>
      <c r="M90" s="331"/>
    </row>
    <row r="91" spans="8:13">
      <c r="H91" s="7"/>
      <c r="L91" s="7"/>
      <c r="M91" s="331"/>
    </row>
    <row r="92" spans="8:13" ht="13.5" thickBot="1">
      <c r="H92" s="20">
        <v>4</v>
      </c>
      <c r="I92">
        <f>IF(Расчет!D18+Расчет!D19&lt;=0,0,J92)</f>
        <v>0.40000000000000036</v>
      </c>
      <c r="J92">
        <f>IF(B16&lt;=Расчет!D9+Расчет!D10+Расчет!D12+Расчет!D13+Расчет!D15+Расчет!D16,0,K92)</f>
        <v>0.40000000000000036</v>
      </c>
      <c r="K92">
        <f>IF(B16&gt;=Расчет!D9+Расчет!D10+Расчет!D12+Расчет!D13+Расчет!D15+Расчет!D16+Расчет!D18+Расчет!D19,Расчет!D18+Расчет!D19,B16-(Расчет!D9+Расчет!D10+Расчет!D12+Расчет!D13+Расчет!D15+Расчет!D16))</f>
        <v>0.40000000000000036</v>
      </c>
      <c r="L92" s="15">
        <f>IF(K92&lt;=0,0,K92)</f>
        <v>0.40000000000000036</v>
      </c>
      <c r="M92" s="331"/>
    </row>
    <row r="93" spans="8:13" ht="15" thickBot="1">
      <c r="H93" s="21" t="s">
        <v>27</v>
      </c>
      <c r="I93" s="22" t="s">
        <v>28</v>
      </c>
      <c r="J93" s="25">
        <f>SQRT((SUMSQ(L86*(Расчет!E9+Расчет!E10)+L88*(Расчет!E12+Расчет!E13)+L90*(Расчет!E15+Расчет!E16)+L92*(Расчет!E18+Расчет!E19)))+(SUMSQ(Расчет!F5+L86*(Расчет!F9+Расчет!F10)+L88*(Расчет!F12+Расчет!F13)+L90*(Расчет!F15+Расчет!F16)+L92*(Расчет!F18+Расчет!F19))))</f>
        <v>27.406211285035372</v>
      </c>
      <c r="K93" s="160" t="s">
        <v>141</v>
      </c>
      <c r="L93" s="26"/>
      <c r="M93" s="27"/>
    </row>
    <row r="94" spans="8:13" ht="15" thickBot="1">
      <c r="J94" s="193" t="str">
        <f>IFERROR(SQRT((SUMSQ(L86*(Расчет!E9+Расчет!E10)+L88*(Расчет!E12+Расчет!E13)+L90*(Расчет!E15+Расчет!E16)+L92*(Расчет!E18+Расчет!E19)))+(SUMSQ(Расчет!F6+L86*(Расчет!F9+Расчет!F10)+L88*(Расчет!F12+Расчет!F13)+L90*(Расчет!F15+Расчет!F16)+L92*(Расчет!F18+Расчет!F19)))),"---")</f>
        <v>---</v>
      </c>
      <c r="K94" s="156" t="s">
        <v>31</v>
      </c>
    </row>
    <row r="95" spans="8:13" ht="13.5" thickBot="1">
      <c r="H95" s="18" t="s">
        <v>25</v>
      </c>
      <c r="I95" s="165"/>
      <c r="J95" s="19"/>
      <c r="K95" s="5"/>
      <c r="L95" s="16" t="s">
        <v>16</v>
      </c>
      <c r="M95" s="17" t="s">
        <v>18</v>
      </c>
    </row>
    <row r="96" spans="8:13" ht="12.75" customHeight="1">
      <c r="H96" s="7"/>
      <c r="L96" s="7"/>
      <c r="M96" s="331" t="b">
        <f>IF(L97+L99+L101+L103=B17,TRUE,FALSE)</f>
        <v>1</v>
      </c>
    </row>
    <row r="97" spans="8:13">
      <c r="H97" s="20">
        <v>1</v>
      </c>
      <c r="I97">
        <f>IF(Расчет!D9+Расчет!D10&gt;=B17,B17,K97)</f>
        <v>2</v>
      </c>
      <c r="J97">
        <f>IF(Расчет!D9+Расчет!D10=B17,B17,K97)</f>
        <v>2</v>
      </c>
      <c r="K97">
        <f>IF(Расчет!D9+Расчет!D10&lt;B17,Расчет!D9+Расчет!D10,I97)</f>
        <v>2</v>
      </c>
      <c r="L97" s="15">
        <f>IF(K97&lt;=0,0,K97)</f>
        <v>2</v>
      </c>
      <c r="M97" s="331"/>
    </row>
    <row r="98" spans="8:13">
      <c r="H98" s="7"/>
      <c r="L98" s="7"/>
      <c r="M98" s="331"/>
    </row>
    <row r="99" spans="8:13">
      <c r="H99" s="20">
        <v>2</v>
      </c>
      <c r="I99">
        <f>IF(Расчет!D12+Расчет!D13&lt;=0,0,J99)</f>
        <v>2</v>
      </c>
      <c r="J99">
        <f>IF(B17&lt;=Расчет!D9+Расчет!D10,0,K99)</f>
        <v>2</v>
      </c>
      <c r="K99">
        <f>IF(B17&gt;=Расчет!D9+Расчет!D10+Расчет!D12+Расчет!D13,Расчет!D12+Расчет!D13,B17-(Расчет!D9+Расчет!D10))</f>
        <v>2</v>
      </c>
      <c r="L99" s="15">
        <f>IF(K99&lt;=0,0,K99)</f>
        <v>2</v>
      </c>
      <c r="M99" s="331"/>
    </row>
    <row r="100" spans="8:13">
      <c r="H100" s="7"/>
      <c r="L100" s="7"/>
      <c r="M100" s="331"/>
    </row>
    <row r="101" spans="8:13">
      <c r="H101" s="20">
        <v>3</v>
      </c>
      <c r="I101">
        <f>IF(Расчет!D15+Расчет!D16&lt;=0,0,J101)</f>
        <v>2</v>
      </c>
      <c r="J101">
        <f>IF(B17&lt;=Расчет!D9+Расчет!D10+Расчет!D12+Расчет!D13,0,K101)</f>
        <v>2</v>
      </c>
      <c r="K101">
        <f>IF(B17&gt;=Расчет!D9+Расчет!D10+Расчет!D12+Расчет!D13+Расчет!D15+Расчет!D16,Расчет!D15+Расчет!D16,B17-(Расчет!D9+Расчет!D10+Расчет!D12+Расчет!D13))</f>
        <v>2</v>
      </c>
      <c r="L101" s="15">
        <f>IF(K101&lt;=0,0,K101)</f>
        <v>2</v>
      </c>
      <c r="M101" s="331"/>
    </row>
    <row r="102" spans="8:13">
      <c r="H102" s="7"/>
      <c r="L102" s="7"/>
      <c r="M102" s="331"/>
    </row>
    <row r="103" spans="8:13" ht="13.5" thickBot="1">
      <c r="H103" s="20">
        <v>4</v>
      </c>
      <c r="I103">
        <f>IF(Расчет!D18+Расчет!D19&lt;=0,0,J103)</f>
        <v>1.2000000000000002</v>
      </c>
      <c r="J103">
        <f>IF(B17&lt;=Расчет!D9+Расчет!D10+Расчет!D12+Расчет!D13+Расчет!D15+Расчет!D16,0,K103)</f>
        <v>1.2000000000000002</v>
      </c>
      <c r="K103">
        <f>IF(B17&gt;=Расчет!D9+Расчет!D10+Расчет!D12+Расчет!D13+Расчет!D15+Расчет!D16+Расчет!D18+Расчет!D19,Расчет!D18+Расчет!D19,B17-(Расчет!D9+Расчет!D10+Расчет!D12+Расчет!D13+Расчет!D15+Расчет!D16))</f>
        <v>1.2000000000000002</v>
      </c>
      <c r="L103" s="15">
        <f>IF(K103&lt;=0,0,K103)</f>
        <v>1.2000000000000002</v>
      </c>
      <c r="M103" s="331"/>
    </row>
    <row r="104" spans="8:13" ht="15" thickBot="1">
      <c r="H104" s="21" t="s">
        <v>27</v>
      </c>
      <c r="I104" s="22" t="s">
        <v>28</v>
      </c>
      <c r="J104" s="25">
        <f>SQRT((SUMSQ(L97*(Расчет!E9+Расчет!E10)+L99*(Расчет!E12+Расчет!E13)+L101*(Расчет!E15+Расчет!E16)+L103*(Расчет!E18+Расчет!E19)))+(SUMSQ(Расчет!F5+L97*(Расчет!F9+Расчет!F10)+L99*(Расчет!F12+Расчет!F13)+L101*(Расчет!F15+Расчет!F16)+L103*(Расчет!F18+Расчет!F19))))</f>
        <v>30.822001768217458</v>
      </c>
      <c r="K104" s="160" t="s">
        <v>141</v>
      </c>
      <c r="L104" s="26"/>
      <c r="M104" s="27"/>
    </row>
    <row r="105" spans="8:13" ht="15" thickBot="1">
      <c r="J105" s="193" t="str">
        <f>IFERROR(SQRT((SUMSQ(L97*(Расчет!E9+Расчет!E10)+L99*(Расчет!E12+Расчет!E13)+L101*(Расчет!E15+Расчет!E16)+L103*(Расчет!E18+Расчет!E19)))+(SUMSQ(Расчет!F6+L97*(Расчет!F9+Расчет!F10)+L99*(Расчет!F12+Расчет!F13)+L101*(Расчет!F15+Расчет!F16)+L103*(Расчет!F18+Расчет!F19)))),"---")</f>
        <v>---</v>
      </c>
      <c r="K105" s="156" t="s">
        <v>31</v>
      </c>
    </row>
    <row r="106" spans="8:13" ht="13.5" thickBot="1">
      <c r="H106" s="18" t="s">
        <v>26</v>
      </c>
      <c r="I106" s="165"/>
      <c r="J106" s="19"/>
      <c r="K106" s="5"/>
      <c r="L106" s="16" t="s">
        <v>16</v>
      </c>
      <c r="M106" s="17" t="s">
        <v>18</v>
      </c>
    </row>
    <row r="107" spans="8:13" ht="12.75" customHeight="1">
      <c r="H107" s="7"/>
      <c r="L107" s="7"/>
      <c r="M107" s="331" t="b">
        <f>IF(L108+L110+L112+L114=B18,TRUE,FALSE)</f>
        <v>1</v>
      </c>
    </row>
    <row r="108" spans="8:13">
      <c r="H108" s="20">
        <v>1</v>
      </c>
      <c r="I108">
        <f>IF(Расчет!D9+Расчет!D10&gt;=B18,B18,K108)</f>
        <v>2</v>
      </c>
      <c r="J108">
        <f>IF(Расчет!D9+Расчет!D10=B18,B18,K108)</f>
        <v>2</v>
      </c>
      <c r="K108">
        <f>IF(Расчет!D9+Расчет!D10&lt;B18,Расчет!D9+Расчет!D10,I108)</f>
        <v>2</v>
      </c>
      <c r="L108" s="15">
        <f>IF(K108&lt;=0,0,K108)</f>
        <v>2</v>
      </c>
      <c r="M108" s="331"/>
    </row>
    <row r="109" spans="8:13">
      <c r="H109" s="7"/>
      <c r="L109" s="7"/>
      <c r="M109" s="331"/>
    </row>
    <row r="110" spans="8:13">
      <c r="H110" s="20">
        <v>2</v>
      </c>
      <c r="I110">
        <f>IF(Расчет!D12+Расчет!D13&lt;=0,0,J110)</f>
        <v>2</v>
      </c>
      <c r="J110">
        <f>IF(B18&lt;=Расчет!D9+Расчет!D10,0,K110)</f>
        <v>2</v>
      </c>
      <c r="K110">
        <f>IF(B18&gt;=Расчет!D9+Расчет!D10+Расчет!D12+Расчет!D13,Расчет!D12+Расчет!D13,B18-(Расчет!D9+Расчет!D10))</f>
        <v>2</v>
      </c>
      <c r="L110" s="15">
        <f>IF(K110&lt;=0,0,K110)</f>
        <v>2</v>
      </c>
      <c r="M110" s="331"/>
    </row>
    <row r="111" spans="8:13">
      <c r="H111" s="7"/>
      <c r="L111" s="7"/>
      <c r="M111" s="331"/>
    </row>
    <row r="112" spans="8:13">
      <c r="H112" s="20">
        <v>3</v>
      </c>
      <c r="I112">
        <f>IF(Расчет!D15+Расчет!D16&lt;=0,0,J112)</f>
        <v>2</v>
      </c>
      <c r="J112">
        <f>IF(B18&lt;=Расчет!D9+Расчет!D10+Расчет!D12+Расчет!D13,0,K112)</f>
        <v>2</v>
      </c>
      <c r="K112">
        <f>IF(B18&gt;=Расчет!D9+Расчет!D10+Расчет!D12+Расчет!D13+Расчет!D15+Расчет!D16,Расчет!D15+Расчет!D16,B18-(Расчет!D9+Расчет!D10+Расчет!D12+Расчет!D13))</f>
        <v>2</v>
      </c>
      <c r="L112" s="15">
        <f>IF(K112&lt;=0,0,K112)</f>
        <v>2</v>
      </c>
      <c r="M112" s="331"/>
    </row>
    <row r="113" spans="2:13">
      <c r="H113" s="7"/>
      <c r="L113" s="7"/>
      <c r="M113" s="331"/>
    </row>
    <row r="114" spans="2:13" ht="13.5" thickBot="1">
      <c r="H114" s="20">
        <v>4</v>
      </c>
      <c r="I114">
        <f>IF(Расчет!D18+Расчет!D19&lt;=0,0,J114)</f>
        <v>2</v>
      </c>
      <c r="J114">
        <f>IF(B18&lt;=Расчет!D9+Расчет!D10+Расчет!D12+Расчет!D13+Расчет!D15+Расчет!D16,0,K114)</f>
        <v>2</v>
      </c>
      <c r="K114">
        <f>IF(B18&gt;=Расчет!D9+Расчет!D10+Расчет!D12+Расчет!D13+Расчет!D15+Расчет!D16+Расчет!D18+Расчет!D19,Расчет!D18+Расчет!D19,B18-(Расчет!D9+Расчет!D10+Расчет!D12+Расчет!D13+Расчет!D15+Расчет!D16))</f>
        <v>2</v>
      </c>
      <c r="L114" s="15">
        <f>IF(K114&lt;=0,0,K114)</f>
        <v>2</v>
      </c>
      <c r="M114" s="331"/>
    </row>
    <row r="115" spans="2:13" ht="12.75" customHeight="1" thickBot="1">
      <c r="H115" s="21" t="s">
        <v>27</v>
      </c>
      <c r="I115" s="22" t="s">
        <v>28</v>
      </c>
      <c r="J115" s="25">
        <f>SQRT((SUMSQ(L108*(Расчет!E9+Расчет!E10)+L110*(Расчет!E12+Расчет!E13)+L112*(Расчет!E15+Расчет!E16)+L114*(Расчет!E18+Расчет!E19)))+(SUMSQ(Расчет!F5+L108*(Расчет!F9+Расчет!F10)+L110*(Расчет!F12+Расчет!F13)+L112*(Расчет!F15+Расчет!F16)+L114*(Расчет!F18+Расчет!F19))))</f>
        <v>34.23792378343056</v>
      </c>
      <c r="K115" s="160" t="s">
        <v>141</v>
      </c>
      <c r="L115" s="26"/>
      <c r="M115" s="27"/>
    </row>
    <row r="116" spans="2:13" ht="14.25">
      <c r="J116" s="193" t="str">
        <f>IFERROR(SQRT((SUMSQ(L108*(Расчет!E9+Расчет!E10)+L110*(Расчет!E12+Расчет!E13)+L112*(Расчет!E15+Расчет!E16)+L114*(Расчет!E18+Расчет!E19)))+(SUMSQ(Расчет!F6+L108*(Расчет!F9+Расчет!F10)+L110*(Расчет!F12+Расчет!F13)+L112*(Расчет!F15+Расчет!F16)+L114*(Расчет!F18+Расчет!F19)))),"---")</f>
        <v>---</v>
      </c>
      <c r="K116" s="156" t="s">
        <v>31</v>
      </c>
    </row>
    <row r="118" spans="2:13">
      <c r="B118" t="s">
        <v>43</v>
      </c>
      <c r="I118" t="s">
        <v>44</v>
      </c>
      <c r="J118" s="194">
        <f>IFERROR(SQRT((SUMSQ((Расчет!D28+Расчет!D29)*(Расчет!E28+Расчет!E29)+(Расчет!D31+Расчет!D32)*(Расчет!E31+Расчет!E32)+(Расчет!D34+Расчет!D35)*(Расчет!E34+Расчет!E35)+(Расчет!D37+Расчет!D38)*(Расчет!E37+Расчет!E38)))+(SUMSQ(Расчет!E5+Расчет!E26+(Расчет!D28+Расчет!D29)*(Расчет!F28+Расчет!F29)+(Расчет!D31+Расчет!D32)*(Расчет!F31+Расчет!F32)+(Расчет!D34+Расчет!D35)*(Расчет!F34+Расчет!F35)+(Расчет!D37+Расчет!D38)*(Расчет!F37+Расчет!F38)))),"---")</f>
        <v>36.885315506309553</v>
      </c>
      <c r="K118" s="177" t="s">
        <v>141</v>
      </c>
    </row>
    <row r="119" spans="2:13">
      <c r="J119" s="193" t="str">
        <f>IFERROR(SQRT((SUMSQ((Расчет!D28+Расчет!D29)*(Расчет!E28+Расчет!E29)+(Расчет!D31+Расчет!D32)*(Расчет!E31+Расчет!E32)+(Расчет!D34+Расчет!D35)*(Расчет!E34+Расчет!E35)+(Расчет!D37+Расчет!D38)*(Расчет!E37+Расчет!E38)))+(SUMSQ(Расчет!E6+Расчет!E26+(Расчет!D28+Расчет!D29)*(Расчет!F28+Расчет!F29)+(Расчет!D31+Расчет!D32)*(Расчет!F31+Расчет!F32)+(Расчет!D34+Расчет!D35)*(Расчет!F34+Расчет!F35)+(Расчет!D37+Расчет!D38)*(Расчет!F37+Расчет!F38)))),"---")</f>
        <v>---</v>
      </c>
      <c r="K119" s="177" t="s">
        <v>31</v>
      </c>
    </row>
    <row r="123" spans="2:13" ht="13.5" thickBot="1"/>
    <row r="124" spans="2:13" ht="15">
      <c r="B124" s="4"/>
      <c r="C124" s="74" t="s">
        <v>79</v>
      </c>
      <c r="D124" s="69"/>
      <c r="E124" s="69"/>
      <c r="F124" s="69"/>
      <c r="G124" s="5"/>
      <c r="H124" s="5"/>
      <c r="I124" s="5"/>
      <c r="J124" s="6"/>
    </row>
    <row r="125" spans="2:13">
      <c r="B125" s="7"/>
      <c r="J125" s="8"/>
    </row>
    <row r="126" spans="2:13">
      <c r="B126" s="7" t="s">
        <v>81</v>
      </c>
      <c r="C126" t="s">
        <v>80</v>
      </c>
      <c r="J126" s="8"/>
    </row>
    <row r="127" spans="2:13">
      <c r="B127" s="7" t="s">
        <v>82</v>
      </c>
      <c r="C127" t="s">
        <v>83</v>
      </c>
      <c r="E127" t="s">
        <v>84</v>
      </c>
      <c r="F127" s="41">
        <v>3.96</v>
      </c>
      <c r="G127" t="s">
        <v>85</v>
      </c>
      <c r="H127" s="41">
        <v>3.3</v>
      </c>
      <c r="J127" s="8"/>
    </row>
    <row r="128" spans="2:13">
      <c r="B128" s="7" t="s">
        <v>87</v>
      </c>
      <c r="C128" t="s">
        <v>86</v>
      </c>
      <c r="E128" t="s">
        <v>84</v>
      </c>
      <c r="F128" s="41">
        <v>3.96</v>
      </c>
      <c r="G128" t="s">
        <v>85</v>
      </c>
      <c r="H128" s="41">
        <v>1.62</v>
      </c>
      <c r="J128" s="8"/>
    </row>
    <row r="129" spans="2:29">
      <c r="B129" s="7" t="s">
        <v>88</v>
      </c>
      <c r="C129" t="s">
        <v>89</v>
      </c>
      <c r="D129" s="70">
        <v>630</v>
      </c>
      <c r="E129" s="70">
        <v>400</v>
      </c>
      <c r="F129" s="70">
        <v>250</v>
      </c>
      <c r="J129" s="8"/>
    </row>
    <row r="130" spans="2:29">
      <c r="B130" s="7"/>
      <c r="D130" s="70">
        <v>630</v>
      </c>
      <c r="E130" s="70">
        <v>400</v>
      </c>
      <c r="F130" s="70">
        <v>400</v>
      </c>
      <c r="J130" s="8"/>
    </row>
    <row r="131" spans="2:29">
      <c r="B131" s="7"/>
      <c r="D131" s="70">
        <v>630</v>
      </c>
      <c r="E131" s="70">
        <v>160</v>
      </c>
      <c r="F131" s="70">
        <v>400</v>
      </c>
      <c r="J131" s="8"/>
    </row>
    <row r="132" spans="2:29">
      <c r="B132" s="7"/>
      <c r="D132" s="70">
        <v>630</v>
      </c>
      <c r="E132" s="70">
        <v>250</v>
      </c>
      <c r="F132" s="70"/>
      <c r="G132" s="75" t="s">
        <v>98</v>
      </c>
      <c r="J132" s="8"/>
    </row>
    <row r="133" spans="2:29" ht="20.25" customHeight="1">
      <c r="B133" s="7" t="s">
        <v>90</v>
      </c>
      <c r="C133" t="s">
        <v>91</v>
      </c>
      <c r="D133">
        <v>460.5</v>
      </c>
      <c r="J133" s="8"/>
    </row>
    <row r="134" spans="2:29" ht="25.5" customHeight="1">
      <c r="B134" s="7" t="s">
        <v>92</v>
      </c>
      <c r="C134" t="s">
        <v>94</v>
      </c>
      <c r="G134" t="s">
        <v>95</v>
      </c>
      <c r="J134" s="8">
        <v>595</v>
      </c>
    </row>
    <row r="135" spans="2:29" ht="24" customHeight="1">
      <c r="B135" s="7" t="s">
        <v>93</v>
      </c>
      <c r="C135" t="s">
        <v>96</v>
      </c>
      <c r="G135" t="s">
        <v>97</v>
      </c>
      <c r="J135" s="8">
        <v>743</v>
      </c>
    </row>
    <row r="136" spans="2:29">
      <c r="B136" s="7"/>
      <c r="J136" s="8"/>
    </row>
    <row r="137" spans="2:29">
      <c r="B137" s="7" t="s">
        <v>99</v>
      </c>
      <c r="C137" t="s">
        <v>100</v>
      </c>
      <c r="D137">
        <v>953</v>
      </c>
      <c r="J137" s="8"/>
    </row>
    <row r="138" spans="2:29">
      <c r="B138" s="7"/>
      <c r="C138" t="s">
        <v>101</v>
      </c>
      <c r="D138">
        <v>2072</v>
      </c>
      <c r="J138" s="8"/>
    </row>
    <row r="139" spans="2:29">
      <c r="B139" s="7"/>
      <c r="J139" s="8"/>
    </row>
    <row r="140" spans="2:29">
      <c r="B140" s="7" t="s">
        <v>58</v>
      </c>
      <c r="C140" t="s">
        <v>102</v>
      </c>
      <c r="D140">
        <v>484</v>
      </c>
      <c r="J140" s="8"/>
    </row>
    <row r="141" spans="2:29" ht="13.5" thickBot="1">
      <c r="B141" s="65"/>
      <c r="C141" s="9" t="s">
        <v>103</v>
      </c>
      <c r="D141" s="9">
        <v>344</v>
      </c>
      <c r="E141" s="9"/>
      <c r="F141" s="9"/>
      <c r="G141" s="9"/>
      <c r="H141" s="9"/>
      <c r="I141" s="9"/>
      <c r="J141" s="10"/>
    </row>
    <row r="143" spans="2:29" ht="13.5" thickBot="1"/>
    <row r="144" spans="2:29">
      <c r="B144" s="4"/>
      <c r="C144" s="5"/>
      <c r="D144" s="76"/>
      <c r="E144" s="76">
        <v>1</v>
      </c>
      <c r="F144" s="76">
        <v>2</v>
      </c>
      <c r="G144" s="76">
        <v>3</v>
      </c>
      <c r="H144" s="76">
        <v>4</v>
      </c>
      <c r="I144" s="76">
        <v>5</v>
      </c>
      <c r="J144" s="76">
        <v>6</v>
      </c>
      <c r="K144" s="76">
        <v>7</v>
      </c>
      <c r="L144" s="76">
        <v>8</v>
      </c>
      <c r="M144" s="76">
        <v>9</v>
      </c>
      <c r="N144" s="77">
        <v>10</v>
      </c>
      <c r="Q144" s="4"/>
      <c r="R144" s="5"/>
      <c r="S144" s="76"/>
      <c r="T144" s="76">
        <v>1</v>
      </c>
      <c r="U144" s="76">
        <v>2</v>
      </c>
      <c r="V144" s="76">
        <v>3</v>
      </c>
      <c r="W144" s="76">
        <v>4</v>
      </c>
      <c r="X144" s="76">
        <v>5</v>
      </c>
      <c r="Y144" s="76">
        <v>6</v>
      </c>
      <c r="Z144" s="76">
        <v>7</v>
      </c>
      <c r="AA144" s="76">
        <v>8</v>
      </c>
      <c r="AB144" s="76">
        <v>9</v>
      </c>
      <c r="AC144" s="77">
        <v>10</v>
      </c>
    </row>
    <row r="145" spans="2:29">
      <c r="B145" s="78">
        <f t="shared" ref="B145:B155" si="2">B20</f>
        <v>5478.2608695652179</v>
      </c>
      <c r="C145">
        <f>(B145-B146)/10</f>
        <v>458.63050959819492</v>
      </c>
      <c r="D145" s="75">
        <v>0</v>
      </c>
      <c r="E145">
        <f>B145-C145</f>
        <v>5019.6303599670227</v>
      </c>
      <c r="F145">
        <f>B145-2*C145</f>
        <v>4560.9998503688284</v>
      </c>
      <c r="G145">
        <f>B145-3*C145</f>
        <v>4102.3693407706332</v>
      </c>
      <c r="H145">
        <f>B145-4*C145</f>
        <v>3643.738831172438</v>
      </c>
      <c r="I145">
        <f>B145-5*C145</f>
        <v>3185.1083215742433</v>
      </c>
      <c r="J145">
        <f>B145-6*C145</f>
        <v>2726.4778119760485</v>
      </c>
      <c r="K145">
        <f>B145-7*C145</f>
        <v>2267.8473023778533</v>
      </c>
      <c r="L145">
        <f>B145-8*C145</f>
        <v>1809.2167927796586</v>
      </c>
      <c r="M145">
        <f>B145-9*C145</f>
        <v>1350.5862831814638</v>
      </c>
      <c r="N145" s="8">
        <f>B145-10*C145</f>
        <v>891.95577358326864</v>
      </c>
      <c r="Q145" s="78" t="e">
        <f>P20</f>
        <v>#N/A</v>
      </c>
      <c r="R145" t="str">
        <f t="shared" ref="R145:R154" si="3">IFERROR((Q145-Q146)/10,"---")</f>
        <v>---</v>
      </c>
      <c r="S145" s="75">
        <v>0</v>
      </c>
      <c r="T145" t="str">
        <f t="shared" ref="T145:T154" si="4">IFERROR(Q145-R145,"---")</f>
        <v>---</v>
      </c>
      <c r="U145" t="str">
        <f t="shared" ref="U145:U154" si="5">IFERROR(Q145-2*R145,"---")</f>
        <v>---</v>
      </c>
      <c r="V145" t="str">
        <f t="shared" ref="V145:V154" si="6">IFERROR(Q145-3*R145,"---")</f>
        <v>---</v>
      </c>
      <c r="W145" t="str">
        <f t="shared" ref="W145:W154" si="7">IFERROR(Q145-4*R145,"---")</f>
        <v>---</v>
      </c>
      <c r="X145" t="str">
        <f t="shared" ref="X145:X154" si="8">IFERROR(Q145-5*R145,"---")</f>
        <v>---</v>
      </c>
      <c r="Y145" t="str">
        <f t="shared" ref="Y145:Y154" si="9">IFERROR(Q145-6*R145,"---")</f>
        <v>---</v>
      </c>
      <c r="Z145" t="str">
        <f t="shared" ref="Z145:Z154" si="10">IFERROR(Q145-7*R145,"---")</f>
        <v>---</v>
      </c>
      <c r="AA145" t="str">
        <f t="shared" ref="AA145:AA154" si="11">IFERROR(Q145-8*R145,"---")</f>
        <v>---</v>
      </c>
      <c r="AB145" t="str">
        <f t="shared" ref="AB145:AB154" si="12">IFERROR(Q145-9*R145,"---")</f>
        <v>---</v>
      </c>
      <c r="AC145" s="8" t="str">
        <f t="shared" ref="AC145:AC154" si="13">IFERROR(Q145-10*R145,"---")</f>
        <v>---</v>
      </c>
    </row>
    <row r="146" spans="2:29">
      <c r="B146" s="78">
        <f t="shared" si="2"/>
        <v>891.95577358326875</v>
      </c>
      <c r="C146">
        <f t="shared" ref="C146:C154" si="14">(B146-B147)/10</f>
        <v>43.709119505265363</v>
      </c>
      <c r="D146" s="75">
        <v>10</v>
      </c>
      <c r="E146">
        <f t="shared" ref="E146:E154" si="15">B146-C146</f>
        <v>848.24665407800342</v>
      </c>
      <c r="F146">
        <f t="shared" ref="F146:F154" si="16">B146-2*C146</f>
        <v>804.53753457273797</v>
      </c>
      <c r="G146">
        <f t="shared" ref="G146:G154" si="17">B146-3*C146</f>
        <v>760.82841506747263</v>
      </c>
      <c r="H146">
        <f t="shared" ref="H146:H154" si="18">B146-4*C146</f>
        <v>717.1192955622073</v>
      </c>
      <c r="I146">
        <f t="shared" ref="I146:I154" si="19">B146-5*C146</f>
        <v>673.41017605694196</v>
      </c>
      <c r="J146">
        <f t="shared" ref="J146:J154" si="20">B146-6*C146</f>
        <v>629.70105655167663</v>
      </c>
      <c r="K146">
        <f t="shared" ref="K146:K154" si="21">B146-7*C146</f>
        <v>585.99193704641118</v>
      </c>
      <c r="L146">
        <f t="shared" ref="L146:L154" si="22">B146-8*C146</f>
        <v>542.28281754114585</v>
      </c>
      <c r="M146">
        <f t="shared" ref="M146:M154" si="23">B146-9*C146</f>
        <v>498.57369803588051</v>
      </c>
      <c r="N146" s="8">
        <f t="shared" ref="N146:N154" si="24">B146-10*C146</f>
        <v>454.86457853061512</v>
      </c>
      <c r="Q146" s="78" t="e">
        <f t="shared" ref="Q146:Q155" si="25">P21</f>
        <v>#N/A</v>
      </c>
      <c r="R146" t="str">
        <f t="shared" si="3"/>
        <v>---</v>
      </c>
      <c r="S146" s="75">
        <v>10</v>
      </c>
      <c r="T146" t="str">
        <f t="shared" si="4"/>
        <v>---</v>
      </c>
      <c r="U146" t="str">
        <f t="shared" si="5"/>
        <v>---</v>
      </c>
      <c r="V146" t="str">
        <f t="shared" si="6"/>
        <v>---</v>
      </c>
      <c r="W146" t="str">
        <f t="shared" si="7"/>
        <v>---</v>
      </c>
      <c r="X146" t="str">
        <f t="shared" si="8"/>
        <v>---</v>
      </c>
      <c r="Y146" t="str">
        <f t="shared" si="9"/>
        <v>---</v>
      </c>
      <c r="Z146" t="str">
        <f t="shared" si="10"/>
        <v>---</v>
      </c>
      <c r="AA146" t="str">
        <f t="shared" si="11"/>
        <v>---</v>
      </c>
      <c r="AB146" t="str">
        <f t="shared" si="12"/>
        <v>---</v>
      </c>
      <c r="AC146" s="8" t="str">
        <f t="shared" si="13"/>
        <v>---</v>
      </c>
    </row>
    <row r="147" spans="2:29">
      <c r="B147" s="78">
        <f t="shared" si="2"/>
        <v>454.86457853061512</v>
      </c>
      <c r="C147">
        <f t="shared" si="14"/>
        <v>15.003957028664871</v>
      </c>
      <c r="D147" s="75">
        <v>20</v>
      </c>
      <c r="E147">
        <f t="shared" si="15"/>
        <v>439.86062150195028</v>
      </c>
      <c r="F147">
        <f t="shared" si="16"/>
        <v>424.85666447328538</v>
      </c>
      <c r="G147">
        <f t="shared" si="17"/>
        <v>409.85270744462048</v>
      </c>
      <c r="H147">
        <f t="shared" si="18"/>
        <v>394.84875041595564</v>
      </c>
      <c r="I147">
        <f t="shared" si="19"/>
        <v>379.84479338729079</v>
      </c>
      <c r="J147">
        <f t="shared" si="20"/>
        <v>364.84083635862589</v>
      </c>
      <c r="K147">
        <f t="shared" si="21"/>
        <v>349.83687932996099</v>
      </c>
      <c r="L147">
        <f t="shared" si="22"/>
        <v>334.83292230129615</v>
      </c>
      <c r="M147">
        <f t="shared" si="23"/>
        <v>319.82896527263131</v>
      </c>
      <c r="N147" s="8">
        <f t="shared" si="24"/>
        <v>304.82500824396641</v>
      </c>
      <c r="Q147" s="78" t="e">
        <f t="shared" si="25"/>
        <v>#N/A</v>
      </c>
      <c r="R147" t="str">
        <f t="shared" si="3"/>
        <v>---</v>
      </c>
      <c r="S147" s="75">
        <v>20</v>
      </c>
      <c r="T147" t="str">
        <f t="shared" si="4"/>
        <v>---</v>
      </c>
      <c r="U147" t="str">
        <f t="shared" si="5"/>
        <v>---</v>
      </c>
      <c r="V147" t="str">
        <f t="shared" si="6"/>
        <v>---</v>
      </c>
      <c r="W147" t="str">
        <f t="shared" si="7"/>
        <v>---</v>
      </c>
      <c r="X147" t="str">
        <f t="shared" si="8"/>
        <v>---</v>
      </c>
      <c r="Y147" t="str">
        <f t="shared" si="9"/>
        <v>---</v>
      </c>
      <c r="Z147" t="str">
        <f t="shared" si="10"/>
        <v>---</v>
      </c>
      <c r="AA147" t="str">
        <f t="shared" si="11"/>
        <v>---</v>
      </c>
      <c r="AB147" t="str">
        <f t="shared" si="12"/>
        <v>---</v>
      </c>
      <c r="AC147" s="8" t="str">
        <f t="shared" si="13"/>
        <v>---</v>
      </c>
    </row>
    <row r="148" spans="2:29">
      <c r="B148" s="78">
        <f t="shared" si="2"/>
        <v>304.82500824396641</v>
      </c>
      <c r="C148">
        <f t="shared" si="14"/>
        <v>7.5672866367780163</v>
      </c>
      <c r="D148" s="75">
        <v>30</v>
      </c>
      <c r="E148">
        <f t="shared" si="15"/>
        <v>297.25772160718839</v>
      </c>
      <c r="F148">
        <f t="shared" si="16"/>
        <v>289.69043497041037</v>
      </c>
      <c r="G148">
        <f t="shared" si="17"/>
        <v>282.12314833363234</v>
      </c>
      <c r="H148">
        <f t="shared" si="18"/>
        <v>274.55586169685432</v>
      </c>
      <c r="I148">
        <f t="shared" si="19"/>
        <v>266.9885750600763</v>
      </c>
      <c r="J148">
        <f t="shared" si="20"/>
        <v>259.42128842329828</v>
      </c>
      <c r="K148">
        <f t="shared" si="21"/>
        <v>251.85400178652029</v>
      </c>
      <c r="L148">
        <f t="shared" si="22"/>
        <v>244.28671514974229</v>
      </c>
      <c r="M148">
        <f t="shared" si="23"/>
        <v>236.71942851296427</v>
      </c>
      <c r="N148" s="8">
        <f t="shared" si="24"/>
        <v>229.15214187618625</v>
      </c>
      <c r="Q148" s="78" t="e">
        <f t="shared" si="25"/>
        <v>#N/A</v>
      </c>
      <c r="R148" t="str">
        <f t="shared" si="3"/>
        <v>---</v>
      </c>
      <c r="S148" s="75">
        <v>30</v>
      </c>
      <c r="T148" t="str">
        <f t="shared" si="4"/>
        <v>---</v>
      </c>
      <c r="U148" t="str">
        <f t="shared" si="5"/>
        <v>---</v>
      </c>
      <c r="V148" t="str">
        <f t="shared" si="6"/>
        <v>---</v>
      </c>
      <c r="W148" t="str">
        <f t="shared" si="7"/>
        <v>---</v>
      </c>
      <c r="X148" t="str">
        <f t="shared" si="8"/>
        <v>---</v>
      </c>
      <c r="Y148" t="str">
        <f t="shared" si="9"/>
        <v>---</v>
      </c>
      <c r="Z148" t="str">
        <f t="shared" si="10"/>
        <v>---</v>
      </c>
      <c r="AA148" t="str">
        <f t="shared" si="11"/>
        <v>---</v>
      </c>
      <c r="AB148" t="str">
        <f t="shared" si="12"/>
        <v>---</v>
      </c>
      <c r="AC148" s="8" t="str">
        <f t="shared" si="13"/>
        <v>---</v>
      </c>
    </row>
    <row r="149" spans="2:29">
      <c r="B149" s="78">
        <f t="shared" si="2"/>
        <v>229.15214187618625</v>
      </c>
      <c r="C149">
        <f t="shared" si="14"/>
        <v>4.5590141998974847</v>
      </c>
      <c r="D149" s="75">
        <v>40</v>
      </c>
      <c r="E149">
        <f t="shared" si="15"/>
        <v>224.59312767628876</v>
      </c>
      <c r="F149">
        <f t="shared" si="16"/>
        <v>220.03411347639127</v>
      </c>
      <c r="G149">
        <f t="shared" si="17"/>
        <v>215.47509927649381</v>
      </c>
      <c r="H149">
        <f t="shared" si="18"/>
        <v>210.91608507659632</v>
      </c>
      <c r="I149">
        <f t="shared" si="19"/>
        <v>206.35707087669883</v>
      </c>
      <c r="J149">
        <f t="shared" si="20"/>
        <v>201.79805667680134</v>
      </c>
      <c r="K149">
        <f t="shared" si="21"/>
        <v>197.23904247690385</v>
      </c>
      <c r="L149">
        <f t="shared" si="22"/>
        <v>192.68002827700639</v>
      </c>
      <c r="M149">
        <f t="shared" si="23"/>
        <v>188.1210140771089</v>
      </c>
      <c r="N149" s="8">
        <f t="shared" si="24"/>
        <v>183.56199987721141</v>
      </c>
      <c r="Q149" s="78" t="e">
        <f t="shared" si="25"/>
        <v>#N/A</v>
      </c>
      <c r="R149" t="str">
        <f t="shared" si="3"/>
        <v>---</v>
      </c>
      <c r="S149" s="75">
        <v>40</v>
      </c>
      <c r="T149" t="str">
        <f t="shared" si="4"/>
        <v>---</v>
      </c>
      <c r="U149" t="str">
        <f t="shared" si="5"/>
        <v>---</v>
      </c>
      <c r="V149" t="str">
        <f t="shared" si="6"/>
        <v>---</v>
      </c>
      <c r="W149" t="str">
        <f t="shared" si="7"/>
        <v>---</v>
      </c>
      <c r="X149" t="str">
        <f t="shared" si="8"/>
        <v>---</v>
      </c>
      <c r="Y149" t="str">
        <f t="shared" si="9"/>
        <v>---</v>
      </c>
      <c r="Z149" t="str">
        <f t="shared" si="10"/>
        <v>---</v>
      </c>
      <c r="AA149" t="str">
        <f t="shared" si="11"/>
        <v>---</v>
      </c>
      <c r="AB149" t="str">
        <f t="shared" si="12"/>
        <v>---</v>
      </c>
      <c r="AC149" s="8" t="str">
        <f t="shared" si="13"/>
        <v>---</v>
      </c>
    </row>
    <row r="150" spans="2:29">
      <c r="B150" s="78">
        <f t="shared" si="2"/>
        <v>183.56199987721141</v>
      </c>
      <c r="C150">
        <f t="shared" si="14"/>
        <v>3.0465714613572117</v>
      </c>
      <c r="D150" s="75">
        <v>50</v>
      </c>
      <c r="E150">
        <f t="shared" si="15"/>
        <v>180.51542841585419</v>
      </c>
      <c r="F150">
        <f t="shared" si="16"/>
        <v>177.46885695449697</v>
      </c>
      <c r="G150">
        <f t="shared" si="17"/>
        <v>174.42228549313978</v>
      </c>
      <c r="H150">
        <f t="shared" si="18"/>
        <v>171.37571403178256</v>
      </c>
      <c r="I150">
        <f t="shared" si="19"/>
        <v>168.32914257042535</v>
      </c>
      <c r="J150">
        <f t="shared" si="20"/>
        <v>165.28257110906813</v>
      </c>
      <c r="K150">
        <f t="shared" si="21"/>
        <v>162.23599964771091</v>
      </c>
      <c r="L150">
        <f t="shared" si="22"/>
        <v>159.18942818635372</v>
      </c>
      <c r="M150">
        <f t="shared" si="23"/>
        <v>156.14285672499651</v>
      </c>
      <c r="N150" s="8">
        <f t="shared" si="24"/>
        <v>153.09628526363929</v>
      </c>
      <c r="Q150" s="78" t="e">
        <f t="shared" si="25"/>
        <v>#N/A</v>
      </c>
      <c r="R150" t="str">
        <f t="shared" si="3"/>
        <v>---</v>
      </c>
      <c r="S150" s="75">
        <v>50</v>
      </c>
      <c r="T150" t="str">
        <f t="shared" si="4"/>
        <v>---</v>
      </c>
      <c r="U150" t="str">
        <f t="shared" si="5"/>
        <v>---</v>
      </c>
      <c r="V150" t="str">
        <f t="shared" si="6"/>
        <v>---</v>
      </c>
      <c r="W150" t="str">
        <f t="shared" si="7"/>
        <v>---</v>
      </c>
      <c r="X150" t="str">
        <f t="shared" si="8"/>
        <v>---</v>
      </c>
      <c r="Y150" t="str">
        <f t="shared" si="9"/>
        <v>---</v>
      </c>
      <c r="Z150" t="str">
        <f t="shared" si="10"/>
        <v>---</v>
      </c>
      <c r="AA150" t="str">
        <f t="shared" si="11"/>
        <v>---</v>
      </c>
      <c r="AB150" t="str">
        <f t="shared" si="12"/>
        <v>---</v>
      </c>
      <c r="AC150" s="8" t="str">
        <f t="shared" si="13"/>
        <v>---</v>
      </c>
    </row>
    <row r="151" spans="2:29">
      <c r="B151" s="78">
        <f t="shared" si="2"/>
        <v>153.09628526363929</v>
      </c>
      <c r="C151">
        <f t="shared" si="14"/>
        <v>2.1794905483650266</v>
      </c>
      <c r="D151" s="75">
        <v>60</v>
      </c>
      <c r="E151">
        <f t="shared" si="15"/>
        <v>150.91679471527425</v>
      </c>
      <c r="F151">
        <f t="shared" si="16"/>
        <v>148.73730416690924</v>
      </c>
      <c r="G151">
        <f t="shared" si="17"/>
        <v>146.5578136185442</v>
      </c>
      <c r="H151">
        <f t="shared" si="18"/>
        <v>144.37832307017919</v>
      </c>
      <c r="I151">
        <f t="shared" si="19"/>
        <v>142.19883252181415</v>
      </c>
      <c r="J151">
        <f t="shared" si="20"/>
        <v>140.01934197344912</v>
      </c>
      <c r="K151">
        <f t="shared" si="21"/>
        <v>137.83985142508411</v>
      </c>
      <c r="L151">
        <f t="shared" si="22"/>
        <v>135.66036087671907</v>
      </c>
      <c r="M151">
        <f t="shared" si="23"/>
        <v>133.48087032835406</v>
      </c>
      <c r="N151" s="8">
        <f t="shared" si="24"/>
        <v>131.30137977998902</v>
      </c>
      <c r="Q151" s="78" t="e">
        <f t="shared" si="25"/>
        <v>#N/A</v>
      </c>
      <c r="R151" t="str">
        <f t="shared" si="3"/>
        <v>---</v>
      </c>
      <c r="S151" s="75">
        <v>60</v>
      </c>
      <c r="T151" t="str">
        <f t="shared" si="4"/>
        <v>---</v>
      </c>
      <c r="U151" t="str">
        <f t="shared" si="5"/>
        <v>---</v>
      </c>
      <c r="V151" t="str">
        <f t="shared" si="6"/>
        <v>---</v>
      </c>
      <c r="W151" t="str">
        <f t="shared" si="7"/>
        <v>---</v>
      </c>
      <c r="X151" t="str">
        <f t="shared" si="8"/>
        <v>---</v>
      </c>
      <c r="Y151" t="str">
        <f t="shared" si="9"/>
        <v>---</v>
      </c>
      <c r="Z151" t="str">
        <f t="shared" si="10"/>
        <v>---</v>
      </c>
      <c r="AA151" t="str">
        <f t="shared" si="11"/>
        <v>---</v>
      </c>
      <c r="AB151" t="str">
        <f t="shared" si="12"/>
        <v>---</v>
      </c>
      <c r="AC151" s="8" t="str">
        <f t="shared" si="13"/>
        <v>---</v>
      </c>
    </row>
    <row r="152" spans="2:29">
      <c r="B152" s="78">
        <f t="shared" si="2"/>
        <v>131.30137977998902</v>
      </c>
      <c r="C152">
        <f t="shared" si="14"/>
        <v>1.636393121262735</v>
      </c>
      <c r="D152" s="75">
        <v>70</v>
      </c>
      <c r="E152">
        <f t="shared" si="15"/>
        <v>129.66498665872629</v>
      </c>
      <c r="F152">
        <f t="shared" si="16"/>
        <v>128.02859353746356</v>
      </c>
      <c r="G152">
        <f t="shared" si="17"/>
        <v>126.39220041620081</v>
      </c>
      <c r="H152">
        <f t="shared" si="18"/>
        <v>124.75580729493808</v>
      </c>
      <c r="I152">
        <f t="shared" si="19"/>
        <v>123.11941417367535</v>
      </c>
      <c r="J152">
        <f t="shared" si="20"/>
        <v>121.48302105241261</v>
      </c>
      <c r="K152">
        <f t="shared" si="21"/>
        <v>119.84662793114987</v>
      </c>
      <c r="L152">
        <f t="shared" si="22"/>
        <v>118.21023480988714</v>
      </c>
      <c r="M152">
        <f t="shared" si="23"/>
        <v>116.57384168862441</v>
      </c>
      <c r="N152" s="8">
        <f t="shared" si="24"/>
        <v>114.93744856736167</v>
      </c>
      <c r="Q152" s="78" t="e">
        <f t="shared" si="25"/>
        <v>#N/A</v>
      </c>
      <c r="R152" t="str">
        <f t="shared" si="3"/>
        <v>---</v>
      </c>
      <c r="S152" s="75">
        <v>70</v>
      </c>
      <c r="T152" t="str">
        <f t="shared" si="4"/>
        <v>---</v>
      </c>
      <c r="U152" t="str">
        <f t="shared" si="5"/>
        <v>---</v>
      </c>
      <c r="V152" t="str">
        <f t="shared" si="6"/>
        <v>---</v>
      </c>
      <c r="W152" t="str">
        <f t="shared" si="7"/>
        <v>---</v>
      </c>
      <c r="X152" t="str">
        <f t="shared" si="8"/>
        <v>---</v>
      </c>
      <c r="Y152" t="str">
        <f t="shared" si="9"/>
        <v>---</v>
      </c>
      <c r="Z152" t="str">
        <f t="shared" si="10"/>
        <v>---</v>
      </c>
      <c r="AA152" t="str">
        <f t="shared" si="11"/>
        <v>---</v>
      </c>
      <c r="AB152" t="str">
        <f t="shared" si="12"/>
        <v>---</v>
      </c>
      <c r="AC152" s="8" t="str">
        <f t="shared" si="13"/>
        <v>---</v>
      </c>
    </row>
    <row r="153" spans="2:29">
      <c r="B153" s="78">
        <f t="shared" si="2"/>
        <v>114.93744856736167</v>
      </c>
      <c r="C153">
        <f t="shared" si="14"/>
        <v>1.2737726963031377</v>
      </c>
      <c r="D153" s="75">
        <v>80</v>
      </c>
      <c r="E153">
        <f t="shared" si="15"/>
        <v>113.66367587105853</v>
      </c>
      <c r="F153">
        <f t="shared" si="16"/>
        <v>112.38990317475539</v>
      </c>
      <c r="G153">
        <f t="shared" si="17"/>
        <v>111.11613047845226</v>
      </c>
      <c r="H153">
        <f t="shared" si="18"/>
        <v>109.84235778214912</v>
      </c>
      <c r="I153">
        <f t="shared" si="19"/>
        <v>108.56858508584598</v>
      </c>
      <c r="J153">
        <f t="shared" si="20"/>
        <v>107.29481238954284</v>
      </c>
      <c r="K153">
        <f t="shared" si="21"/>
        <v>106.0210396932397</v>
      </c>
      <c r="L153">
        <f t="shared" si="22"/>
        <v>104.74726699693657</v>
      </c>
      <c r="M153">
        <f t="shared" si="23"/>
        <v>103.47349430063343</v>
      </c>
      <c r="N153" s="8">
        <f t="shared" si="24"/>
        <v>102.19972160433029</v>
      </c>
      <c r="Q153" s="78" t="e">
        <f t="shared" si="25"/>
        <v>#N/A</v>
      </c>
      <c r="R153" t="str">
        <f t="shared" si="3"/>
        <v>---</v>
      </c>
      <c r="S153" s="75">
        <v>80</v>
      </c>
      <c r="T153" t="str">
        <f t="shared" si="4"/>
        <v>---</v>
      </c>
      <c r="U153" t="str">
        <f t="shared" si="5"/>
        <v>---</v>
      </c>
      <c r="V153" t="str">
        <f t="shared" si="6"/>
        <v>---</v>
      </c>
      <c r="W153" t="str">
        <f t="shared" si="7"/>
        <v>---</v>
      </c>
      <c r="X153" t="str">
        <f t="shared" si="8"/>
        <v>---</v>
      </c>
      <c r="Y153" t="str">
        <f t="shared" si="9"/>
        <v>---</v>
      </c>
      <c r="Z153" t="str">
        <f t="shared" si="10"/>
        <v>---</v>
      </c>
      <c r="AA153" t="str">
        <f t="shared" si="11"/>
        <v>---</v>
      </c>
      <c r="AB153" t="str">
        <f t="shared" si="12"/>
        <v>---</v>
      </c>
      <c r="AC153" s="8" t="str">
        <f t="shared" si="13"/>
        <v>---</v>
      </c>
    </row>
    <row r="154" spans="2:29">
      <c r="B154" s="78">
        <f t="shared" si="2"/>
        <v>102.19972160433029</v>
      </c>
      <c r="C154">
        <f t="shared" si="14"/>
        <v>1.0196479237033416</v>
      </c>
      <c r="D154" s="75">
        <v>90</v>
      </c>
      <c r="E154">
        <f t="shared" si="15"/>
        <v>101.18007368062695</v>
      </c>
      <c r="F154">
        <f t="shared" si="16"/>
        <v>100.16042575692362</v>
      </c>
      <c r="G154">
        <f t="shared" si="17"/>
        <v>99.14077783322027</v>
      </c>
      <c r="H154">
        <f t="shared" si="18"/>
        <v>98.121129909516924</v>
      </c>
      <c r="I154">
        <f t="shared" si="19"/>
        <v>97.101481985813592</v>
      </c>
      <c r="J154">
        <f t="shared" si="20"/>
        <v>96.081834062110246</v>
      </c>
      <c r="K154">
        <f t="shared" si="21"/>
        <v>95.062186138406901</v>
      </c>
      <c r="L154">
        <f t="shared" si="22"/>
        <v>94.042538214703555</v>
      </c>
      <c r="M154">
        <f t="shared" si="23"/>
        <v>93.022890291000223</v>
      </c>
      <c r="N154" s="8">
        <f t="shared" si="24"/>
        <v>92.003242367296878</v>
      </c>
      <c r="Q154" s="78" t="e">
        <f t="shared" si="25"/>
        <v>#N/A</v>
      </c>
      <c r="R154" t="str">
        <f t="shared" si="3"/>
        <v>---</v>
      </c>
      <c r="S154" s="75">
        <v>90</v>
      </c>
      <c r="T154" t="str">
        <f t="shared" si="4"/>
        <v>---</v>
      </c>
      <c r="U154" t="str">
        <f t="shared" si="5"/>
        <v>---</v>
      </c>
      <c r="V154" t="str">
        <f t="shared" si="6"/>
        <v>---</v>
      </c>
      <c r="W154" t="str">
        <f t="shared" si="7"/>
        <v>---</v>
      </c>
      <c r="X154" t="str">
        <f t="shared" si="8"/>
        <v>---</v>
      </c>
      <c r="Y154" t="str">
        <f t="shared" si="9"/>
        <v>---</v>
      </c>
      <c r="Z154" t="str">
        <f t="shared" si="10"/>
        <v>---</v>
      </c>
      <c r="AA154" t="str">
        <f t="shared" si="11"/>
        <v>---</v>
      </c>
      <c r="AB154" t="str">
        <f t="shared" si="12"/>
        <v>---</v>
      </c>
      <c r="AC154" s="8" t="str">
        <f t="shared" si="13"/>
        <v>---</v>
      </c>
    </row>
    <row r="155" spans="2:29">
      <c r="B155" s="78">
        <f t="shared" si="2"/>
        <v>92.003242367296878</v>
      </c>
      <c r="N155" s="8"/>
      <c r="Q155" s="78" t="e">
        <f t="shared" si="25"/>
        <v>#N/A</v>
      </c>
      <c r="AC155" s="8"/>
    </row>
    <row r="156" spans="2:29">
      <c r="B156" s="7"/>
      <c r="E156" s="71">
        <v>0</v>
      </c>
      <c r="F156" s="71">
        <v>1</v>
      </c>
      <c r="G156" s="71">
        <v>2</v>
      </c>
      <c r="H156" s="71">
        <v>3</v>
      </c>
      <c r="I156" s="71">
        <v>4</v>
      </c>
      <c r="J156" s="71">
        <v>5</v>
      </c>
      <c r="K156" s="71">
        <v>6</v>
      </c>
      <c r="L156" s="71">
        <v>7</v>
      </c>
      <c r="M156" s="71">
        <v>8</v>
      </c>
      <c r="N156" s="79">
        <v>9</v>
      </c>
      <c r="Q156" s="7"/>
      <c r="T156" s="71">
        <v>0</v>
      </c>
      <c r="U156" s="71">
        <v>1</v>
      </c>
      <c r="V156" s="71">
        <v>2</v>
      </c>
      <c r="W156" s="71">
        <v>3</v>
      </c>
      <c r="X156" s="71">
        <v>4</v>
      </c>
      <c r="Y156" s="71">
        <v>5</v>
      </c>
      <c r="Z156" s="71">
        <v>6</v>
      </c>
      <c r="AA156" s="71">
        <v>7</v>
      </c>
      <c r="AB156" s="71">
        <v>8</v>
      </c>
      <c r="AC156" s="79">
        <v>9</v>
      </c>
    </row>
    <row r="157" spans="2:29">
      <c r="B157" s="7"/>
      <c r="C157" s="80">
        <f>Расчет!K26</f>
        <v>20</v>
      </c>
      <c r="E157" s="71">
        <v>10</v>
      </c>
      <c r="F157" s="71">
        <v>11</v>
      </c>
      <c r="G157" s="71">
        <v>12</v>
      </c>
      <c r="H157" s="71">
        <v>13</v>
      </c>
      <c r="I157" s="71">
        <v>14</v>
      </c>
      <c r="J157" s="71">
        <v>15</v>
      </c>
      <c r="K157" s="71">
        <v>16</v>
      </c>
      <c r="L157" s="71">
        <v>17</v>
      </c>
      <c r="M157" s="71">
        <v>18</v>
      </c>
      <c r="N157" s="79">
        <v>19</v>
      </c>
      <c r="Q157" s="7"/>
      <c r="R157" s="195" t="str">
        <f>IF(Расчет!$F$6="---","---",Расчет!$K$26)</f>
        <v>---</v>
      </c>
      <c r="T157" s="71">
        <v>10</v>
      </c>
      <c r="U157" s="71">
        <v>11</v>
      </c>
      <c r="V157" s="71">
        <v>12</v>
      </c>
      <c r="W157" s="71">
        <v>13</v>
      </c>
      <c r="X157" s="71">
        <v>14</v>
      </c>
      <c r="Y157" s="71">
        <v>15</v>
      </c>
      <c r="Z157" s="71">
        <v>16</v>
      </c>
      <c r="AA157" s="71">
        <v>17</v>
      </c>
      <c r="AB157" s="71">
        <v>18</v>
      </c>
      <c r="AC157" s="79">
        <v>19</v>
      </c>
    </row>
    <row r="158" spans="2:29" ht="16.5">
      <c r="B158" s="85" t="s">
        <v>57</v>
      </c>
      <c r="C158" s="86">
        <f>COUNTIF(E167:N177,"&gt;0")</f>
        <v>100</v>
      </c>
      <c r="D158" s="86" t="s">
        <v>104</v>
      </c>
      <c r="E158" s="71">
        <v>20</v>
      </c>
      <c r="F158" s="71">
        <v>21</v>
      </c>
      <c r="G158" s="71">
        <v>22</v>
      </c>
      <c r="H158" s="71">
        <v>23</v>
      </c>
      <c r="I158" s="71">
        <v>24</v>
      </c>
      <c r="J158" s="71">
        <v>25</v>
      </c>
      <c r="K158" s="71">
        <v>26</v>
      </c>
      <c r="L158" s="71">
        <v>27</v>
      </c>
      <c r="M158" s="71">
        <v>28</v>
      </c>
      <c r="N158" s="79">
        <v>29</v>
      </c>
      <c r="Q158" s="85" t="s">
        <v>57</v>
      </c>
      <c r="R158" s="196" t="str">
        <f>IF(R157="---","---",(COUNTIF(T167:AC177,"&gt;0")))</f>
        <v>---</v>
      </c>
      <c r="S158" s="86" t="s">
        <v>104</v>
      </c>
      <c r="T158" s="71">
        <v>20</v>
      </c>
      <c r="U158" s="71">
        <v>21</v>
      </c>
      <c r="V158" s="71">
        <v>22</v>
      </c>
      <c r="W158" s="71">
        <v>23</v>
      </c>
      <c r="X158" s="71">
        <v>24</v>
      </c>
      <c r="Y158" s="71">
        <v>25</v>
      </c>
      <c r="Z158" s="71">
        <v>26</v>
      </c>
      <c r="AA158" s="71">
        <v>27</v>
      </c>
      <c r="AB158" s="71">
        <v>28</v>
      </c>
      <c r="AC158" s="79">
        <v>29</v>
      </c>
    </row>
    <row r="159" spans="2:29">
      <c r="B159" s="7"/>
      <c r="E159" s="71">
        <v>30</v>
      </c>
      <c r="F159" s="71">
        <v>31</v>
      </c>
      <c r="G159" s="71">
        <v>32</v>
      </c>
      <c r="H159" s="71">
        <v>33</v>
      </c>
      <c r="I159" s="71">
        <v>34</v>
      </c>
      <c r="J159" s="71">
        <v>35</v>
      </c>
      <c r="K159" s="71">
        <v>36</v>
      </c>
      <c r="L159" s="71">
        <v>37</v>
      </c>
      <c r="M159" s="71">
        <v>38</v>
      </c>
      <c r="N159" s="79">
        <v>39</v>
      </c>
      <c r="Q159" s="7"/>
      <c r="T159" s="71">
        <v>30</v>
      </c>
      <c r="U159" s="71">
        <v>31</v>
      </c>
      <c r="V159" s="71">
        <v>32</v>
      </c>
      <c r="W159" s="71">
        <v>33</v>
      </c>
      <c r="X159" s="71">
        <v>34</v>
      </c>
      <c r="Y159" s="71">
        <v>35</v>
      </c>
      <c r="Z159" s="71">
        <v>36</v>
      </c>
      <c r="AA159" s="71">
        <v>37</v>
      </c>
      <c r="AB159" s="71">
        <v>38</v>
      </c>
      <c r="AC159" s="79">
        <v>39</v>
      </c>
    </row>
    <row r="160" spans="2:29">
      <c r="B160" s="7"/>
      <c r="E160" s="71">
        <v>40</v>
      </c>
      <c r="F160" s="71">
        <v>41</v>
      </c>
      <c r="G160" s="71">
        <v>42</v>
      </c>
      <c r="H160" s="71">
        <v>43</v>
      </c>
      <c r="I160" s="71">
        <v>44</v>
      </c>
      <c r="J160" s="71">
        <v>45</v>
      </c>
      <c r="K160" s="71">
        <v>46</v>
      </c>
      <c r="L160" s="71">
        <v>47</v>
      </c>
      <c r="M160" s="71">
        <v>48</v>
      </c>
      <c r="N160" s="79">
        <v>49</v>
      </c>
      <c r="Q160" s="7"/>
      <c r="T160" s="71">
        <v>40</v>
      </c>
      <c r="U160" s="71">
        <v>41</v>
      </c>
      <c r="V160" s="71">
        <v>42</v>
      </c>
      <c r="W160" s="71">
        <v>43</v>
      </c>
      <c r="X160" s="71">
        <v>44</v>
      </c>
      <c r="Y160" s="71">
        <v>45</v>
      </c>
      <c r="Z160" s="71">
        <v>46</v>
      </c>
      <c r="AA160" s="71">
        <v>47</v>
      </c>
      <c r="AB160" s="71">
        <v>48</v>
      </c>
      <c r="AC160" s="79">
        <v>49</v>
      </c>
    </row>
    <row r="161" spans="2:29">
      <c r="B161" s="84"/>
      <c r="E161" s="71">
        <v>50</v>
      </c>
      <c r="F161" s="71">
        <v>51</v>
      </c>
      <c r="G161" s="71">
        <v>52</v>
      </c>
      <c r="H161" s="71">
        <v>53</v>
      </c>
      <c r="I161" s="71">
        <v>54</v>
      </c>
      <c r="J161" s="71">
        <v>55</v>
      </c>
      <c r="K161" s="71">
        <v>56</v>
      </c>
      <c r="L161" s="71">
        <v>57</v>
      </c>
      <c r="M161" s="71">
        <v>58</v>
      </c>
      <c r="N161" s="79">
        <v>59</v>
      </c>
      <c r="Q161" s="84"/>
      <c r="T161" s="71">
        <v>50</v>
      </c>
      <c r="U161" s="71">
        <v>51</v>
      </c>
      <c r="V161" s="71">
        <v>52</v>
      </c>
      <c r="W161" s="71">
        <v>53</v>
      </c>
      <c r="X161" s="71">
        <v>54</v>
      </c>
      <c r="Y161" s="71">
        <v>55</v>
      </c>
      <c r="Z161" s="71">
        <v>56</v>
      </c>
      <c r="AA161" s="71">
        <v>57</v>
      </c>
      <c r="AB161" s="71">
        <v>58</v>
      </c>
      <c r="AC161" s="79">
        <v>59</v>
      </c>
    </row>
    <row r="162" spans="2:29">
      <c r="B162" s="7"/>
      <c r="E162" s="71">
        <v>60</v>
      </c>
      <c r="F162" s="71">
        <v>61</v>
      </c>
      <c r="G162" s="71">
        <v>62</v>
      </c>
      <c r="H162" s="71">
        <v>63</v>
      </c>
      <c r="I162" s="71">
        <v>64</v>
      </c>
      <c r="J162" s="71">
        <v>65</v>
      </c>
      <c r="K162" s="71">
        <v>66</v>
      </c>
      <c r="L162" s="71">
        <v>67</v>
      </c>
      <c r="M162" s="71">
        <v>68</v>
      </c>
      <c r="N162" s="79">
        <v>69</v>
      </c>
      <c r="Q162" s="7"/>
      <c r="T162" s="71">
        <v>60</v>
      </c>
      <c r="U162" s="71">
        <v>61</v>
      </c>
      <c r="V162" s="71">
        <v>62</v>
      </c>
      <c r="W162" s="71">
        <v>63</v>
      </c>
      <c r="X162" s="71">
        <v>64</v>
      </c>
      <c r="Y162" s="71">
        <v>65</v>
      </c>
      <c r="Z162" s="71">
        <v>66</v>
      </c>
      <c r="AA162" s="71">
        <v>67</v>
      </c>
      <c r="AB162" s="71">
        <v>68</v>
      </c>
      <c r="AC162" s="79">
        <v>69</v>
      </c>
    </row>
    <row r="163" spans="2:29">
      <c r="B163" s="7"/>
      <c r="E163" s="71">
        <v>70</v>
      </c>
      <c r="F163" s="71">
        <v>71</v>
      </c>
      <c r="G163" s="71">
        <v>72</v>
      </c>
      <c r="H163" s="71">
        <v>73</v>
      </c>
      <c r="I163" s="71">
        <v>74</v>
      </c>
      <c r="J163" s="71">
        <v>75</v>
      </c>
      <c r="K163" s="71">
        <v>76</v>
      </c>
      <c r="L163" s="71">
        <v>77</v>
      </c>
      <c r="M163" s="71">
        <v>78</v>
      </c>
      <c r="N163" s="79">
        <v>79</v>
      </c>
      <c r="Q163" s="7"/>
      <c r="T163" s="71">
        <v>70</v>
      </c>
      <c r="U163" s="71">
        <v>71</v>
      </c>
      <c r="V163" s="71">
        <v>72</v>
      </c>
      <c r="W163" s="71">
        <v>73</v>
      </c>
      <c r="X163" s="71">
        <v>74</v>
      </c>
      <c r="Y163" s="71">
        <v>75</v>
      </c>
      <c r="Z163" s="71">
        <v>76</v>
      </c>
      <c r="AA163" s="71">
        <v>77</v>
      </c>
      <c r="AB163" s="71">
        <v>78</v>
      </c>
      <c r="AC163" s="79">
        <v>79</v>
      </c>
    </row>
    <row r="164" spans="2:29">
      <c r="B164" s="7"/>
      <c r="E164" s="71">
        <v>80</v>
      </c>
      <c r="F164" s="71">
        <v>81</v>
      </c>
      <c r="G164" s="71">
        <v>82</v>
      </c>
      <c r="H164" s="71">
        <v>83</v>
      </c>
      <c r="I164" s="71">
        <v>84</v>
      </c>
      <c r="J164" s="71">
        <v>85</v>
      </c>
      <c r="K164" s="71">
        <v>86</v>
      </c>
      <c r="L164" s="71">
        <v>87</v>
      </c>
      <c r="M164" s="71">
        <v>88</v>
      </c>
      <c r="N164" s="79">
        <v>89</v>
      </c>
      <c r="Q164" s="7"/>
      <c r="T164" s="71">
        <v>80</v>
      </c>
      <c r="U164" s="71">
        <v>81</v>
      </c>
      <c r="V164" s="71">
        <v>82</v>
      </c>
      <c r="W164" s="71">
        <v>83</v>
      </c>
      <c r="X164" s="71">
        <v>84</v>
      </c>
      <c r="Y164" s="71">
        <v>85</v>
      </c>
      <c r="Z164" s="71">
        <v>86</v>
      </c>
      <c r="AA164" s="71">
        <v>87</v>
      </c>
      <c r="AB164" s="71">
        <v>88</v>
      </c>
      <c r="AC164" s="79">
        <v>89</v>
      </c>
    </row>
    <row r="165" spans="2:29">
      <c r="B165" s="7"/>
      <c r="E165" s="71">
        <v>90</v>
      </c>
      <c r="F165" s="71">
        <v>91</v>
      </c>
      <c r="G165" s="71">
        <v>92</v>
      </c>
      <c r="H165" s="71">
        <v>93</v>
      </c>
      <c r="I165" s="71">
        <v>94</v>
      </c>
      <c r="J165" s="71">
        <v>95</v>
      </c>
      <c r="K165" s="71">
        <v>96</v>
      </c>
      <c r="L165" s="71">
        <v>97</v>
      </c>
      <c r="M165" s="71">
        <v>98</v>
      </c>
      <c r="N165" s="79">
        <v>99</v>
      </c>
      <c r="Q165" s="7"/>
      <c r="T165" s="71">
        <v>90</v>
      </c>
      <c r="U165" s="71">
        <v>91</v>
      </c>
      <c r="V165" s="71">
        <v>92</v>
      </c>
      <c r="W165" s="71">
        <v>93</v>
      </c>
      <c r="X165" s="71">
        <v>94</v>
      </c>
      <c r="Y165" s="71">
        <v>95</v>
      </c>
      <c r="Z165" s="71">
        <v>96</v>
      </c>
      <c r="AA165" s="71">
        <v>97</v>
      </c>
      <c r="AB165" s="71">
        <v>98</v>
      </c>
      <c r="AC165" s="79">
        <v>99</v>
      </c>
    </row>
    <row r="166" spans="2:29">
      <c r="B166" s="7"/>
      <c r="E166" s="72">
        <v>100</v>
      </c>
      <c r="N166" s="8"/>
      <c r="Q166" s="7"/>
      <c r="T166" s="72">
        <v>100</v>
      </c>
      <c r="AC166" s="8"/>
    </row>
    <row r="167" spans="2:29">
      <c r="B167" s="7"/>
      <c r="E167" s="73">
        <f>IF(C157&gt;E145,0,E156)</f>
        <v>0</v>
      </c>
      <c r="F167" s="73">
        <f>IF(C157&gt;F145,0,F156)</f>
        <v>1</v>
      </c>
      <c r="G167" s="73">
        <f>IF(C157&gt;G145,0,G156)</f>
        <v>2</v>
      </c>
      <c r="H167" s="73">
        <f>IF(C157&gt;H145,0,H156)</f>
        <v>3</v>
      </c>
      <c r="I167" s="73">
        <f>IF(C157&gt;I145,0,I156)</f>
        <v>4</v>
      </c>
      <c r="J167" s="73">
        <f>IF(C157&gt;J145,0,J156)</f>
        <v>5</v>
      </c>
      <c r="K167" s="73">
        <f>IF(C157&gt;K145,0,K156)</f>
        <v>6</v>
      </c>
      <c r="L167" s="73">
        <f>IF(C157&gt;L145,0,L156)</f>
        <v>7</v>
      </c>
      <c r="M167" s="73">
        <f>IF(C157&gt;M145,0,M156)</f>
        <v>8</v>
      </c>
      <c r="N167" s="81">
        <f>IF(C157&gt;N145,0,N156)</f>
        <v>9</v>
      </c>
      <c r="Q167" s="7"/>
      <c r="T167" s="73" t="str">
        <f>IF($R$157="---","---",IF($R$157&gt;T145,0,T156))</f>
        <v>---</v>
      </c>
      <c r="U167" s="73" t="str">
        <f t="shared" ref="U167:AC167" si="26">IF($R$157="---","---",IF($R$157&gt;U145,0,U156))</f>
        <v>---</v>
      </c>
      <c r="V167" s="73" t="str">
        <f>IF($R$157="---","---",IF($R$157&gt;V145,0,V156))</f>
        <v>---</v>
      </c>
      <c r="W167" s="73" t="str">
        <f t="shared" si="26"/>
        <v>---</v>
      </c>
      <c r="X167" s="73" t="str">
        <f t="shared" si="26"/>
        <v>---</v>
      </c>
      <c r="Y167" s="73" t="str">
        <f t="shared" si="26"/>
        <v>---</v>
      </c>
      <c r="Z167" s="73" t="str">
        <f t="shared" si="26"/>
        <v>---</v>
      </c>
      <c r="AA167" s="73" t="str">
        <f t="shared" si="26"/>
        <v>---</v>
      </c>
      <c r="AB167" s="73" t="str">
        <f t="shared" si="26"/>
        <v>---</v>
      </c>
      <c r="AC167" s="81" t="str">
        <f t="shared" si="26"/>
        <v>---</v>
      </c>
    </row>
    <row r="168" spans="2:29">
      <c r="B168" s="7"/>
      <c r="E168" s="73">
        <f>IF(C157&gt;E146,0,E157)</f>
        <v>10</v>
      </c>
      <c r="F168" s="73">
        <f>IF(C157&gt;F146,0,F157)</f>
        <v>11</v>
      </c>
      <c r="G168" s="73">
        <f>IF(C157&gt;G146,0,G157)</f>
        <v>12</v>
      </c>
      <c r="H168" s="73">
        <f>IF(C157&gt;H146,0,H157)</f>
        <v>13</v>
      </c>
      <c r="I168" s="73">
        <f>IF(C157&gt;I146,0,I157)</f>
        <v>14</v>
      </c>
      <c r="J168" s="73">
        <f>IF(C157&gt;J146,0,J157)</f>
        <v>15</v>
      </c>
      <c r="K168" s="73">
        <f>IF(C157&gt;K146,0,K157)</f>
        <v>16</v>
      </c>
      <c r="L168" s="73">
        <f>IF(C157&gt;L146,0,L157)</f>
        <v>17</v>
      </c>
      <c r="M168" s="73">
        <f>IF(C157&gt;M146,0,M157)</f>
        <v>18</v>
      </c>
      <c r="N168" s="81">
        <f>IF(C157&gt;N146,0,N157)</f>
        <v>19</v>
      </c>
      <c r="Q168" s="7"/>
      <c r="T168" s="73" t="str">
        <f>IF($R$157="---","---",IF($R$157&gt;T146,0,T157))</f>
        <v>---</v>
      </c>
      <c r="U168" s="73" t="str">
        <f t="shared" ref="U168:AB168" si="27">IF($R$157="---","---",IF($R$157&gt;U146,0,U157))</f>
        <v>---</v>
      </c>
      <c r="V168" s="73" t="str">
        <f t="shared" si="27"/>
        <v>---</v>
      </c>
      <c r="W168" s="73" t="str">
        <f t="shared" si="27"/>
        <v>---</v>
      </c>
      <c r="X168" s="73" t="str">
        <f t="shared" si="27"/>
        <v>---</v>
      </c>
      <c r="Y168" s="73" t="str">
        <f t="shared" si="27"/>
        <v>---</v>
      </c>
      <c r="Z168" s="73" t="str">
        <f t="shared" si="27"/>
        <v>---</v>
      </c>
      <c r="AA168" s="73" t="str">
        <f t="shared" si="27"/>
        <v>---</v>
      </c>
      <c r="AB168" s="73" t="str">
        <f t="shared" si="27"/>
        <v>---</v>
      </c>
      <c r="AC168" s="81" t="str">
        <f>IF($R$157="---","---",IF($R$157&gt;AC146,0,AC157))</f>
        <v>---</v>
      </c>
    </row>
    <row r="169" spans="2:29">
      <c r="B169" s="7"/>
      <c r="E169" s="73">
        <f>IF(C157&gt;E147,0,E158)</f>
        <v>20</v>
      </c>
      <c r="F169" s="73">
        <f>IF(C157&gt;F147,0,F158)</f>
        <v>21</v>
      </c>
      <c r="G169" s="73">
        <f>IF(C157&gt;G147,0,G158)</f>
        <v>22</v>
      </c>
      <c r="H169" s="73">
        <f>IF(C157&gt;H147,0,H158)</f>
        <v>23</v>
      </c>
      <c r="I169" s="73">
        <f>IF(C157&gt;I147,0,I158)</f>
        <v>24</v>
      </c>
      <c r="J169" s="73">
        <f>IF(C157&gt;J147,0,J158)</f>
        <v>25</v>
      </c>
      <c r="K169" s="73">
        <f>IF(C157&gt;K147,0,K158)</f>
        <v>26</v>
      </c>
      <c r="L169" s="73">
        <f>IF(C157&gt;L147,0,L158)</f>
        <v>27</v>
      </c>
      <c r="M169" s="73">
        <f>IF(C157&gt;M147,0,M158)</f>
        <v>28</v>
      </c>
      <c r="N169" s="81">
        <f>IF(C157&gt;N147,0,N158)</f>
        <v>29</v>
      </c>
      <c r="Q169" s="7"/>
      <c r="T169" s="73" t="str">
        <f t="shared" ref="T169:AC176" si="28">IF($R$157="---","---",IF($R$157&gt;T147,0,T158))</f>
        <v>---</v>
      </c>
      <c r="U169" s="73" t="str">
        <f t="shared" si="28"/>
        <v>---</v>
      </c>
      <c r="V169" s="73" t="str">
        <f t="shared" si="28"/>
        <v>---</v>
      </c>
      <c r="W169" s="73" t="str">
        <f t="shared" si="28"/>
        <v>---</v>
      </c>
      <c r="X169" s="73" t="str">
        <f t="shared" si="28"/>
        <v>---</v>
      </c>
      <c r="Y169" s="73" t="str">
        <f t="shared" si="28"/>
        <v>---</v>
      </c>
      <c r="Z169" s="73" t="str">
        <f t="shared" si="28"/>
        <v>---</v>
      </c>
      <c r="AA169" s="73" t="str">
        <f t="shared" si="28"/>
        <v>---</v>
      </c>
      <c r="AB169" s="73" t="str">
        <f t="shared" si="28"/>
        <v>---</v>
      </c>
      <c r="AC169" s="81" t="str">
        <f t="shared" si="28"/>
        <v>---</v>
      </c>
    </row>
    <row r="170" spans="2:29">
      <c r="B170" s="7"/>
      <c r="E170" s="73">
        <f>IF(C157&gt;E148,0,E159)</f>
        <v>30</v>
      </c>
      <c r="F170" s="73">
        <f>IF(C157&gt;F148,0,F159)</f>
        <v>31</v>
      </c>
      <c r="G170" s="73">
        <f>IF(C157&gt;G148,0,G159)</f>
        <v>32</v>
      </c>
      <c r="H170" s="73">
        <f>IF(C157&gt;H148,0,H159)</f>
        <v>33</v>
      </c>
      <c r="I170" s="73">
        <f>IF(C157&gt;I148,0,I159)</f>
        <v>34</v>
      </c>
      <c r="J170" s="73">
        <f>IF(C157&gt;J148,0,J159)</f>
        <v>35</v>
      </c>
      <c r="K170" s="73">
        <f>IF(C157&gt;K148,0,K159)</f>
        <v>36</v>
      </c>
      <c r="L170" s="73">
        <f>IF(C157&gt;L148,0,L159)</f>
        <v>37</v>
      </c>
      <c r="M170" s="73">
        <f>IF(C157&gt;M148,0,M159)</f>
        <v>38</v>
      </c>
      <c r="N170" s="81">
        <f>IF(C157&gt;N148,0,N159)</f>
        <v>39</v>
      </c>
      <c r="Q170" s="7"/>
      <c r="T170" s="73" t="str">
        <f t="shared" si="28"/>
        <v>---</v>
      </c>
      <c r="U170" s="73" t="str">
        <f t="shared" si="28"/>
        <v>---</v>
      </c>
      <c r="V170" s="73" t="str">
        <f t="shared" si="28"/>
        <v>---</v>
      </c>
      <c r="W170" s="73" t="str">
        <f t="shared" si="28"/>
        <v>---</v>
      </c>
      <c r="X170" s="73" t="str">
        <f t="shared" si="28"/>
        <v>---</v>
      </c>
      <c r="Y170" s="73" t="str">
        <f t="shared" si="28"/>
        <v>---</v>
      </c>
      <c r="Z170" s="73" t="str">
        <f t="shared" si="28"/>
        <v>---</v>
      </c>
      <c r="AA170" s="73" t="str">
        <f t="shared" si="28"/>
        <v>---</v>
      </c>
      <c r="AB170" s="73" t="str">
        <f t="shared" si="28"/>
        <v>---</v>
      </c>
      <c r="AC170" s="81" t="str">
        <f t="shared" si="28"/>
        <v>---</v>
      </c>
    </row>
    <row r="171" spans="2:29">
      <c r="B171" s="7"/>
      <c r="E171" s="73">
        <f>IF(C157&gt;E149,0,E160)</f>
        <v>40</v>
      </c>
      <c r="F171" s="73">
        <f>IF(C157&gt;F149,0,F160)</f>
        <v>41</v>
      </c>
      <c r="G171" s="73">
        <f>IF(C157&gt;G149,0,G160)</f>
        <v>42</v>
      </c>
      <c r="H171" s="73">
        <f>IF(C157&gt;H149,0,H160)</f>
        <v>43</v>
      </c>
      <c r="I171" s="73">
        <f>IF(C157&gt;I149,0,I160)</f>
        <v>44</v>
      </c>
      <c r="J171" s="73">
        <f>IF(C157&gt;J149,0,J160)</f>
        <v>45</v>
      </c>
      <c r="K171" s="73">
        <f>IF(C157&gt;K149,0,K160)</f>
        <v>46</v>
      </c>
      <c r="L171" s="73">
        <f>IF(C157&gt;L149,0,L160)</f>
        <v>47</v>
      </c>
      <c r="M171" s="73">
        <f>IF(C157&gt;M149,0,M160)</f>
        <v>48</v>
      </c>
      <c r="N171" s="81">
        <f>IF(C157&gt;N149,0,N160)</f>
        <v>49</v>
      </c>
      <c r="Q171" s="7"/>
      <c r="T171" s="73" t="str">
        <f t="shared" si="28"/>
        <v>---</v>
      </c>
      <c r="U171" s="73" t="str">
        <f t="shared" si="28"/>
        <v>---</v>
      </c>
      <c r="V171" s="73" t="str">
        <f t="shared" si="28"/>
        <v>---</v>
      </c>
      <c r="W171" s="73" t="str">
        <f t="shared" si="28"/>
        <v>---</v>
      </c>
      <c r="X171" s="73" t="str">
        <f t="shared" si="28"/>
        <v>---</v>
      </c>
      <c r="Y171" s="73" t="str">
        <f t="shared" si="28"/>
        <v>---</v>
      </c>
      <c r="Z171" s="73" t="str">
        <f t="shared" si="28"/>
        <v>---</v>
      </c>
      <c r="AA171" s="73" t="str">
        <f t="shared" si="28"/>
        <v>---</v>
      </c>
      <c r="AB171" s="73" t="str">
        <f t="shared" si="28"/>
        <v>---</v>
      </c>
      <c r="AC171" s="81" t="str">
        <f t="shared" si="28"/>
        <v>---</v>
      </c>
    </row>
    <row r="172" spans="2:29">
      <c r="B172" s="7"/>
      <c r="E172" s="73">
        <f>IF(C157&gt;E150,0,E161)</f>
        <v>50</v>
      </c>
      <c r="F172" s="73">
        <f>IF(C157&gt;F150,0,F161)</f>
        <v>51</v>
      </c>
      <c r="G172" s="73">
        <f>IF(C157&gt;G150,0,G161)</f>
        <v>52</v>
      </c>
      <c r="H172" s="73">
        <f>IF(C157&gt;H150,0,H161)</f>
        <v>53</v>
      </c>
      <c r="I172" s="73">
        <f>IF(C157&gt;I150,0,I161)</f>
        <v>54</v>
      </c>
      <c r="J172" s="73">
        <f>IF(C157&gt;J150,0,J161)</f>
        <v>55</v>
      </c>
      <c r="K172" s="73">
        <f>IF(C157&gt;K150,0,K161)</f>
        <v>56</v>
      </c>
      <c r="L172" s="73">
        <f>IF(C157&gt;L150,0,L161)</f>
        <v>57</v>
      </c>
      <c r="M172" s="73">
        <f>IF(C157&gt;M150,0,M161)</f>
        <v>58</v>
      </c>
      <c r="N172" s="81">
        <f>IF(C157&gt;N150,0,N161)</f>
        <v>59</v>
      </c>
      <c r="Q172" s="7"/>
      <c r="T172" s="73" t="str">
        <f t="shared" si="28"/>
        <v>---</v>
      </c>
      <c r="U172" s="73" t="str">
        <f t="shared" si="28"/>
        <v>---</v>
      </c>
      <c r="V172" s="73" t="str">
        <f t="shared" si="28"/>
        <v>---</v>
      </c>
      <c r="W172" s="73" t="str">
        <f t="shared" si="28"/>
        <v>---</v>
      </c>
      <c r="X172" s="73" t="str">
        <f t="shared" si="28"/>
        <v>---</v>
      </c>
      <c r="Y172" s="73" t="str">
        <f t="shared" si="28"/>
        <v>---</v>
      </c>
      <c r="Z172" s="73" t="str">
        <f t="shared" si="28"/>
        <v>---</v>
      </c>
      <c r="AA172" s="73" t="str">
        <f t="shared" si="28"/>
        <v>---</v>
      </c>
      <c r="AB172" s="73" t="str">
        <f t="shared" si="28"/>
        <v>---</v>
      </c>
      <c r="AC172" s="81" t="str">
        <f t="shared" si="28"/>
        <v>---</v>
      </c>
    </row>
    <row r="173" spans="2:29">
      <c r="B173" s="7"/>
      <c r="E173" s="73">
        <f>IF(C157&gt;E151,0,E162)</f>
        <v>60</v>
      </c>
      <c r="F173" s="73">
        <f>IF(C157&gt;F151,0,F162)</f>
        <v>61</v>
      </c>
      <c r="G173" s="73">
        <f>IF(C157&gt;G151,0,G162)</f>
        <v>62</v>
      </c>
      <c r="H173" s="73">
        <f>IF(C157&gt;H151,0,H162)</f>
        <v>63</v>
      </c>
      <c r="I173" s="73">
        <f>IF(C157&gt;I151,0,I162)</f>
        <v>64</v>
      </c>
      <c r="J173" s="73">
        <f>IF(C157&gt;J151,0,J162)</f>
        <v>65</v>
      </c>
      <c r="K173" s="73">
        <f>IF(C157&gt;K151,0,K162)</f>
        <v>66</v>
      </c>
      <c r="L173" s="73">
        <f>IF(C157&gt;L151,0,L162)</f>
        <v>67</v>
      </c>
      <c r="M173" s="73">
        <f>IF(C157&gt;M151,0,M162)</f>
        <v>68</v>
      </c>
      <c r="N173" s="81">
        <f>IF(C157&gt;N151,0,N162)</f>
        <v>69</v>
      </c>
      <c r="Q173" s="7"/>
      <c r="T173" s="73" t="str">
        <f t="shared" si="28"/>
        <v>---</v>
      </c>
      <c r="U173" s="73" t="str">
        <f t="shared" si="28"/>
        <v>---</v>
      </c>
      <c r="V173" s="73" t="str">
        <f t="shared" si="28"/>
        <v>---</v>
      </c>
      <c r="W173" s="73" t="str">
        <f t="shared" si="28"/>
        <v>---</v>
      </c>
      <c r="X173" s="73" t="str">
        <f>IF($R$157="---","---",IF($R$157&gt;X151,0,X162))</f>
        <v>---</v>
      </c>
      <c r="Y173" s="73" t="str">
        <f t="shared" si="28"/>
        <v>---</v>
      </c>
      <c r="Z173" s="73" t="str">
        <f t="shared" si="28"/>
        <v>---</v>
      </c>
      <c r="AA173" s="73" t="str">
        <f t="shared" si="28"/>
        <v>---</v>
      </c>
      <c r="AB173" s="73" t="str">
        <f t="shared" si="28"/>
        <v>---</v>
      </c>
      <c r="AC173" s="81" t="str">
        <f t="shared" si="28"/>
        <v>---</v>
      </c>
    </row>
    <row r="174" spans="2:29">
      <c r="B174" s="7"/>
      <c r="E174" s="73">
        <f>IF(C157&gt;E152,0,E163)</f>
        <v>70</v>
      </c>
      <c r="F174" s="73">
        <f>IF(C157&gt;F152,0,F163)</f>
        <v>71</v>
      </c>
      <c r="G174" s="73">
        <f>IF(C157&gt;G152,0,G163)</f>
        <v>72</v>
      </c>
      <c r="H174" s="73">
        <f>IF(C157&gt;H152,0,H163)</f>
        <v>73</v>
      </c>
      <c r="I174" s="73">
        <f>IF(C157&gt;I152,0,I163)</f>
        <v>74</v>
      </c>
      <c r="J174" s="73">
        <f>IF(C157&gt;J152,0,J163)</f>
        <v>75</v>
      </c>
      <c r="K174" s="73">
        <f>IF(C157&gt;K152,0,K163)</f>
        <v>76</v>
      </c>
      <c r="L174" s="73">
        <f>IF(C157&gt;L152,0,L163)</f>
        <v>77</v>
      </c>
      <c r="M174" s="73">
        <f>IF(C157&gt;M152,0,M163)</f>
        <v>78</v>
      </c>
      <c r="N174" s="81">
        <f>IF(C157&gt;N152,0,N163)</f>
        <v>79</v>
      </c>
      <c r="Q174" s="7"/>
      <c r="T174" s="73" t="str">
        <f t="shared" si="28"/>
        <v>---</v>
      </c>
      <c r="U174" s="73" t="str">
        <f t="shared" si="28"/>
        <v>---</v>
      </c>
      <c r="V174" s="73" t="str">
        <f t="shared" si="28"/>
        <v>---</v>
      </c>
      <c r="W174" s="73" t="str">
        <f t="shared" si="28"/>
        <v>---</v>
      </c>
      <c r="X174" s="73" t="str">
        <f t="shared" si="28"/>
        <v>---</v>
      </c>
      <c r="Y174" s="73" t="str">
        <f t="shared" si="28"/>
        <v>---</v>
      </c>
      <c r="Z174" s="73" t="str">
        <f t="shared" si="28"/>
        <v>---</v>
      </c>
      <c r="AA174" s="73" t="str">
        <f t="shared" si="28"/>
        <v>---</v>
      </c>
      <c r="AB174" s="73" t="str">
        <f t="shared" si="28"/>
        <v>---</v>
      </c>
      <c r="AC174" s="81" t="str">
        <f t="shared" si="28"/>
        <v>---</v>
      </c>
    </row>
    <row r="175" spans="2:29">
      <c r="B175" s="7"/>
      <c r="E175" s="73">
        <f>IF(C157&gt;E153,0,E164)</f>
        <v>80</v>
      </c>
      <c r="F175" s="73">
        <f>IF(C157&gt;F153,0,F164)</f>
        <v>81</v>
      </c>
      <c r="G175" s="73">
        <f>IF(C157&gt;G153,0,G164)</f>
        <v>82</v>
      </c>
      <c r="H175" s="73">
        <f>IF(C157&gt;H153,0,H164)</f>
        <v>83</v>
      </c>
      <c r="I175" s="73">
        <f>IF(C157&gt;I153,0,I164)</f>
        <v>84</v>
      </c>
      <c r="J175" s="73">
        <f>IF(C157&gt;J153,0,J164)</f>
        <v>85</v>
      </c>
      <c r="K175" s="73">
        <f>IF(C157&gt;K153,0,K164)</f>
        <v>86</v>
      </c>
      <c r="L175" s="73">
        <f>IF(C157&gt;L153,0,L164)</f>
        <v>87</v>
      </c>
      <c r="M175" s="73">
        <f>IF(C157&gt;M153,0,M164)</f>
        <v>88</v>
      </c>
      <c r="N175" s="81">
        <f>IF(C157&gt;N153,0,N164)</f>
        <v>89</v>
      </c>
      <c r="Q175" s="7"/>
      <c r="T175" s="73" t="str">
        <f t="shared" si="28"/>
        <v>---</v>
      </c>
      <c r="U175" s="73" t="str">
        <f t="shared" si="28"/>
        <v>---</v>
      </c>
      <c r="V175" s="73" t="str">
        <f t="shared" si="28"/>
        <v>---</v>
      </c>
      <c r="W175" s="73" t="str">
        <f t="shared" si="28"/>
        <v>---</v>
      </c>
      <c r="X175" s="73" t="str">
        <f t="shared" si="28"/>
        <v>---</v>
      </c>
      <c r="Y175" s="73" t="str">
        <f t="shared" si="28"/>
        <v>---</v>
      </c>
      <c r="Z175" s="73" t="str">
        <f t="shared" si="28"/>
        <v>---</v>
      </c>
      <c r="AA175" s="73" t="str">
        <f t="shared" si="28"/>
        <v>---</v>
      </c>
      <c r="AB175" s="73" t="str">
        <f t="shared" si="28"/>
        <v>---</v>
      </c>
      <c r="AC175" s="81" t="str">
        <f t="shared" si="28"/>
        <v>---</v>
      </c>
    </row>
    <row r="176" spans="2:29">
      <c r="B176" s="7"/>
      <c r="E176" s="73">
        <f>IF(C157&gt;E154,0,E165)</f>
        <v>90</v>
      </c>
      <c r="F176" s="73">
        <f>IF(C157&gt;F154,0,F165)</f>
        <v>91</v>
      </c>
      <c r="G176" s="73">
        <f>IF(C157&gt;G154,0,G165)</f>
        <v>92</v>
      </c>
      <c r="H176" s="73">
        <f>IF(C157&gt;H154,0,H165)</f>
        <v>93</v>
      </c>
      <c r="I176" s="73">
        <f>IF(C157&gt;I154,0,I165)</f>
        <v>94</v>
      </c>
      <c r="J176" s="73">
        <f>IF(C157&gt;J154,0,J165)</f>
        <v>95</v>
      </c>
      <c r="K176" s="73">
        <f>IF(C157&gt;K154,0,K165)</f>
        <v>96</v>
      </c>
      <c r="L176" s="73">
        <f>IF(C157&gt;L154,0,L165)</f>
        <v>97</v>
      </c>
      <c r="M176" s="73">
        <f>IF(C157&gt;M154,0,M165)</f>
        <v>98</v>
      </c>
      <c r="N176" s="81">
        <f>IF(C157&gt;N154,0,N165)</f>
        <v>99</v>
      </c>
      <c r="Q176" s="7"/>
      <c r="T176" s="73" t="str">
        <f t="shared" si="28"/>
        <v>---</v>
      </c>
      <c r="U176" s="73" t="str">
        <f t="shared" si="28"/>
        <v>---</v>
      </c>
      <c r="V176" s="73" t="str">
        <f t="shared" si="28"/>
        <v>---</v>
      </c>
      <c r="W176" s="73" t="str">
        <f t="shared" si="28"/>
        <v>---</v>
      </c>
      <c r="X176" s="73" t="str">
        <f t="shared" si="28"/>
        <v>---</v>
      </c>
      <c r="Y176" s="73" t="str">
        <f t="shared" si="28"/>
        <v>---</v>
      </c>
      <c r="Z176" s="73" t="str">
        <f t="shared" si="28"/>
        <v>---</v>
      </c>
      <c r="AA176" s="73" t="str">
        <f t="shared" si="28"/>
        <v>---</v>
      </c>
      <c r="AB176" s="73" t="str">
        <f t="shared" si="28"/>
        <v>---</v>
      </c>
      <c r="AC176" s="81" t="str">
        <f t="shared" si="28"/>
        <v>---</v>
      </c>
    </row>
    <row r="177" spans="2:29">
      <c r="B177" s="7"/>
      <c r="E177" s="73">
        <f>IF(C157&gt;E154,0,E166)</f>
        <v>100</v>
      </c>
      <c r="N177" s="8"/>
      <c r="Q177" s="7"/>
      <c r="T177" s="73" t="str">
        <f>IF($R$157="---","---",IF($R$157&gt;T154,0,T166))</f>
        <v>---</v>
      </c>
      <c r="AC177" s="8"/>
    </row>
    <row r="178" spans="2:29">
      <c r="B178" s="7"/>
      <c r="N178" s="8"/>
      <c r="Q178" s="7"/>
      <c r="AC178" s="8"/>
    </row>
    <row r="179" spans="2:29">
      <c r="B179" s="7"/>
      <c r="D179" s="75"/>
      <c r="E179" s="75">
        <v>1</v>
      </c>
      <c r="F179" s="75">
        <v>2</v>
      </c>
      <c r="G179" s="75">
        <v>3</v>
      </c>
      <c r="H179" s="75">
        <v>4</v>
      </c>
      <c r="I179" s="75">
        <v>5</v>
      </c>
      <c r="J179" s="75">
        <v>6</v>
      </c>
      <c r="K179" s="75">
        <v>7</v>
      </c>
      <c r="L179" s="75">
        <v>8</v>
      </c>
      <c r="M179" s="75">
        <v>9</v>
      </c>
      <c r="N179" s="82">
        <v>10</v>
      </c>
      <c r="Q179" s="7"/>
      <c r="S179" s="75"/>
      <c r="T179" s="75">
        <v>1</v>
      </c>
      <c r="U179" s="75">
        <v>2</v>
      </c>
      <c r="V179" s="75">
        <v>3</v>
      </c>
      <c r="W179" s="75">
        <v>4</v>
      </c>
      <c r="X179" s="75">
        <v>5</v>
      </c>
      <c r="Y179" s="75">
        <v>6</v>
      </c>
      <c r="Z179" s="75">
        <v>7</v>
      </c>
      <c r="AA179" s="75">
        <v>8</v>
      </c>
      <c r="AB179" s="75">
        <v>9</v>
      </c>
      <c r="AC179" s="82">
        <v>10</v>
      </c>
    </row>
    <row r="180" spans="2:29">
      <c r="B180" s="78">
        <f t="shared" ref="B180:B190" si="29">D20</f>
        <v>3652.1739130434785</v>
      </c>
      <c r="C180">
        <f>(B180-B181)/10</f>
        <v>305.75367306546326</v>
      </c>
      <c r="D180" s="75">
        <v>0</v>
      </c>
      <c r="E180">
        <f>B180-C180</f>
        <v>3346.4202399780152</v>
      </c>
      <c r="F180">
        <f>B180-2*C180</f>
        <v>3040.6665669125518</v>
      </c>
      <c r="G180">
        <f>B180-3*C180</f>
        <v>2734.9128938470885</v>
      </c>
      <c r="H180">
        <f>B180-4*C180</f>
        <v>2429.1592207816257</v>
      </c>
      <c r="I180">
        <f>B180-5*C180</f>
        <v>2123.4055477161619</v>
      </c>
      <c r="J180">
        <f>B180-6*C180</f>
        <v>1817.651874650699</v>
      </c>
      <c r="K180">
        <f>B180-7*C180</f>
        <v>1511.8982015852357</v>
      </c>
      <c r="L180">
        <f>B180-8*C180</f>
        <v>1206.1445285197724</v>
      </c>
      <c r="M180">
        <f>B180-9*C180</f>
        <v>900.39085545430908</v>
      </c>
      <c r="N180" s="8">
        <f>B180-10*C180</f>
        <v>594.63718238884576</v>
      </c>
      <c r="Q180" s="78" t="e">
        <f>R20</f>
        <v>#N/A</v>
      </c>
      <c r="R180" t="str">
        <f t="shared" ref="R180:R189" si="30">IFERROR(((Q180-Q181)/10),"---")</f>
        <v>---</v>
      </c>
      <c r="S180" s="75">
        <v>0</v>
      </c>
      <c r="T180" t="str">
        <f t="shared" ref="T180:T189" si="31">IFERROR((Q180-R180),"---")</f>
        <v>---</v>
      </c>
      <c r="U180" t="str">
        <f t="shared" ref="U180:U189" si="32">IFERROR((Q180-2*R180),"---")</f>
        <v>---</v>
      </c>
      <c r="V180" t="str">
        <f t="shared" ref="V180:V189" si="33">IFERROR((Q180-3*R180),"---")</f>
        <v>---</v>
      </c>
      <c r="W180" t="str">
        <f t="shared" ref="W180:W189" si="34">IFERROR((Q180-4*R180),"---")</f>
        <v>---</v>
      </c>
      <c r="X180" t="str">
        <f t="shared" ref="X180:X189" si="35">IFERROR((Q180-5*R180),"---")</f>
        <v>---</v>
      </c>
      <c r="Y180" t="str">
        <f t="shared" ref="Y180:Y189" si="36">IFERROR((Q180-6*R180),"---")</f>
        <v>---</v>
      </c>
      <c r="Z180" t="str">
        <f t="shared" ref="Z180:Z189" si="37">IFERROR((Q180-7*R180),"---")</f>
        <v>---</v>
      </c>
      <c r="AA180" t="str">
        <f t="shared" ref="AA180:AA189" si="38">IFERROR((Q180-8*R180),"---")</f>
        <v>---</v>
      </c>
      <c r="AB180" t="str">
        <f t="shared" ref="AB180:AB189" si="39">IFERROR((Q180-9*R180),"---")</f>
        <v>---</v>
      </c>
      <c r="AC180" s="8" t="str">
        <f t="shared" ref="AC180:AC189" si="40">IFERROR((Q180-10*R180),"---")</f>
        <v>---</v>
      </c>
    </row>
    <row r="181" spans="2:29">
      <c r="B181" s="78">
        <f t="shared" si="29"/>
        <v>594.63718238884587</v>
      </c>
      <c r="C181">
        <f t="shared" ref="C181:C189" si="41">(B181-B182)/10</f>
        <v>29.139413003510249</v>
      </c>
      <c r="D181" s="75">
        <v>10</v>
      </c>
      <c r="E181">
        <f t="shared" ref="E181:E189" si="42">B181-C181</f>
        <v>565.49776938533557</v>
      </c>
      <c r="F181">
        <f t="shared" ref="F181:F189" si="43">B181-2*C181</f>
        <v>536.35835638182539</v>
      </c>
      <c r="G181">
        <f t="shared" ref="G181:G189" si="44">B181-3*C181</f>
        <v>507.21894337831509</v>
      </c>
      <c r="H181">
        <f t="shared" ref="H181:H189" si="45">B181-4*C181</f>
        <v>478.0795303748049</v>
      </c>
      <c r="I181">
        <f t="shared" ref="I181:I189" si="46">B181-5*C181</f>
        <v>448.9401173712946</v>
      </c>
      <c r="J181">
        <f t="shared" ref="J181:J189" si="47">B181-6*C181</f>
        <v>419.80070436778436</v>
      </c>
      <c r="K181">
        <f t="shared" ref="K181:K189" si="48">B181-7*C181</f>
        <v>390.66129136427412</v>
      </c>
      <c r="L181">
        <f t="shared" ref="L181:L189" si="49">B181-8*C181</f>
        <v>361.52187836076388</v>
      </c>
      <c r="M181">
        <f t="shared" ref="M181:M189" si="50">B181-9*C181</f>
        <v>332.38246535725364</v>
      </c>
      <c r="N181" s="8">
        <f t="shared" ref="N181:N189" si="51">B181-10*C181</f>
        <v>303.24305235374339</v>
      </c>
      <c r="Q181" s="78" t="e">
        <f t="shared" ref="Q181:Q190" si="52">R21</f>
        <v>#N/A</v>
      </c>
      <c r="R181" t="str">
        <f t="shared" si="30"/>
        <v>---</v>
      </c>
      <c r="S181" s="75">
        <v>10</v>
      </c>
      <c r="T181" t="str">
        <f t="shared" si="31"/>
        <v>---</v>
      </c>
      <c r="U181" t="str">
        <f t="shared" si="32"/>
        <v>---</v>
      </c>
      <c r="V181" t="str">
        <f t="shared" si="33"/>
        <v>---</v>
      </c>
      <c r="W181" t="str">
        <f t="shared" si="34"/>
        <v>---</v>
      </c>
      <c r="X181" t="str">
        <f t="shared" si="35"/>
        <v>---</v>
      </c>
      <c r="Y181" t="str">
        <f t="shared" si="36"/>
        <v>---</v>
      </c>
      <c r="Z181" t="str">
        <f t="shared" si="37"/>
        <v>---</v>
      </c>
      <c r="AA181" t="str">
        <f t="shared" si="38"/>
        <v>---</v>
      </c>
      <c r="AB181" t="str">
        <f t="shared" si="39"/>
        <v>---</v>
      </c>
      <c r="AC181" s="8" t="str">
        <f t="shared" si="40"/>
        <v>---</v>
      </c>
    </row>
    <row r="182" spans="2:29">
      <c r="B182" s="78">
        <f t="shared" si="29"/>
        <v>303.24305235374339</v>
      </c>
      <c r="C182">
        <f t="shared" si="41"/>
        <v>10.002638019109913</v>
      </c>
      <c r="D182" s="75">
        <v>20</v>
      </c>
      <c r="E182">
        <f t="shared" si="42"/>
        <v>293.2404143346335</v>
      </c>
      <c r="F182">
        <f t="shared" si="43"/>
        <v>283.23777631552355</v>
      </c>
      <c r="G182">
        <f t="shared" si="44"/>
        <v>273.23513829641365</v>
      </c>
      <c r="H182">
        <f t="shared" si="45"/>
        <v>263.23250027730376</v>
      </c>
      <c r="I182">
        <f t="shared" si="46"/>
        <v>253.22986225819383</v>
      </c>
      <c r="J182">
        <f t="shared" si="47"/>
        <v>243.22722423908391</v>
      </c>
      <c r="K182">
        <f t="shared" si="48"/>
        <v>233.22458621997401</v>
      </c>
      <c r="L182">
        <f t="shared" si="49"/>
        <v>223.22194820086409</v>
      </c>
      <c r="M182">
        <f t="shared" si="50"/>
        <v>213.21931018175417</v>
      </c>
      <c r="N182" s="8">
        <f t="shared" si="51"/>
        <v>203.21667216264427</v>
      </c>
      <c r="Q182" s="78" t="e">
        <f t="shared" si="52"/>
        <v>#N/A</v>
      </c>
      <c r="R182" t="str">
        <f t="shared" si="30"/>
        <v>---</v>
      </c>
      <c r="S182" s="75">
        <v>20</v>
      </c>
      <c r="T182" t="str">
        <f t="shared" si="31"/>
        <v>---</v>
      </c>
      <c r="U182" t="str">
        <f t="shared" si="32"/>
        <v>---</v>
      </c>
      <c r="V182" t="str">
        <f t="shared" si="33"/>
        <v>---</v>
      </c>
      <c r="W182" t="str">
        <f t="shared" si="34"/>
        <v>---</v>
      </c>
      <c r="X182" t="str">
        <f t="shared" si="35"/>
        <v>---</v>
      </c>
      <c r="Y182" t="str">
        <f t="shared" si="36"/>
        <v>---</v>
      </c>
      <c r="Z182" t="str">
        <f t="shared" si="37"/>
        <v>---</v>
      </c>
      <c r="AA182" t="str">
        <f t="shared" si="38"/>
        <v>---</v>
      </c>
      <c r="AB182" t="str">
        <f t="shared" si="39"/>
        <v>---</v>
      </c>
      <c r="AC182" s="8" t="str">
        <f t="shared" si="40"/>
        <v>---</v>
      </c>
    </row>
    <row r="183" spans="2:29">
      <c r="B183" s="78">
        <f t="shared" si="29"/>
        <v>203.21667216264427</v>
      </c>
      <c r="C183">
        <f t="shared" si="41"/>
        <v>5.0448577578520117</v>
      </c>
      <c r="D183" s="75">
        <v>30</v>
      </c>
      <c r="E183">
        <f t="shared" si="42"/>
        <v>198.17181440479226</v>
      </c>
      <c r="F183">
        <f t="shared" si="43"/>
        <v>193.12695664694024</v>
      </c>
      <c r="G183">
        <f t="shared" si="44"/>
        <v>188.08209888908823</v>
      </c>
      <c r="H183">
        <f t="shared" si="45"/>
        <v>183.03724113123621</v>
      </c>
      <c r="I183">
        <f t="shared" si="46"/>
        <v>177.9923833733842</v>
      </c>
      <c r="J183">
        <f t="shared" si="47"/>
        <v>172.94752561553219</v>
      </c>
      <c r="K183">
        <f t="shared" si="48"/>
        <v>167.9026678576802</v>
      </c>
      <c r="L183">
        <f t="shared" si="49"/>
        <v>162.85781009982819</v>
      </c>
      <c r="M183">
        <f t="shared" si="50"/>
        <v>157.81295234197617</v>
      </c>
      <c r="N183" s="8">
        <f t="shared" si="51"/>
        <v>152.76809458412416</v>
      </c>
      <c r="Q183" s="78" t="e">
        <f t="shared" si="52"/>
        <v>#N/A</v>
      </c>
      <c r="R183" t="str">
        <f t="shared" si="30"/>
        <v>---</v>
      </c>
      <c r="S183" s="75">
        <v>30</v>
      </c>
      <c r="T183" t="str">
        <f t="shared" si="31"/>
        <v>---</v>
      </c>
      <c r="U183" t="str">
        <f t="shared" si="32"/>
        <v>---</v>
      </c>
      <c r="V183" t="str">
        <f t="shared" si="33"/>
        <v>---</v>
      </c>
      <c r="W183" t="str">
        <f t="shared" si="34"/>
        <v>---</v>
      </c>
      <c r="X183" t="str">
        <f t="shared" si="35"/>
        <v>---</v>
      </c>
      <c r="Y183" t="str">
        <f t="shared" si="36"/>
        <v>---</v>
      </c>
      <c r="Z183" t="str">
        <f t="shared" si="37"/>
        <v>---</v>
      </c>
      <c r="AA183" t="str">
        <f t="shared" si="38"/>
        <v>---</v>
      </c>
      <c r="AB183" t="str">
        <f t="shared" si="39"/>
        <v>---</v>
      </c>
      <c r="AC183" s="8" t="str">
        <f t="shared" si="40"/>
        <v>---</v>
      </c>
    </row>
    <row r="184" spans="2:29">
      <c r="B184" s="78">
        <f t="shared" si="29"/>
        <v>152.76809458412416</v>
      </c>
      <c r="C184">
        <f t="shared" si="41"/>
        <v>3.0393427999316556</v>
      </c>
      <c r="D184" s="75">
        <v>40</v>
      </c>
      <c r="E184">
        <f t="shared" si="42"/>
        <v>149.7287517841925</v>
      </c>
      <c r="F184">
        <f t="shared" si="43"/>
        <v>146.68940898426084</v>
      </c>
      <c r="G184">
        <f t="shared" si="44"/>
        <v>143.65006618432921</v>
      </c>
      <c r="H184">
        <f t="shared" si="45"/>
        <v>140.61072338439755</v>
      </c>
      <c r="I184">
        <f t="shared" si="46"/>
        <v>137.57138058446589</v>
      </c>
      <c r="J184">
        <f t="shared" si="47"/>
        <v>134.53203778453423</v>
      </c>
      <c r="K184">
        <f t="shared" si="48"/>
        <v>131.49269498460257</v>
      </c>
      <c r="L184">
        <f t="shared" si="49"/>
        <v>128.4533521846709</v>
      </c>
      <c r="M184">
        <f t="shared" si="50"/>
        <v>125.41400938473926</v>
      </c>
      <c r="N184" s="8">
        <f t="shared" si="51"/>
        <v>122.3746665848076</v>
      </c>
      <c r="Q184" s="78" t="e">
        <f t="shared" si="52"/>
        <v>#N/A</v>
      </c>
      <c r="R184" t="str">
        <f t="shared" si="30"/>
        <v>---</v>
      </c>
      <c r="S184" s="75">
        <v>40</v>
      </c>
      <c r="T184" t="str">
        <f t="shared" si="31"/>
        <v>---</v>
      </c>
      <c r="U184" t="str">
        <f t="shared" si="32"/>
        <v>---</v>
      </c>
      <c r="V184" t="str">
        <f t="shared" si="33"/>
        <v>---</v>
      </c>
      <c r="W184" t="str">
        <f t="shared" si="34"/>
        <v>---</v>
      </c>
      <c r="X184" t="str">
        <f t="shared" si="35"/>
        <v>---</v>
      </c>
      <c r="Y184" t="str">
        <f t="shared" si="36"/>
        <v>---</v>
      </c>
      <c r="Z184" t="str">
        <f t="shared" si="37"/>
        <v>---</v>
      </c>
      <c r="AA184" t="str">
        <f t="shared" si="38"/>
        <v>---</v>
      </c>
      <c r="AB184" t="str">
        <f t="shared" si="39"/>
        <v>---</v>
      </c>
      <c r="AC184" s="8" t="str">
        <f t="shared" si="40"/>
        <v>---</v>
      </c>
    </row>
    <row r="185" spans="2:29">
      <c r="B185" s="78">
        <f t="shared" si="29"/>
        <v>122.3746665848076</v>
      </c>
      <c r="C185">
        <f t="shared" si="41"/>
        <v>2.0310476409048079</v>
      </c>
      <c r="D185" s="75">
        <v>50</v>
      </c>
      <c r="E185">
        <f t="shared" si="42"/>
        <v>120.3436189439028</v>
      </c>
      <c r="F185">
        <f t="shared" si="43"/>
        <v>118.31257130299798</v>
      </c>
      <c r="G185">
        <f t="shared" si="44"/>
        <v>116.28152366209318</v>
      </c>
      <c r="H185">
        <f t="shared" si="45"/>
        <v>114.25047602118836</v>
      </c>
      <c r="I185">
        <f t="shared" si="46"/>
        <v>112.21942838028356</v>
      </c>
      <c r="J185">
        <f t="shared" si="47"/>
        <v>110.18838073937874</v>
      </c>
      <c r="K185">
        <f t="shared" si="48"/>
        <v>108.15733309847394</v>
      </c>
      <c r="L185">
        <f t="shared" si="49"/>
        <v>106.12628545756914</v>
      </c>
      <c r="M185">
        <f t="shared" si="50"/>
        <v>104.09523781666432</v>
      </c>
      <c r="N185" s="8">
        <f t="shared" si="51"/>
        <v>102.06419017575952</v>
      </c>
      <c r="Q185" s="78" t="e">
        <f t="shared" si="52"/>
        <v>#N/A</v>
      </c>
      <c r="R185" t="str">
        <f t="shared" si="30"/>
        <v>---</v>
      </c>
      <c r="S185" s="75">
        <v>50</v>
      </c>
      <c r="T185" t="str">
        <f t="shared" si="31"/>
        <v>---</v>
      </c>
      <c r="U185" t="str">
        <f t="shared" si="32"/>
        <v>---</v>
      </c>
      <c r="V185" t="str">
        <f t="shared" si="33"/>
        <v>---</v>
      </c>
      <c r="W185" t="str">
        <f t="shared" si="34"/>
        <v>---</v>
      </c>
      <c r="X185" t="str">
        <f t="shared" si="35"/>
        <v>---</v>
      </c>
      <c r="Y185" t="str">
        <f t="shared" si="36"/>
        <v>---</v>
      </c>
      <c r="Z185" t="str">
        <f t="shared" si="37"/>
        <v>---</v>
      </c>
      <c r="AA185" t="str">
        <f t="shared" si="38"/>
        <v>---</v>
      </c>
      <c r="AB185" t="str">
        <f t="shared" si="39"/>
        <v>---</v>
      </c>
      <c r="AC185" s="8" t="str">
        <f t="shared" si="40"/>
        <v>---</v>
      </c>
    </row>
    <row r="186" spans="2:29">
      <c r="B186" s="78">
        <f t="shared" si="29"/>
        <v>102.06419017575952</v>
      </c>
      <c r="C186">
        <f t="shared" si="41"/>
        <v>1.4529936989100178</v>
      </c>
      <c r="D186" s="75">
        <v>60</v>
      </c>
      <c r="E186">
        <f t="shared" si="42"/>
        <v>100.6111964768495</v>
      </c>
      <c r="F186">
        <f t="shared" si="43"/>
        <v>99.158202777939479</v>
      </c>
      <c r="G186">
        <f t="shared" si="44"/>
        <v>97.705209079029473</v>
      </c>
      <c r="H186">
        <f t="shared" si="45"/>
        <v>96.252215380119452</v>
      </c>
      <c r="I186">
        <f t="shared" si="46"/>
        <v>94.799221681209431</v>
      </c>
      <c r="J186">
        <f t="shared" si="47"/>
        <v>93.346227982299411</v>
      </c>
      <c r="K186">
        <f t="shared" si="48"/>
        <v>91.89323428338939</v>
      </c>
      <c r="L186">
        <f t="shared" si="49"/>
        <v>90.440240584479383</v>
      </c>
      <c r="M186">
        <f t="shared" si="50"/>
        <v>88.987246885569363</v>
      </c>
      <c r="N186" s="8">
        <f t="shared" si="51"/>
        <v>87.534253186659342</v>
      </c>
      <c r="Q186" s="78" t="e">
        <f t="shared" si="52"/>
        <v>#N/A</v>
      </c>
      <c r="R186" t="str">
        <f t="shared" si="30"/>
        <v>---</v>
      </c>
      <c r="S186" s="75">
        <v>60</v>
      </c>
      <c r="T186" t="str">
        <f t="shared" si="31"/>
        <v>---</v>
      </c>
      <c r="U186" t="str">
        <f t="shared" si="32"/>
        <v>---</v>
      </c>
      <c r="V186" t="str">
        <f t="shared" si="33"/>
        <v>---</v>
      </c>
      <c r="W186" t="str">
        <f t="shared" si="34"/>
        <v>---</v>
      </c>
      <c r="X186" t="str">
        <f t="shared" si="35"/>
        <v>---</v>
      </c>
      <c r="Y186" t="str">
        <f t="shared" si="36"/>
        <v>---</v>
      </c>
      <c r="Z186" t="str">
        <f t="shared" si="37"/>
        <v>---</v>
      </c>
      <c r="AA186" t="str">
        <f t="shared" si="38"/>
        <v>---</v>
      </c>
      <c r="AB186" t="str">
        <f t="shared" si="39"/>
        <v>---</v>
      </c>
      <c r="AC186" s="8" t="str">
        <f t="shared" si="40"/>
        <v>---</v>
      </c>
    </row>
    <row r="187" spans="2:29">
      <c r="B187" s="78">
        <f t="shared" si="29"/>
        <v>87.534253186659342</v>
      </c>
      <c r="C187">
        <f t="shared" si="41"/>
        <v>1.0909287475084894</v>
      </c>
      <c r="D187" s="75">
        <v>70</v>
      </c>
      <c r="E187">
        <f t="shared" si="42"/>
        <v>86.443324439150857</v>
      </c>
      <c r="F187">
        <f t="shared" si="43"/>
        <v>85.352395691642357</v>
      </c>
      <c r="G187">
        <f t="shared" si="44"/>
        <v>84.261466944133872</v>
      </c>
      <c r="H187">
        <f t="shared" si="45"/>
        <v>83.170538196625387</v>
      </c>
      <c r="I187">
        <f t="shared" si="46"/>
        <v>82.079609449116901</v>
      </c>
      <c r="J187">
        <f t="shared" si="47"/>
        <v>80.988680701608402</v>
      </c>
      <c r="K187">
        <f t="shared" si="48"/>
        <v>79.897751954099917</v>
      </c>
      <c r="L187">
        <f t="shared" si="49"/>
        <v>78.806823206591432</v>
      </c>
      <c r="M187">
        <f t="shared" si="50"/>
        <v>77.715894459082932</v>
      </c>
      <c r="N187" s="8">
        <f t="shared" si="51"/>
        <v>76.624965711574447</v>
      </c>
      <c r="Q187" s="78" t="e">
        <f t="shared" si="52"/>
        <v>#N/A</v>
      </c>
      <c r="R187" t="str">
        <f t="shared" si="30"/>
        <v>---</v>
      </c>
      <c r="S187" s="75">
        <v>70</v>
      </c>
      <c r="T187" t="str">
        <f t="shared" si="31"/>
        <v>---</v>
      </c>
      <c r="U187" t="str">
        <f t="shared" si="32"/>
        <v>---</v>
      </c>
      <c r="V187" t="str">
        <f t="shared" si="33"/>
        <v>---</v>
      </c>
      <c r="W187" t="str">
        <f t="shared" si="34"/>
        <v>---</v>
      </c>
      <c r="X187" t="str">
        <f t="shared" si="35"/>
        <v>---</v>
      </c>
      <c r="Y187" t="str">
        <f t="shared" si="36"/>
        <v>---</v>
      </c>
      <c r="Z187" t="str">
        <f t="shared" si="37"/>
        <v>---</v>
      </c>
      <c r="AA187" t="str">
        <f t="shared" si="38"/>
        <v>---</v>
      </c>
      <c r="AB187" t="str">
        <f t="shared" si="39"/>
        <v>---</v>
      </c>
      <c r="AC187" s="8" t="str">
        <f t="shared" si="40"/>
        <v>---</v>
      </c>
    </row>
    <row r="188" spans="2:29">
      <c r="B188" s="78">
        <f t="shared" si="29"/>
        <v>76.624965711574447</v>
      </c>
      <c r="C188">
        <f t="shared" si="41"/>
        <v>0.84918179753542522</v>
      </c>
      <c r="D188" s="75">
        <v>80</v>
      </c>
      <c r="E188">
        <f t="shared" si="42"/>
        <v>75.775783914039025</v>
      </c>
      <c r="F188">
        <f t="shared" si="43"/>
        <v>74.926602116503602</v>
      </c>
      <c r="G188">
        <f t="shared" si="44"/>
        <v>74.077420318968166</v>
      </c>
      <c r="H188">
        <f t="shared" si="45"/>
        <v>73.228238521432743</v>
      </c>
      <c r="I188">
        <f t="shared" si="46"/>
        <v>72.379056723897321</v>
      </c>
      <c r="J188">
        <f t="shared" si="47"/>
        <v>71.529874926361899</v>
      </c>
      <c r="K188">
        <f t="shared" si="48"/>
        <v>70.680693128826476</v>
      </c>
      <c r="L188">
        <f t="shared" si="49"/>
        <v>69.83151133129104</v>
      </c>
      <c r="M188">
        <f t="shared" si="50"/>
        <v>68.982329533755617</v>
      </c>
      <c r="N188" s="8">
        <f t="shared" si="51"/>
        <v>68.133147736220195</v>
      </c>
      <c r="Q188" s="78" t="e">
        <f t="shared" si="52"/>
        <v>#N/A</v>
      </c>
      <c r="R188" t="str">
        <f t="shared" si="30"/>
        <v>---</v>
      </c>
      <c r="S188" s="75">
        <v>80</v>
      </c>
      <c r="T188" t="str">
        <f t="shared" si="31"/>
        <v>---</v>
      </c>
      <c r="U188" t="str">
        <f t="shared" si="32"/>
        <v>---</v>
      </c>
      <c r="V188" t="str">
        <f t="shared" si="33"/>
        <v>---</v>
      </c>
      <c r="W188" t="str">
        <f t="shared" si="34"/>
        <v>---</v>
      </c>
      <c r="X188" t="str">
        <f t="shared" si="35"/>
        <v>---</v>
      </c>
      <c r="Y188" t="str">
        <f t="shared" si="36"/>
        <v>---</v>
      </c>
      <c r="Z188" t="str">
        <f t="shared" si="37"/>
        <v>---</v>
      </c>
      <c r="AA188" t="str">
        <f t="shared" si="38"/>
        <v>---</v>
      </c>
      <c r="AB188" t="str">
        <f t="shared" si="39"/>
        <v>---</v>
      </c>
      <c r="AC188" s="8" t="str">
        <f t="shared" si="40"/>
        <v>---</v>
      </c>
    </row>
    <row r="189" spans="2:29">
      <c r="B189" s="78">
        <f t="shared" si="29"/>
        <v>68.133147736220195</v>
      </c>
      <c r="C189">
        <f t="shared" si="41"/>
        <v>0.67976528246889456</v>
      </c>
      <c r="D189" s="75">
        <v>90</v>
      </c>
      <c r="E189">
        <f t="shared" si="42"/>
        <v>67.453382453751303</v>
      </c>
      <c r="F189">
        <f t="shared" si="43"/>
        <v>66.77361717128241</v>
      </c>
      <c r="G189">
        <f t="shared" si="44"/>
        <v>66.093851888813518</v>
      </c>
      <c r="H189">
        <f t="shared" si="45"/>
        <v>65.414086606344611</v>
      </c>
      <c r="I189">
        <f t="shared" si="46"/>
        <v>64.734321323875719</v>
      </c>
      <c r="J189">
        <f t="shared" si="47"/>
        <v>64.054556041406826</v>
      </c>
      <c r="K189">
        <f t="shared" si="48"/>
        <v>63.374790758937934</v>
      </c>
      <c r="L189">
        <f t="shared" si="49"/>
        <v>62.695025476469041</v>
      </c>
      <c r="M189">
        <f t="shared" si="50"/>
        <v>62.015260194000142</v>
      </c>
      <c r="N189" s="8">
        <f t="shared" si="51"/>
        <v>61.335494911531249</v>
      </c>
      <c r="Q189" s="78" t="e">
        <f t="shared" si="52"/>
        <v>#N/A</v>
      </c>
      <c r="R189" t="str">
        <f t="shared" si="30"/>
        <v>---</v>
      </c>
      <c r="S189" s="75">
        <v>90</v>
      </c>
      <c r="T189" t="str">
        <f t="shared" si="31"/>
        <v>---</v>
      </c>
      <c r="U189" t="str">
        <f t="shared" si="32"/>
        <v>---</v>
      </c>
      <c r="V189" t="str">
        <f t="shared" si="33"/>
        <v>---</v>
      </c>
      <c r="W189" t="str">
        <f t="shared" si="34"/>
        <v>---</v>
      </c>
      <c r="X189" t="str">
        <f t="shared" si="35"/>
        <v>---</v>
      </c>
      <c r="Y189" t="str">
        <f t="shared" si="36"/>
        <v>---</v>
      </c>
      <c r="Z189" t="str">
        <f t="shared" si="37"/>
        <v>---</v>
      </c>
      <c r="AA189" t="str">
        <f t="shared" si="38"/>
        <v>---</v>
      </c>
      <c r="AB189" t="str">
        <f t="shared" si="39"/>
        <v>---</v>
      </c>
      <c r="AC189" s="8" t="str">
        <f t="shared" si="40"/>
        <v>---</v>
      </c>
    </row>
    <row r="190" spans="2:29">
      <c r="B190" s="78">
        <f t="shared" si="29"/>
        <v>61.335494911531249</v>
      </c>
      <c r="N190" s="8"/>
      <c r="Q190" s="78" t="e">
        <f t="shared" si="52"/>
        <v>#N/A</v>
      </c>
      <c r="AC190" s="8"/>
    </row>
    <row r="191" spans="2:29">
      <c r="B191" s="7"/>
      <c r="E191" s="71">
        <v>0</v>
      </c>
      <c r="F191" s="71">
        <v>1</v>
      </c>
      <c r="G191" s="71">
        <v>2</v>
      </c>
      <c r="H191" s="71">
        <v>3</v>
      </c>
      <c r="I191" s="71">
        <v>4</v>
      </c>
      <c r="J191" s="71">
        <v>5</v>
      </c>
      <c r="K191" s="71">
        <v>6</v>
      </c>
      <c r="L191" s="71">
        <v>7</v>
      </c>
      <c r="M191" s="71">
        <v>8</v>
      </c>
      <c r="N191" s="79">
        <v>9</v>
      </c>
      <c r="Q191" s="7"/>
      <c r="T191" s="71">
        <v>0</v>
      </c>
      <c r="U191" s="71">
        <v>1</v>
      </c>
      <c r="V191" s="71">
        <v>2</v>
      </c>
      <c r="W191" s="71">
        <v>3</v>
      </c>
      <c r="X191" s="71">
        <v>4</v>
      </c>
      <c r="Y191" s="71">
        <v>5</v>
      </c>
      <c r="Z191" s="71">
        <v>6</v>
      </c>
      <c r="AA191" s="71">
        <v>7</v>
      </c>
      <c r="AB191" s="71">
        <v>8</v>
      </c>
      <c r="AC191" s="79">
        <v>9</v>
      </c>
    </row>
    <row r="192" spans="2:29">
      <c r="B192" s="7"/>
      <c r="C192" s="80">
        <f>Расчет!K33</f>
        <v>20</v>
      </c>
      <c r="E192" s="71">
        <v>10</v>
      </c>
      <c r="F192" s="71">
        <v>11</v>
      </c>
      <c r="G192" s="71">
        <v>12</v>
      </c>
      <c r="H192" s="71">
        <v>13</v>
      </c>
      <c r="I192" s="71">
        <v>14</v>
      </c>
      <c r="J192" s="71">
        <v>15</v>
      </c>
      <c r="K192" s="71">
        <v>16</v>
      </c>
      <c r="L192" s="71">
        <v>17</v>
      </c>
      <c r="M192" s="71">
        <v>18</v>
      </c>
      <c r="N192" s="79">
        <v>19</v>
      </c>
      <c r="Q192" s="7"/>
      <c r="R192" s="195" t="str">
        <f>IF(Расчет!$F$6="---","---",Расчет!$K$33)</f>
        <v>---</v>
      </c>
      <c r="T192" s="71">
        <v>10</v>
      </c>
      <c r="U192" s="71">
        <v>11</v>
      </c>
      <c r="V192" s="71">
        <v>12</v>
      </c>
      <c r="W192" s="71">
        <v>13</v>
      </c>
      <c r="X192" s="71">
        <v>14</v>
      </c>
      <c r="Y192" s="71">
        <v>15</v>
      </c>
      <c r="Z192" s="71">
        <v>16</v>
      </c>
      <c r="AA192" s="71">
        <v>17</v>
      </c>
      <c r="AB192" s="71">
        <v>18</v>
      </c>
      <c r="AC192" s="79">
        <v>19</v>
      </c>
    </row>
    <row r="193" spans="2:29" ht="16.5">
      <c r="B193" s="85" t="s">
        <v>58</v>
      </c>
      <c r="C193" s="86">
        <f>COUNTIF(E202:N212,"&gt;0")</f>
        <v>100</v>
      </c>
      <c r="D193" s="86" t="s">
        <v>104</v>
      </c>
      <c r="E193" s="71">
        <v>20</v>
      </c>
      <c r="F193" s="71">
        <v>21</v>
      </c>
      <c r="G193" s="71">
        <v>22</v>
      </c>
      <c r="H193" s="71">
        <v>23</v>
      </c>
      <c r="I193" s="71">
        <v>24</v>
      </c>
      <c r="J193" s="71">
        <v>25</v>
      </c>
      <c r="K193" s="71">
        <v>26</v>
      </c>
      <c r="L193" s="71">
        <v>27</v>
      </c>
      <c r="M193" s="71">
        <v>28</v>
      </c>
      <c r="N193" s="79">
        <v>29</v>
      </c>
      <c r="Q193" s="85" t="s">
        <v>58</v>
      </c>
      <c r="R193" s="196" t="str">
        <f>IF(R192="---","---",COUNTIF(T202:AC212,"&gt;0"))</f>
        <v>---</v>
      </c>
      <c r="S193" s="86" t="s">
        <v>104</v>
      </c>
      <c r="T193" s="71">
        <v>20</v>
      </c>
      <c r="U193" s="71">
        <v>21</v>
      </c>
      <c r="V193" s="71">
        <v>22</v>
      </c>
      <c r="W193" s="71">
        <v>23</v>
      </c>
      <c r="X193" s="71">
        <v>24</v>
      </c>
      <c r="Y193" s="71">
        <v>25</v>
      </c>
      <c r="Z193" s="71">
        <v>26</v>
      </c>
      <c r="AA193" s="71">
        <v>27</v>
      </c>
      <c r="AB193" s="71">
        <v>28</v>
      </c>
      <c r="AC193" s="79">
        <v>29</v>
      </c>
    </row>
    <row r="194" spans="2:29">
      <c r="B194" s="7"/>
      <c r="E194" s="71">
        <v>30</v>
      </c>
      <c r="F194" s="71">
        <v>31</v>
      </c>
      <c r="G194" s="71">
        <v>32</v>
      </c>
      <c r="H194" s="71">
        <v>33</v>
      </c>
      <c r="I194" s="71">
        <v>34</v>
      </c>
      <c r="J194" s="71">
        <v>35</v>
      </c>
      <c r="K194" s="71">
        <v>36</v>
      </c>
      <c r="L194" s="71">
        <v>37</v>
      </c>
      <c r="M194" s="71">
        <v>38</v>
      </c>
      <c r="N194" s="79">
        <v>39</v>
      </c>
      <c r="Q194" s="7"/>
      <c r="T194" s="71">
        <v>30</v>
      </c>
      <c r="U194" s="71">
        <v>31</v>
      </c>
      <c r="V194" s="71">
        <v>32</v>
      </c>
      <c r="W194" s="71">
        <v>33</v>
      </c>
      <c r="X194" s="71">
        <v>34</v>
      </c>
      <c r="Y194" s="71">
        <v>35</v>
      </c>
      <c r="Z194" s="71">
        <v>36</v>
      </c>
      <c r="AA194" s="71">
        <v>37</v>
      </c>
      <c r="AB194" s="71">
        <v>38</v>
      </c>
      <c r="AC194" s="79">
        <v>39</v>
      </c>
    </row>
    <row r="195" spans="2:29">
      <c r="B195" s="7"/>
      <c r="E195" s="71">
        <v>40</v>
      </c>
      <c r="F195" s="71">
        <v>41</v>
      </c>
      <c r="G195" s="71">
        <v>42</v>
      </c>
      <c r="H195" s="71">
        <v>43</v>
      </c>
      <c r="I195" s="71">
        <v>44</v>
      </c>
      <c r="J195" s="71">
        <v>45</v>
      </c>
      <c r="K195" s="71">
        <v>46</v>
      </c>
      <c r="L195" s="71">
        <v>47</v>
      </c>
      <c r="M195" s="71">
        <v>48</v>
      </c>
      <c r="N195" s="79">
        <v>49</v>
      </c>
      <c r="Q195" s="7"/>
      <c r="T195" s="71">
        <v>40</v>
      </c>
      <c r="U195" s="71">
        <v>41</v>
      </c>
      <c r="V195" s="71">
        <v>42</v>
      </c>
      <c r="W195" s="71">
        <v>43</v>
      </c>
      <c r="X195" s="71">
        <v>44</v>
      </c>
      <c r="Y195" s="71">
        <v>45</v>
      </c>
      <c r="Z195" s="71">
        <v>46</v>
      </c>
      <c r="AA195" s="71">
        <v>47</v>
      </c>
      <c r="AB195" s="71">
        <v>48</v>
      </c>
      <c r="AC195" s="79">
        <v>49</v>
      </c>
    </row>
    <row r="196" spans="2:29">
      <c r="B196" s="7"/>
      <c r="E196" s="71">
        <v>50</v>
      </c>
      <c r="F196" s="71">
        <v>51</v>
      </c>
      <c r="G196" s="71">
        <v>52</v>
      </c>
      <c r="H196" s="71">
        <v>53</v>
      </c>
      <c r="I196" s="71">
        <v>54</v>
      </c>
      <c r="J196" s="71">
        <v>55</v>
      </c>
      <c r="K196" s="71">
        <v>56</v>
      </c>
      <c r="L196" s="71">
        <v>57</v>
      </c>
      <c r="M196" s="71">
        <v>58</v>
      </c>
      <c r="N196" s="79">
        <v>59</v>
      </c>
      <c r="Q196" s="7"/>
      <c r="T196" s="71">
        <v>50</v>
      </c>
      <c r="U196" s="71">
        <v>51</v>
      </c>
      <c r="V196" s="71">
        <v>52</v>
      </c>
      <c r="W196" s="71">
        <v>53</v>
      </c>
      <c r="X196" s="71">
        <v>54</v>
      </c>
      <c r="Y196" s="71">
        <v>55</v>
      </c>
      <c r="Z196" s="71">
        <v>56</v>
      </c>
      <c r="AA196" s="71">
        <v>57</v>
      </c>
      <c r="AB196" s="71">
        <v>58</v>
      </c>
      <c r="AC196" s="79">
        <v>59</v>
      </c>
    </row>
    <row r="197" spans="2:29">
      <c r="B197" s="7"/>
      <c r="E197" s="71">
        <v>60</v>
      </c>
      <c r="F197" s="71">
        <v>61</v>
      </c>
      <c r="G197" s="71">
        <v>62</v>
      </c>
      <c r="H197" s="71">
        <v>63</v>
      </c>
      <c r="I197" s="71">
        <v>64</v>
      </c>
      <c r="J197" s="71">
        <v>65</v>
      </c>
      <c r="K197" s="71">
        <v>66</v>
      </c>
      <c r="L197" s="71">
        <v>67</v>
      </c>
      <c r="M197" s="71">
        <v>68</v>
      </c>
      <c r="N197" s="79">
        <v>69</v>
      </c>
      <c r="Q197" s="7"/>
      <c r="T197" s="71">
        <v>60</v>
      </c>
      <c r="U197" s="71">
        <v>61</v>
      </c>
      <c r="V197" s="71">
        <v>62</v>
      </c>
      <c r="W197" s="71">
        <v>63</v>
      </c>
      <c r="X197" s="71">
        <v>64</v>
      </c>
      <c r="Y197" s="71">
        <v>65</v>
      </c>
      <c r="Z197" s="71">
        <v>66</v>
      </c>
      <c r="AA197" s="71">
        <v>67</v>
      </c>
      <c r="AB197" s="71">
        <v>68</v>
      </c>
      <c r="AC197" s="79">
        <v>69</v>
      </c>
    </row>
    <row r="198" spans="2:29">
      <c r="B198" s="7"/>
      <c r="E198" s="71">
        <v>70</v>
      </c>
      <c r="F198" s="71">
        <v>71</v>
      </c>
      <c r="G198" s="71">
        <v>72</v>
      </c>
      <c r="H198" s="71">
        <v>73</v>
      </c>
      <c r="I198" s="71">
        <v>74</v>
      </c>
      <c r="J198" s="71">
        <v>75</v>
      </c>
      <c r="K198" s="71">
        <v>76</v>
      </c>
      <c r="L198" s="71">
        <v>77</v>
      </c>
      <c r="M198" s="71">
        <v>78</v>
      </c>
      <c r="N198" s="79">
        <v>79</v>
      </c>
      <c r="Q198" s="7"/>
      <c r="T198" s="71">
        <v>70</v>
      </c>
      <c r="U198" s="71">
        <v>71</v>
      </c>
      <c r="V198" s="71">
        <v>72</v>
      </c>
      <c r="W198" s="71">
        <v>73</v>
      </c>
      <c r="X198" s="71">
        <v>74</v>
      </c>
      <c r="Y198" s="71">
        <v>75</v>
      </c>
      <c r="Z198" s="71">
        <v>76</v>
      </c>
      <c r="AA198" s="71">
        <v>77</v>
      </c>
      <c r="AB198" s="71">
        <v>78</v>
      </c>
      <c r="AC198" s="79">
        <v>79</v>
      </c>
    </row>
    <row r="199" spans="2:29">
      <c r="B199" s="7"/>
      <c r="E199" s="71">
        <v>80</v>
      </c>
      <c r="F199" s="71">
        <v>81</v>
      </c>
      <c r="G199" s="71">
        <v>82</v>
      </c>
      <c r="H199" s="71">
        <v>83</v>
      </c>
      <c r="I199" s="71">
        <v>84</v>
      </c>
      <c r="J199" s="71">
        <v>85</v>
      </c>
      <c r="K199" s="71">
        <v>86</v>
      </c>
      <c r="L199" s="71">
        <v>87</v>
      </c>
      <c r="M199" s="71">
        <v>88</v>
      </c>
      <c r="N199" s="79">
        <v>89</v>
      </c>
      <c r="Q199" s="7"/>
      <c r="T199" s="71">
        <v>80</v>
      </c>
      <c r="U199" s="71">
        <v>81</v>
      </c>
      <c r="V199" s="71">
        <v>82</v>
      </c>
      <c r="W199" s="71">
        <v>83</v>
      </c>
      <c r="X199" s="71">
        <v>84</v>
      </c>
      <c r="Y199" s="71">
        <v>85</v>
      </c>
      <c r="Z199" s="71">
        <v>86</v>
      </c>
      <c r="AA199" s="71">
        <v>87</v>
      </c>
      <c r="AB199" s="71">
        <v>88</v>
      </c>
      <c r="AC199" s="79">
        <v>89</v>
      </c>
    </row>
    <row r="200" spans="2:29">
      <c r="B200" s="7"/>
      <c r="E200" s="71">
        <v>90</v>
      </c>
      <c r="F200" s="71">
        <v>91</v>
      </c>
      <c r="G200" s="71">
        <v>92</v>
      </c>
      <c r="H200" s="71">
        <v>93</v>
      </c>
      <c r="I200" s="71">
        <v>94</v>
      </c>
      <c r="J200" s="71">
        <v>95</v>
      </c>
      <c r="K200" s="71">
        <v>96</v>
      </c>
      <c r="L200" s="71">
        <v>97</v>
      </c>
      <c r="M200" s="71">
        <v>98</v>
      </c>
      <c r="N200" s="79">
        <v>99</v>
      </c>
      <c r="Q200" s="7"/>
      <c r="T200" s="71">
        <v>90</v>
      </c>
      <c r="U200" s="71">
        <v>91</v>
      </c>
      <c r="V200" s="71">
        <v>92</v>
      </c>
      <c r="W200" s="71">
        <v>93</v>
      </c>
      <c r="X200" s="71">
        <v>94</v>
      </c>
      <c r="Y200" s="71">
        <v>95</v>
      </c>
      <c r="Z200" s="71">
        <v>96</v>
      </c>
      <c r="AA200" s="71">
        <v>97</v>
      </c>
      <c r="AB200" s="71">
        <v>98</v>
      </c>
      <c r="AC200" s="79">
        <v>99</v>
      </c>
    </row>
    <row r="201" spans="2:29">
      <c r="B201" s="7"/>
      <c r="E201" s="72">
        <v>100</v>
      </c>
      <c r="N201" s="8"/>
      <c r="Q201" s="7"/>
      <c r="T201" s="72">
        <v>100</v>
      </c>
      <c r="AC201" s="8"/>
    </row>
    <row r="202" spans="2:29">
      <c r="B202" s="7"/>
      <c r="E202" s="73">
        <f>IF(C192&gt;E180,0,E191)</f>
        <v>0</v>
      </c>
      <c r="F202" s="73">
        <f>IF(C192&gt;F180,0,F191)</f>
        <v>1</v>
      </c>
      <c r="G202" s="73">
        <f>IF(C192&gt;G180,0,G191)</f>
        <v>2</v>
      </c>
      <c r="H202" s="73">
        <f>IF(C192&gt;H180,0,H191)</f>
        <v>3</v>
      </c>
      <c r="I202" s="73">
        <f>IF(C192&gt;I180,0,I191)</f>
        <v>4</v>
      </c>
      <c r="J202" s="73">
        <f>IF(C192&gt;J180,0,J191)</f>
        <v>5</v>
      </c>
      <c r="K202" s="73">
        <f>IF(C192&gt;K180,0,K191)</f>
        <v>6</v>
      </c>
      <c r="L202" s="73">
        <f>IF(C192&gt;L180,0,L191)</f>
        <v>7</v>
      </c>
      <c r="M202" s="73">
        <f>IF(C192&gt;M180,0,M191)</f>
        <v>8</v>
      </c>
      <c r="N202" s="81">
        <f>IF(C192&gt;N180,0,N191)</f>
        <v>9</v>
      </c>
      <c r="Q202" s="7"/>
      <c r="T202" s="73" t="str">
        <f>IF($R$192="---","---",IF($R$192&gt;T180,0,T191))</f>
        <v>---</v>
      </c>
      <c r="U202" s="73" t="str">
        <f>IF($R$192="---","---",IF($R$192&gt;U180,0,U191))</f>
        <v>---</v>
      </c>
      <c r="V202" s="73" t="str">
        <f t="shared" ref="V202:AC202" si="53">IF($R$192="---","---",IF($R$192&gt;V180,0,V191))</f>
        <v>---</v>
      </c>
      <c r="W202" s="73" t="str">
        <f t="shared" si="53"/>
        <v>---</v>
      </c>
      <c r="X202" s="73" t="str">
        <f t="shared" si="53"/>
        <v>---</v>
      </c>
      <c r="Y202" s="73" t="str">
        <f t="shared" si="53"/>
        <v>---</v>
      </c>
      <c r="Z202" s="73" t="str">
        <f t="shared" si="53"/>
        <v>---</v>
      </c>
      <c r="AA202" s="73" t="str">
        <f t="shared" si="53"/>
        <v>---</v>
      </c>
      <c r="AB202" s="73" t="str">
        <f t="shared" si="53"/>
        <v>---</v>
      </c>
      <c r="AC202" s="81" t="str">
        <f t="shared" si="53"/>
        <v>---</v>
      </c>
    </row>
    <row r="203" spans="2:29">
      <c r="B203" s="7"/>
      <c r="E203" s="73">
        <f>IF(C192&gt;E181,0,E192)</f>
        <v>10</v>
      </c>
      <c r="F203" s="73">
        <f>IF(C192&gt;F181,0,F192)</f>
        <v>11</v>
      </c>
      <c r="G203" s="73">
        <f>IF(C192&gt;G181,0,G192)</f>
        <v>12</v>
      </c>
      <c r="H203" s="73">
        <f>IF(C192&gt;H181,0,H192)</f>
        <v>13</v>
      </c>
      <c r="I203" s="73">
        <f>IF(C192&gt;I181,0,I192)</f>
        <v>14</v>
      </c>
      <c r="J203" s="73">
        <f>IF(C192&gt;J181,0,J192)</f>
        <v>15</v>
      </c>
      <c r="K203" s="73">
        <f>IF(C192&gt;K181,0,K192)</f>
        <v>16</v>
      </c>
      <c r="L203" s="73">
        <f>IF(C192&gt;L181,0,L192)</f>
        <v>17</v>
      </c>
      <c r="M203" s="73">
        <f>IF(C192&gt;M181,0,M192)</f>
        <v>18</v>
      </c>
      <c r="N203" s="81">
        <f>IF(C192&gt;N181,0,N192)</f>
        <v>19</v>
      </c>
      <c r="Q203" s="7"/>
      <c r="T203" s="73" t="str">
        <f t="shared" ref="T203:AC211" si="54">IF($R$192="---","---",IF($R$192&gt;T181,0,T192))</f>
        <v>---</v>
      </c>
      <c r="U203" s="73" t="str">
        <f t="shared" si="54"/>
        <v>---</v>
      </c>
      <c r="V203" s="73" t="str">
        <f t="shared" si="54"/>
        <v>---</v>
      </c>
      <c r="W203" s="73" t="str">
        <f t="shared" si="54"/>
        <v>---</v>
      </c>
      <c r="X203" s="73" t="str">
        <f t="shared" si="54"/>
        <v>---</v>
      </c>
      <c r="Y203" s="73" t="str">
        <f t="shared" si="54"/>
        <v>---</v>
      </c>
      <c r="Z203" s="73" t="str">
        <f t="shared" si="54"/>
        <v>---</v>
      </c>
      <c r="AA203" s="73" t="str">
        <f t="shared" si="54"/>
        <v>---</v>
      </c>
      <c r="AB203" s="73" t="str">
        <f t="shared" si="54"/>
        <v>---</v>
      </c>
      <c r="AC203" s="81" t="str">
        <f t="shared" si="54"/>
        <v>---</v>
      </c>
    </row>
    <row r="204" spans="2:29">
      <c r="B204" s="7"/>
      <c r="E204" s="73">
        <f>IF(C192&gt;E182,0,E193)</f>
        <v>20</v>
      </c>
      <c r="F204" s="73">
        <f>IF(C192&gt;F182,0,F193)</f>
        <v>21</v>
      </c>
      <c r="G204" s="73">
        <f>IF(C192&gt;G182,0,G193)</f>
        <v>22</v>
      </c>
      <c r="H204" s="73">
        <f>IF(C192&gt;H182,0,H193)</f>
        <v>23</v>
      </c>
      <c r="I204" s="73">
        <f>IF(C192&gt;I182,0,I193)</f>
        <v>24</v>
      </c>
      <c r="J204" s="73">
        <f>IF(C192&gt;J182,0,J193)</f>
        <v>25</v>
      </c>
      <c r="K204" s="73">
        <f>IF(C192&gt;K182,0,K193)</f>
        <v>26</v>
      </c>
      <c r="L204" s="73">
        <f>IF(C192&gt;L182,0,L193)</f>
        <v>27</v>
      </c>
      <c r="M204" s="73">
        <f>IF(C192&gt;M182,0,M193)</f>
        <v>28</v>
      </c>
      <c r="N204" s="81">
        <f>IF(C192&gt;N182,0,N193)</f>
        <v>29</v>
      </c>
      <c r="Q204" s="7"/>
      <c r="T204" s="73" t="str">
        <f t="shared" si="54"/>
        <v>---</v>
      </c>
      <c r="U204" s="73" t="str">
        <f t="shared" si="54"/>
        <v>---</v>
      </c>
      <c r="V204" s="73" t="str">
        <f t="shared" si="54"/>
        <v>---</v>
      </c>
      <c r="W204" s="73" t="str">
        <f t="shared" si="54"/>
        <v>---</v>
      </c>
      <c r="X204" s="73" t="str">
        <f t="shared" si="54"/>
        <v>---</v>
      </c>
      <c r="Y204" s="73" t="str">
        <f t="shared" si="54"/>
        <v>---</v>
      </c>
      <c r="Z204" s="73" t="str">
        <f t="shared" si="54"/>
        <v>---</v>
      </c>
      <c r="AA204" s="73" t="str">
        <f t="shared" si="54"/>
        <v>---</v>
      </c>
      <c r="AB204" s="73" t="str">
        <f t="shared" si="54"/>
        <v>---</v>
      </c>
      <c r="AC204" s="81" t="str">
        <f t="shared" si="54"/>
        <v>---</v>
      </c>
    </row>
    <row r="205" spans="2:29">
      <c r="B205" s="7"/>
      <c r="E205" s="73">
        <f>IF(C192&gt;E183,0,E194)</f>
        <v>30</v>
      </c>
      <c r="F205" s="73">
        <f>IF(C192&gt;F183,0,F194)</f>
        <v>31</v>
      </c>
      <c r="G205" s="73">
        <f>IF(C192&gt;G183,0,G194)</f>
        <v>32</v>
      </c>
      <c r="H205" s="73">
        <f>IF(C192&gt;H183,0,H194)</f>
        <v>33</v>
      </c>
      <c r="I205" s="73">
        <f>IF(C192&gt;I183,0,I194)</f>
        <v>34</v>
      </c>
      <c r="J205" s="73">
        <f>IF(C192&gt;J183,0,J194)</f>
        <v>35</v>
      </c>
      <c r="K205" s="73">
        <f>IF(C192&gt;K183,0,K194)</f>
        <v>36</v>
      </c>
      <c r="L205" s="73">
        <f>IF(C192&gt;L183,0,L194)</f>
        <v>37</v>
      </c>
      <c r="M205" s="73">
        <f>IF(C192&gt;M183,0,M194)</f>
        <v>38</v>
      </c>
      <c r="N205" s="81">
        <f>IF(C192&gt;N183,0,N194)</f>
        <v>39</v>
      </c>
      <c r="Q205" s="7"/>
      <c r="T205" s="73" t="str">
        <f t="shared" si="54"/>
        <v>---</v>
      </c>
      <c r="U205" s="73" t="str">
        <f t="shared" si="54"/>
        <v>---</v>
      </c>
      <c r="V205" s="73" t="str">
        <f t="shared" si="54"/>
        <v>---</v>
      </c>
      <c r="W205" s="73" t="str">
        <f t="shared" si="54"/>
        <v>---</v>
      </c>
      <c r="X205" s="73" t="str">
        <f t="shared" si="54"/>
        <v>---</v>
      </c>
      <c r="Y205" s="73" t="str">
        <f t="shared" si="54"/>
        <v>---</v>
      </c>
      <c r="Z205" s="73" t="str">
        <f t="shared" si="54"/>
        <v>---</v>
      </c>
      <c r="AA205" s="73" t="str">
        <f t="shared" si="54"/>
        <v>---</v>
      </c>
      <c r="AB205" s="73" t="str">
        <f t="shared" si="54"/>
        <v>---</v>
      </c>
      <c r="AC205" s="81" t="str">
        <f t="shared" si="54"/>
        <v>---</v>
      </c>
    </row>
    <row r="206" spans="2:29">
      <c r="B206" s="7"/>
      <c r="E206" s="73">
        <f>IF(C192&gt;E184,0,E195)</f>
        <v>40</v>
      </c>
      <c r="F206" s="73">
        <f>IF(C192&gt;F184,0,F195)</f>
        <v>41</v>
      </c>
      <c r="G206" s="73">
        <f>IF(C192&gt;G184,0,G195)</f>
        <v>42</v>
      </c>
      <c r="H206" s="73">
        <f>IF(C192&gt;H184,0,H195)</f>
        <v>43</v>
      </c>
      <c r="I206" s="73">
        <f>IF(C192&gt;I184,0,I195)</f>
        <v>44</v>
      </c>
      <c r="J206" s="73">
        <f>IF(C192&gt;J184,0,J195)</f>
        <v>45</v>
      </c>
      <c r="K206" s="73">
        <f>IF(C192&gt;K184,0,K195)</f>
        <v>46</v>
      </c>
      <c r="L206" s="73">
        <f>IF(C192&gt;L184,0,L195)</f>
        <v>47</v>
      </c>
      <c r="M206" s="73">
        <f>IF(C192&gt;M184,0,M195)</f>
        <v>48</v>
      </c>
      <c r="N206" s="81">
        <f>IF(C192&gt;N184,0,N195)</f>
        <v>49</v>
      </c>
      <c r="Q206" s="7"/>
      <c r="T206" s="73" t="str">
        <f t="shared" si="54"/>
        <v>---</v>
      </c>
      <c r="U206" s="73" t="str">
        <f t="shared" si="54"/>
        <v>---</v>
      </c>
      <c r="V206" s="73" t="str">
        <f t="shared" si="54"/>
        <v>---</v>
      </c>
      <c r="W206" s="73" t="str">
        <f t="shared" si="54"/>
        <v>---</v>
      </c>
      <c r="X206" s="73" t="str">
        <f t="shared" si="54"/>
        <v>---</v>
      </c>
      <c r="Y206" s="73" t="str">
        <f t="shared" si="54"/>
        <v>---</v>
      </c>
      <c r="Z206" s="73" t="str">
        <f t="shared" si="54"/>
        <v>---</v>
      </c>
      <c r="AA206" s="73" t="str">
        <f t="shared" si="54"/>
        <v>---</v>
      </c>
      <c r="AB206" s="73" t="str">
        <f t="shared" si="54"/>
        <v>---</v>
      </c>
      <c r="AC206" s="81" t="str">
        <f t="shared" si="54"/>
        <v>---</v>
      </c>
    </row>
    <row r="207" spans="2:29">
      <c r="B207" s="7"/>
      <c r="E207" s="73">
        <f>IF(C192&gt;E185,0,E196)</f>
        <v>50</v>
      </c>
      <c r="F207" s="73">
        <f>IF(C192&gt;F185,0,F196)</f>
        <v>51</v>
      </c>
      <c r="G207" s="73">
        <f>IF(C192&gt;G185,0,G196)</f>
        <v>52</v>
      </c>
      <c r="H207" s="73">
        <f>IF(C192&gt;H185,0,H196)</f>
        <v>53</v>
      </c>
      <c r="I207" s="73">
        <f>IF(C192&gt;I185,0,I196)</f>
        <v>54</v>
      </c>
      <c r="J207" s="73">
        <f>IF(C192&gt;J185,0,J196)</f>
        <v>55</v>
      </c>
      <c r="K207" s="73">
        <f>IF(C192&gt;K185,0,K196)</f>
        <v>56</v>
      </c>
      <c r="L207" s="73">
        <f>IF(C192&gt;L185,0,L196)</f>
        <v>57</v>
      </c>
      <c r="M207" s="73">
        <f>IF(C192&gt;M185,0,M196)</f>
        <v>58</v>
      </c>
      <c r="N207" s="81">
        <f>IF(C192&gt;N185,0,N196)</f>
        <v>59</v>
      </c>
      <c r="Q207" s="7"/>
      <c r="T207" s="73" t="str">
        <f t="shared" si="54"/>
        <v>---</v>
      </c>
      <c r="U207" s="73" t="str">
        <f t="shared" si="54"/>
        <v>---</v>
      </c>
      <c r="V207" s="73" t="str">
        <f t="shared" si="54"/>
        <v>---</v>
      </c>
      <c r="W207" s="73" t="str">
        <f t="shared" si="54"/>
        <v>---</v>
      </c>
      <c r="X207" s="73" t="str">
        <f t="shared" si="54"/>
        <v>---</v>
      </c>
      <c r="Y207" s="73" t="str">
        <f t="shared" si="54"/>
        <v>---</v>
      </c>
      <c r="Z207" s="73" t="str">
        <f t="shared" si="54"/>
        <v>---</v>
      </c>
      <c r="AA207" s="73" t="str">
        <f t="shared" si="54"/>
        <v>---</v>
      </c>
      <c r="AB207" s="73" t="str">
        <f t="shared" si="54"/>
        <v>---</v>
      </c>
      <c r="AC207" s="81" t="str">
        <f t="shared" si="54"/>
        <v>---</v>
      </c>
    </row>
    <row r="208" spans="2:29">
      <c r="B208" s="7"/>
      <c r="E208" s="73">
        <f>IF(C192&gt;E186,0,E197)</f>
        <v>60</v>
      </c>
      <c r="F208" s="73">
        <f>IF(C192&gt;F186,0,F197)</f>
        <v>61</v>
      </c>
      <c r="G208" s="73">
        <f>IF(C192&gt;G186,0,G197)</f>
        <v>62</v>
      </c>
      <c r="H208" s="73">
        <f>IF(C192&gt;H186,0,H197)</f>
        <v>63</v>
      </c>
      <c r="I208" s="73">
        <f>IF(C192&gt;I186,0,I197)</f>
        <v>64</v>
      </c>
      <c r="J208" s="73">
        <f>IF(C192&gt;J186,0,J197)</f>
        <v>65</v>
      </c>
      <c r="K208" s="73">
        <f>IF(C192&gt;K186,0,K197)</f>
        <v>66</v>
      </c>
      <c r="L208" s="73">
        <f>IF(C192&gt;L186,0,L197)</f>
        <v>67</v>
      </c>
      <c r="M208" s="73">
        <f>IF(C192&gt;M186,0,M197)</f>
        <v>68</v>
      </c>
      <c r="N208" s="81">
        <f>IF(C192&gt;N186,0,N197)</f>
        <v>69</v>
      </c>
      <c r="Q208" s="7"/>
      <c r="T208" s="73" t="str">
        <f t="shared" si="54"/>
        <v>---</v>
      </c>
      <c r="U208" s="73" t="str">
        <f t="shared" si="54"/>
        <v>---</v>
      </c>
      <c r="V208" s="73" t="str">
        <f t="shared" si="54"/>
        <v>---</v>
      </c>
      <c r="W208" s="73" t="str">
        <f t="shared" si="54"/>
        <v>---</v>
      </c>
      <c r="X208" s="73" t="str">
        <f t="shared" si="54"/>
        <v>---</v>
      </c>
      <c r="Y208" s="73" t="str">
        <f t="shared" si="54"/>
        <v>---</v>
      </c>
      <c r="Z208" s="73" t="str">
        <f t="shared" si="54"/>
        <v>---</v>
      </c>
      <c r="AA208" s="73" t="str">
        <f t="shared" si="54"/>
        <v>---</v>
      </c>
      <c r="AB208" s="73" t="str">
        <f t="shared" si="54"/>
        <v>---</v>
      </c>
      <c r="AC208" s="81" t="str">
        <f t="shared" si="54"/>
        <v>---</v>
      </c>
    </row>
    <row r="209" spans="1:29">
      <c r="B209" s="7"/>
      <c r="E209" s="73">
        <f>IF(C192&gt;E187,0,E198)</f>
        <v>70</v>
      </c>
      <c r="F209" s="73">
        <f>IF(C192&gt;F187,0,F198)</f>
        <v>71</v>
      </c>
      <c r="G209" s="73">
        <f>IF(C192&gt;G187,0,G198)</f>
        <v>72</v>
      </c>
      <c r="H209" s="73">
        <f>IF(C192&gt;H187,0,H198)</f>
        <v>73</v>
      </c>
      <c r="I209" s="73">
        <f>IF(C192&gt;I187,0,I198)</f>
        <v>74</v>
      </c>
      <c r="J209" s="73">
        <f>IF(C192&gt;J187,0,J198)</f>
        <v>75</v>
      </c>
      <c r="K209" s="73">
        <f>IF(C192&gt;K187,0,K198)</f>
        <v>76</v>
      </c>
      <c r="L209" s="73">
        <f>IF(C192&gt;L187,0,L198)</f>
        <v>77</v>
      </c>
      <c r="M209" s="73">
        <f>IF(C192&gt;M187,0,M198)</f>
        <v>78</v>
      </c>
      <c r="N209" s="81">
        <f>IF(C192&gt;N187,0,N198)</f>
        <v>79</v>
      </c>
      <c r="Q209" s="7"/>
      <c r="T209" s="73" t="str">
        <f t="shared" si="54"/>
        <v>---</v>
      </c>
      <c r="U209" s="73" t="str">
        <f t="shared" si="54"/>
        <v>---</v>
      </c>
      <c r="V209" s="73" t="str">
        <f t="shared" si="54"/>
        <v>---</v>
      </c>
      <c r="W209" s="73" t="str">
        <f>IF($R$192="---","---",IF($R$192&gt;W187,0,W198))</f>
        <v>---</v>
      </c>
      <c r="X209" s="73" t="str">
        <f t="shared" si="54"/>
        <v>---</v>
      </c>
      <c r="Y209" s="73" t="str">
        <f t="shared" si="54"/>
        <v>---</v>
      </c>
      <c r="Z209" s="73" t="str">
        <f t="shared" si="54"/>
        <v>---</v>
      </c>
      <c r="AA209" s="73" t="str">
        <f t="shared" si="54"/>
        <v>---</v>
      </c>
      <c r="AB209" s="73" t="str">
        <f t="shared" si="54"/>
        <v>---</v>
      </c>
      <c r="AC209" s="81" t="str">
        <f t="shared" si="54"/>
        <v>---</v>
      </c>
    </row>
    <row r="210" spans="1:29">
      <c r="B210" s="7"/>
      <c r="E210" s="73">
        <f>IF(C192&gt;E188,0,E199)</f>
        <v>80</v>
      </c>
      <c r="F210" s="73">
        <f>IF(C192&gt;F188,0,F199)</f>
        <v>81</v>
      </c>
      <c r="G210" s="73">
        <f>IF(C192&gt;G188,0,G199)</f>
        <v>82</v>
      </c>
      <c r="H210" s="73">
        <f>IF(C192&gt;H188,0,H199)</f>
        <v>83</v>
      </c>
      <c r="I210" s="73">
        <f>IF(C192&gt;I188,0,I199)</f>
        <v>84</v>
      </c>
      <c r="J210" s="73">
        <f>IF(C192&gt;J188,0,J199)</f>
        <v>85</v>
      </c>
      <c r="K210" s="73">
        <f>IF(C192&gt;K188,0,K199)</f>
        <v>86</v>
      </c>
      <c r="L210" s="73">
        <f>IF(C192&gt;L188,0,L199)</f>
        <v>87</v>
      </c>
      <c r="M210" s="73">
        <f>IF(C192&gt;M188,0,M199)</f>
        <v>88</v>
      </c>
      <c r="N210" s="81">
        <f>IF(C192&gt;N188,0,N199)</f>
        <v>89</v>
      </c>
      <c r="Q210" s="7"/>
      <c r="T210" s="73" t="str">
        <f t="shared" si="54"/>
        <v>---</v>
      </c>
      <c r="U210" s="73" t="str">
        <f t="shared" si="54"/>
        <v>---</v>
      </c>
      <c r="V210" s="73" t="str">
        <f t="shared" si="54"/>
        <v>---</v>
      </c>
      <c r="W210" s="73" t="str">
        <f t="shared" si="54"/>
        <v>---</v>
      </c>
      <c r="X210" s="73" t="str">
        <f t="shared" si="54"/>
        <v>---</v>
      </c>
      <c r="Y210" s="73" t="str">
        <f t="shared" si="54"/>
        <v>---</v>
      </c>
      <c r="Z210" s="73" t="str">
        <f t="shared" si="54"/>
        <v>---</v>
      </c>
      <c r="AA210" s="73" t="str">
        <f t="shared" si="54"/>
        <v>---</v>
      </c>
      <c r="AB210" s="73" t="str">
        <f t="shared" si="54"/>
        <v>---</v>
      </c>
      <c r="AC210" s="81" t="str">
        <f t="shared" si="54"/>
        <v>---</v>
      </c>
    </row>
    <row r="211" spans="1:29">
      <c r="B211" s="7"/>
      <c r="E211" s="73">
        <f>IF(C192&gt;E189,0,E200)</f>
        <v>90</v>
      </c>
      <c r="F211" s="73">
        <f>IF(C192&gt;F189,0,F200)</f>
        <v>91</v>
      </c>
      <c r="G211" s="73">
        <f>IF(C192&gt;G189,0,G200)</f>
        <v>92</v>
      </c>
      <c r="H211" s="73">
        <f>IF(C192&gt;H189,0,H200)</f>
        <v>93</v>
      </c>
      <c r="I211" s="73">
        <f>IF(C192&gt;I189,0,I200)</f>
        <v>94</v>
      </c>
      <c r="J211" s="73">
        <f>IF(C192&gt;J189,0,J200)</f>
        <v>95</v>
      </c>
      <c r="K211" s="73">
        <f>IF(C192&gt;K189,0,K200)</f>
        <v>96</v>
      </c>
      <c r="L211" s="73">
        <f>IF(C192&gt;L189,0,L200)</f>
        <v>97</v>
      </c>
      <c r="M211" s="73">
        <f>IF(C192&gt;M189,0,M200)</f>
        <v>98</v>
      </c>
      <c r="N211" s="81">
        <f>IF(C192&gt;N189,0,N200)</f>
        <v>99</v>
      </c>
      <c r="Q211" s="7"/>
      <c r="T211" s="73" t="str">
        <f t="shared" si="54"/>
        <v>---</v>
      </c>
      <c r="U211" s="73" t="str">
        <f t="shared" si="54"/>
        <v>---</v>
      </c>
      <c r="V211" s="73" t="str">
        <f t="shared" si="54"/>
        <v>---</v>
      </c>
      <c r="W211" s="73" t="str">
        <f t="shared" si="54"/>
        <v>---</v>
      </c>
      <c r="X211" s="73" t="str">
        <f t="shared" si="54"/>
        <v>---</v>
      </c>
      <c r="Y211" s="73" t="str">
        <f t="shared" si="54"/>
        <v>---</v>
      </c>
      <c r="Z211" s="73" t="str">
        <f t="shared" si="54"/>
        <v>---</v>
      </c>
      <c r="AA211" s="73" t="str">
        <f t="shared" si="54"/>
        <v>---</v>
      </c>
      <c r="AB211" s="73" t="str">
        <f t="shared" si="54"/>
        <v>---</v>
      </c>
      <c r="AC211" s="81" t="str">
        <f t="shared" si="54"/>
        <v>---</v>
      </c>
    </row>
    <row r="212" spans="1:29" ht="13.5" thickBot="1">
      <c r="B212" s="65"/>
      <c r="C212" s="9"/>
      <c r="D212" s="9"/>
      <c r="E212" s="83">
        <f>IF(C192&gt;E189,0,E201)</f>
        <v>100</v>
      </c>
      <c r="F212" s="9"/>
      <c r="G212" s="9"/>
      <c r="H212" s="9"/>
      <c r="I212" s="9"/>
      <c r="J212" s="9"/>
      <c r="K212" s="9"/>
      <c r="L212" s="9"/>
      <c r="M212" s="9"/>
      <c r="N212" s="10"/>
      <c r="Q212" s="65"/>
      <c r="R212" s="9"/>
      <c r="S212" s="9"/>
      <c r="T212" s="83" t="str">
        <f>IF($R$192="---","---",IF($R$192&gt;T189,0,T201))</f>
        <v>---</v>
      </c>
      <c r="U212" s="9"/>
      <c r="V212" s="9"/>
      <c r="W212" s="9"/>
      <c r="X212" s="9"/>
      <c r="Y212" s="9"/>
      <c r="Z212" s="9"/>
      <c r="AA212" s="9"/>
      <c r="AB212" s="9"/>
      <c r="AC212" s="10"/>
    </row>
    <row r="215" spans="1:29" ht="16.5">
      <c r="A215" s="332" t="s">
        <v>105</v>
      </c>
      <c r="B215" s="332"/>
      <c r="C215" s="332"/>
    </row>
  </sheetData>
  <mergeCells count="15">
    <mergeCell ref="R19:S19"/>
    <mergeCell ref="M8:M15"/>
    <mergeCell ref="D19:E19"/>
    <mergeCell ref="M19:M26"/>
    <mergeCell ref="M30:M37"/>
    <mergeCell ref="M41:M48"/>
    <mergeCell ref="A215:C215"/>
    <mergeCell ref="M52:M59"/>
    <mergeCell ref="M107:M114"/>
    <mergeCell ref="M63:M70"/>
    <mergeCell ref="B69:C70"/>
    <mergeCell ref="B72:C74"/>
    <mergeCell ref="M74:M81"/>
    <mergeCell ref="M85:M92"/>
    <mergeCell ref="M96:M10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Расчет</vt:lpstr>
      <vt:lpstr>Телефонограмма</vt:lpstr>
      <vt:lpstr>1</vt:lpstr>
      <vt:lpstr>Расчет!Область_печати</vt:lpstr>
    </vt:vector>
  </TitlesOfParts>
  <Company>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Kudinov</dc:creator>
  <cp:lastModifiedBy>Александр Набиоков</cp:lastModifiedBy>
  <cp:lastPrinted>2026-03-30T17:17:06Z</cp:lastPrinted>
  <dcterms:created xsi:type="dcterms:W3CDTF">2006-09-12T03:52:07Z</dcterms:created>
  <dcterms:modified xsi:type="dcterms:W3CDTF">2026-04-05T18:07:33Z</dcterms:modified>
</cp:coreProperties>
</file>