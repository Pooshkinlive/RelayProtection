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/>
  <mc:AlternateContent xmlns:mc="http://schemas.openxmlformats.org/markup-compatibility/2006">
    <mc:Choice Requires="x15">
      <x15ac:absPath xmlns:x15ac="http://schemas.microsoft.com/office/spreadsheetml/2010/11/ac" url="E:\AI Projects\RelayProtection\rza_calculator\data\input\"/>
    </mc:Choice>
  </mc:AlternateContent>
  <xr:revisionPtr revIDLastSave="0" documentId="8_{EFFD6252-BB5E-4E5E-BE88-752BEE1F4473}" xr6:coauthVersionLast="47" xr6:coauthVersionMax="47" xr10:uidLastSave="{00000000-0000-0000-0000-000000000000}"/>
  <bookViews>
    <workbookView xWindow="0" yWindow="3510" windowWidth="38400" windowHeight="15345" tabRatio="781" xr2:uid="{00F6B97D-33F9-4CAC-A846-B7596DE47128}"/>
  </bookViews>
  <sheets>
    <sheet name="Провода" sheetId="11" r:id="rId1"/>
    <sheet name="Кабели" sheetId="2" r:id="rId2"/>
    <sheet name="Реактансы и письма" sheetId="9" r:id="rId3"/>
    <sheet name="Реактансы" sheetId="3" r:id="rId4"/>
    <sheet name="Трансформаторы" sheetId="4" r:id="rId5"/>
    <sheet name="Длительно доп.ток" sheetId="6" r:id="rId6"/>
    <sheet name="Расчет провел" sheetId="7" r:id="rId7"/>
    <sheet name="Реле" sheetId="5" r:id="rId8"/>
    <sheet name="Двигатели" sheetId="8" r:id="rId9"/>
    <sheet name="СР" sheetId="10" r:id="rId10"/>
    <sheet name="Параметры Т.Т." sheetId="12" r:id="rId11"/>
    <sheet name="Шинопровод" sheetId="13" r:id="rId12"/>
    <sheet name="Автоматы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5" i="3"/>
  <c r="A336" i="3"/>
  <c r="A338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D3" i="3"/>
  <c r="D2" i="3"/>
  <c r="C3" i="3"/>
  <c r="C2" i="3"/>
  <c r="D67" i="3"/>
  <c r="C67" i="3"/>
  <c r="D230" i="3"/>
  <c r="D229" i="3"/>
  <c r="C229" i="3"/>
  <c r="C230" i="3"/>
  <c r="C10" i="13"/>
  <c r="C11" i="13"/>
  <c r="D12" i="13"/>
  <c r="E12" i="13"/>
  <c r="F12" i="13"/>
  <c r="G12" i="13"/>
  <c r="C24" i="6"/>
  <c r="C25" i="6"/>
  <c r="C410" i="3"/>
  <c r="D410" i="3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72" i="2"/>
  <c r="D72" i="2"/>
  <c r="C75" i="2"/>
  <c r="D75" i="2"/>
  <c r="C76" i="2"/>
  <c r="D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Shkliar</author>
  </authors>
  <commentList>
    <comment ref="B5" authorId="0" shapeId="0" xr:uid="{62D88977-2D99-45CE-9420-333065370904}">
      <text>
        <r>
          <rPr>
            <b/>
            <sz val="8"/>
            <color indexed="81"/>
            <rFont val="Tahoma"/>
            <family val="2"/>
            <charset val="204"/>
          </rPr>
          <t xml:space="preserve"> В.А. Андреев - Релейная защита и автоматика систем электроснабжения, стр. 437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<sst xmlns="http://schemas.openxmlformats.org/spreadsheetml/2006/main" count="1297" uniqueCount="912">
  <si>
    <t xml:space="preserve">ТИП </t>
  </si>
  <si>
    <t>R</t>
  </si>
  <si>
    <t>Х</t>
  </si>
  <si>
    <t>RАС25</t>
  </si>
  <si>
    <t>RАС35</t>
  </si>
  <si>
    <t>RАС50</t>
  </si>
  <si>
    <t>RАС70</t>
  </si>
  <si>
    <t>RАС95</t>
  </si>
  <si>
    <t>RАС120</t>
  </si>
  <si>
    <t>RАС150</t>
  </si>
  <si>
    <t>RАС185</t>
  </si>
  <si>
    <t>RАС240</t>
  </si>
  <si>
    <t>КА10</t>
  </si>
  <si>
    <t>КА16</t>
  </si>
  <si>
    <t>КА25</t>
  </si>
  <si>
    <t>КА35</t>
  </si>
  <si>
    <t>КА50</t>
  </si>
  <si>
    <t>КА70</t>
  </si>
  <si>
    <t>КА95</t>
  </si>
  <si>
    <t>КА120</t>
  </si>
  <si>
    <t>КА150</t>
  </si>
  <si>
    <t>КА185</t>
  </si>
  <si>
    <t>КА240</t>
  </si>
  <si>
    <t xml:space="preserve"> </t>
  </si>
  <si>
    <t>2КА70</t>
  </si>
  <si>
    <t>2КА50</t>
  </si>
  <si>
    <t>ГТЭС</t>
  </si>
  <si>
    <t>ГТЭС Н-ПОКУРСКАЯ</t>
  </si>
  <si>
    <t>ГТЭС Покамасы</t>
  </si>
  <si>
    <t>ГТЭС Покамасы +ПС110/35/6кВ</t>
  </si>
  <si>
    <t>ГТЭСН-ПОКУР+ПС110/35/6кВ</t>
  </si>
  <si>
    <t>Энергопоезд 1100 кВт</t>
  </si>
  <si>
    <t>Энергопоезд 1100 кВт 2 поезда</t>
  </si>
  <si>
    <t>Энергопоезд 1100 кВт 4 поезда</t>
  </si>
  <si>
    <t>Трансформаторы 6/0,4кВ</t>
  </si>
  <si>
    <t>100кВА</t>
  </si>
  <si>
    <t>160кВА</t>
  </si>
  <si>
    <t>250кВА</t>
  </si>
  <si>
    <t>400кВА</t>
  </si>
  <si>
    <t>630кВА</t>
  </si>
  <si>
    <t>МТО</t>
  </si>
  <si>
    <t>МТЗ</t>
  </si>
  <si>
    <t>РТ40,RI-80</t>
  </si>
  <si>
    <t>РТ80</t>
  </si>
  <si>
    <t>РТ40-СТД_двиг</t>
  </si>
  <si>
    <t>РТ40-АД_двиг</t>
  </si>
  <si>
    <t xml:space="preserve"> В.А. Андреев - Релейная защита и авотматика систем электроснабжения, стр. 437</t>
  </si>
  <si>
    <t>РТ80-АД_двиг</t>
  </si>
  <si>
    <t>RАС10</t>
  </si>
  <si>
    <t>RАС16</t>
  </si>
  <si>
    <t>Кратности нет</t>
  </si>
  <si>
    <t>1000кВА</t>
  </si>
  <si>
    <t>125кВт</t>
  </si>
  <si>
    <t>160кВт</t>
  </si>
  <si>
    <t>200кВт</t>
  </si>
  <si>
    <t>250кВт</t>
  </si>
  <si>
    <t>320кВт</t>
  </si>
  <si>
    <t>400кВт</t>
  </si>
  <si>
    <t>450кВт</t>
  </si>
  <si>
    <t>500кВт</t>
  </si>
  <si>
    <t>630кВт</t>
  </si>
  <si>
    <t>800кВт</t>
  </si>
  <si>
    <t>1000кВт</t>
  </si>
  <si>
    <t>1250кВт</t>
  </si>
  <si>
    <t>1600кВт</t>
  </si>
  <si>
    <t>2000кВт</t>
  </si>
  <si>
    <t>2500кВт</t>
  </si>
  <si>
    <t>4000кВт</t>
  </si>
  <si>
    <t>6300кВт</t>
  </si>
  <si>
    <t>710кВт</t>
  </si>
  <si>
    <t>560кВт</t>
  </si>
  <si>
    <t>300кВт</t>
  </si>
  <si>
    <t>315кВт</t>
  </si>
  <si>
    <t>СТД</t>
  </si>
  <si>
    <t>АД</t>
  </si>
  <si>
    <t>R-Аl-25</t>
  </si>
  <si>
    <t>R-Аl-35</t>
  </si>
  <si>
    <t>R-Аl-50</t>
  </si>
  <si>
    <t>R-Аl-70</t>
  </si>
  <si>
    <t>R-Аl-95</t>
  </si>
  <si>
    <t>R-Аl-120</t>
  </si>
  <si>
    <t>R-Аl-150</t>
  </si>
  <si>
    <t>R-Аl-185</t>
  </si>
  <si>
    <t>R-Аl-240</t>
  </si>
  <si>
    <t>R-Аlст-25</t>
  </si>
  <si>
    <t>R-Аlст-35</t>
  </si>
  <si>
    <t>R-Аlст-50</t>
  </si>
  <si>
    <t>R-Аlст-70</t>
  </si>
  <si>
    <t>R-Аlст-95</t>
  </si>
  <si>
    <t>R-Аlст-120</t>
  </si>
  <si>
    <t>R-Аlст-150</t>
  </si>
  <si>
    <t>R-Аlст-185</t>
  </si>
  <si>
    <t>R-Аlст-240</t>
  </si>
  <si>
    <t>R-Аlст-500</t>
  </si>
  <si>
    <t>Х-Аl-25</t>
  </si>
  <si>
    <t>Х-Аl-35</t>
  </si>
  <si>
    <t>Х-Аl-50</t>
  </si>
  <si>
    <t>Х-Аl-70</t>
  </si>
  <si>
    <t>Х-Аl-95</t>
  </si>
  <si>
    <t>Х-Аl-120</t>
  </si>
  <si>
    <t>Х-Аl-150</t>
  </si>
  <si>
    <t>Х-Аl-185</t>
  </si>
  <si>
    <t>Х-Аl-240</t>
  </si>
  <si>
    <t>Х-Аlст-25</t>
  </si>
  <si>
    <t>Х-Аlст-35</t>
  </si>
  <si>
    <t>Х-Аlст-50</t>
  </si>
  <si>
    <t>Х-Аlст-70</t>
  </si>
  <si>
    <t>Х-Аlст-95</t>
  </si>
  <si>
    <t>Х-Аlст-120</t>
  </si>
  <si>
    <t>Х-Аlст-150</t>
  </si>
  <si>
    <t>Х-Аlст-185</t>
  </si>
  <si>
    <t>Х-Аlст-240</t>
  </si>
  <si>
    <t>Х-Аlст-500</t>
  </si>
  <si>
    <t>К(Аl)10</t>
  </si>
  <si>
    <t>К(Аl)16</t>
  </si>
  <si>
    <t>К(Аl)25</t>
  </si>
  <si>
    <t>К(Аl)35</t>
  </si>
  <si>
    <t>К(Аl)50</t>
  </si>
  <si>
    <t>К(Аl)70</t>
  </si>
  <si>
    <t>К(Аl)95</t>
  </si>
  <si>
    <t>К(Аl)120</t>
  </si>
  <si>
    <t>К(Аl)150</t>
  </si>
  <si>
    <t>К(Аl)185</t>
  </si>
  <si>
    <t>К(Аl)240</t>
  </si>
  <si>
    <t>К(Сu)10</t>
  </si>
  <si>
    <t>К(Сu)16</t>
  </si>
  <si>
    <t>К(Сu)25</t>
  </si>
  <si>
    <t>К(Сu)35</t>
  </si>
  <si>
    <t>К(Сu)50</t>
  </si>
  <si>
    <t>К(Сu)70</t>
  </si>
  <si>
    <t>К(Сu)95</t>
  </si>
  <si>
    <t>К(Сu)120</t>
  </si>
  <si>
    <t>К(Сu)150</t>
  </si>
  <si>
    <t>К(Сu)185</t>
  </si>
  <si>
    <t>К(Сu)240</t>
  </si>
  <si>
    <t>3К(Аl)240</t>
  </si>
  <si>
    <t>2К(Аl)240</t>
  </si>
  <si>
    <t>2К(Аl)120</t>
  </si>
  <si>
    <t>2К(Аl)150</t>
  </si>
  <si>
    <t>2К(Аl)70</t>
  </si>
  <si>
    <t>2К(Аl)10</t>
  </si>
  <si>
    <t>2К(Аl)16</t>
  </si>
  <si>
    <t>2К(Аl)25</t>
  </si>
  <si>
    <t>2К(Аl)35</t>
  </si>
  <si>
    <t>2К(Аl)50</t>
  </si>
  <si>
    <t>2К(Аl)95</t>
  </si>
  <si>
    <t>2К(Аl)185</t>
  </si>
  <si>
    <t>2К(Сu)10</t>
  </si>
  <si>
    <t>2К(Сu)16</t>
  </si>
  <si>
    <t>2К(Сu)25</t>
  </si>
  <si>
    <t>2К(Сu)35</t>
  </si>
  <si>
    <t>2К(Сu)50</t>
  </si>
  <si>
    <t>2К(Сu)70</t>
  </si>
  <si>
    <t>2К(Сu)95</t>
  </si>
  <si>
    <t>2К(Сu)120</t>
  </si>
  <si>
    <t>2К(Сu)150</t>
  </si>
  <si>
    <t>2К(Сu)185</t>
  </si>
  <si>
    <t>2К(Сu)240</t>
  </si>
  <si>
    <t>3К(Аl)10</t>
  </si>
  <si>
    <t>3К(Аl)16</t>
  </si>
  <si>
    <t>3К(Аl)25</t>
  </si>
  <si>
    <t>3К(Аl)35</t>
  </si>
  <si>
    <t>3К(Аl)50</t>
  </si>
  <si>
    <t>3К(Аl)70</t>
  </si>
  <si>
    <t>3К(Аl)95</t>
  </si>
  <si>
    <t>3К(Аl)120</t>
  </si>
  <si>
    <t>3К(Аl)150</t>
  </si>
  <si>
    <t>3К(Аl)185</t>
  </si>
  <si>
    <t>3К(Сu)10</t>
  </si>
  <si>
    <t>3К(Сu)16</t>
  </si>
  <si>
    <t>3К(Сu)25</t>
  </si>
  <si>
    <t>3К(Сu)35</t>
  </si>
  <si>
    <t>3К(Сu)50</t>
  </si>
  <si>
    <t>3К(Сu)70</t>
  </si>
  <si>
    <t>3К(Сu)95</t>
  </si>
  <si>
    <t>3К(Сu)120</t>
  </si>
  <si>
    <t>3К(Сu)150</t>
  </si>
  <si>
    <t>3К(Сu)185</t>
  </si>
  <si>
    <t>3К(Сu)240</t>
  </si>
  <si>
    <t>Х(Аl)10</t>
  </si>
  <si>
    <t>Х(Аl)16</t>
  </si>
  <si>
    <t>Х(Аl)25</t>
  </si>
  <si>
    <t>Х(Аl)35</t>
  </si>
  <si>
    <t>Х(Аl)50</t>
  </si>
  <si>
    <t>Х(Аl)70</t>
  </si>
  <si>
    <t>Х(Аl)95</t>
  </si>
  <si>
    <t>Х(Аl)120</t>
  </si>
  <si>
    <t>Х(Аl)150</t>
  </si>
  <si>
    <t>Х(Аl)185</t>
  </si>
  <si>
    <t>Х(Аl)240</t>
  </si>
  <si>
    <t>Х(Сu)10</t>
  </si>
  <si>
    <t>Х(Сu)16</t>
  </si>
  <si>
    <t>Х(Сu)25</t>
  </si>
  <si>
    <t>Х(Сu)35</t>
  </si>
  <si>
    <t>Х(С)u50</t>
  </si>
  <si>
    <t>Х(Сu)70</t>
  </si>
  <si>
    <t>Х(Сu)95</t>
  </si>
  <si>
    <t>Х(Сu)120</t>
  </si>
  <si>
    <t>Х(Сu)150</t>
  </si>
  <si>
    <t>Х(Сu)185</t>
  </si>
  <si>
    <t>Х(Сu)240</t>
  </si>
  <si>
    <t>2Х(Аl)10</t>
  </si>
  <si>
    <t>2Х(Аl)16</t>
  </si>
  <si>
    <t>2Х(Аl)25</t>
  </si>
  <si>
    <t>2Х(Аl)35</t>
  </si>
  <si>
    <t>2Х(Аl)50</t>
  </si>
  <si>
    <t>2Х(Аl)70</t>
  </si>
  <si>
    <t>2Х(Аl)95</t>
  </si>
  <si>
    <t>2Х(Аl)120</t>
  </si>
  <si>
    <t>2Х(Аl)150</t>
  </si>
  <si>
    <t>2Х(Аl)185</t>
  </si>
  <si>
    <t>2Х(Аl)240</t>
  </si>
  <si>
    <t>2Х(Сu)10</t>
  </si>
  <si>
    <t>2Х(Сu)16</t>
  </si>
  <si>
    <t>2Х(Сu)25</t>
  </si>
  <si>
    <t>2Х(Сu)35</t>
  </si>
  <si>
    <t>2Х(С)u50</t>
  </si>
  <si>
    <t>2Х(Сu)70</t>
  </si>
  <si>
    <t>2Х(Сu)95</t>
  </si>
  <si>
    <t>2Х(Сu)120</t>
  </si>
  <si>
    <t>2Х(Сu)150</t>
  </si>
  <si>
    <t>2Х(Сu)185</t>
  </si>
  <si>
    <t>2Х(Сu)240</t>
  </si>
  <si>
    <t>3Х(Аl)10</t>
  </si>
  <si>
    <t>3Х(Аl)16</t>
  </si>
  <si>
    <t>3Х(Аl)25</t>
  </si>
  <si>
    <t>3Х(Аl)35</t>
  </si>
  <si>
    <t>3Х(Аl)50</t>
  </si>
  <si>
    <t>3Х(Аl)70</t>
  </si>
  <si>
    <t>3Х(Аl)95</t>
  </si>
  <si>
    <t>3Х(Аl)120</t>
  </si>
  <si>
    <t>3Х(Аl)150</t>
  </si>
  <si>
    <t>3Х(Аl)185</t>
  </si>
  <si>
    <t>3Х(Аl)240</t>
  </si>
  <si>
    <t>3Х(Сu)10</t>
  </si>
  <si>
    <t>3Х(Сu)16</t>
  </si>
  <si>
    <t>3Х(Сu)25</t>
  </si>
  <si>
    <t>3Х(Сu)35</t>
  </si>
  <si>
    <t>3Х(С)u50</t>
  </si>
  <si>
    <t>3Х(Сu)70</t>
  </si>
  <si>
    <t>3Х(Сu)95</t>
  </si>
  <si>
    <t>3Х(Сu)120</t>
  </si>
  <si>
    <t>3Х(Сu)150</t>
  </si>
  <si>
    <t>3Х(Сu)185</t>
  </si>
  <si>
    <t>3Х(Сu)240</t>
  </si>
  <si>
    <t>ПС 35/6кВ КНС-4В    1с.ш.</t>
  </si>
  <si>
    <t>ПС 35/6кВ КНС-4В    2с.ш.</t>
  </si>
  <si>
    <t>ПС 35/6кВ КНС-8В    1,2с.ш.</t>
  </si>
  <si>
    <t>ПС 110/35/6кВ С-Покурская    1,2с.ш.35кВ</t>
  </si>
  <si>
    <t>ПС 35/6кВ КНС-2    1с.ш.</t>
  </si>
  <si>
    <t>ПС 35/6кВ КНС-2    2с.ш.</t>
  </si>
  <si>
    <t>ПС 35/6кВ Куст-27    1с.ш.</t>
  </si>
  <si>
    <t>ПС 35/6кВ Куст-27    2с.ш.</t>
  </si>
  <si>
    <t>ПС 35/6кВ Курья    1,2с.ш.</t>
  </si>
  <si>
    <t>ПС 110/35/6кВ Мартовская    1,2с.ш.35кВ</t>
  </si>
  <si>
    <t>ПС 35/6кВ Протока    1,2с.ш.</t>
  </si>
  <si>
    <t>ПС 110/35/6кВ С-Ватинская    1,2с.ш.35кВ</t>
  </si>
  <si>
    <t>ПС 35/6кВ Куст-28    1,2с.ш.</t>
  </si>
  <si>
    <t xml:space="preserve">ПС 35/6кВ БПТОиК    1,2с.ш. </t>
  </si>
  <si>
    <t>ПС 110/35/6кВ Кетовская    1,2с.ш.35кВ</t>
  </si>
  <si>
    <t>ПС 35/6кВ Куст-10    1с.ш.</t>
  </si>
  <si>
    <t xml:space="preserve">ПС 35/6кВ Куст-10    2с.ш. </t>
  </si>
  <si>
    <t>ПС 35/6кВ ЦПС-1    1с.ш.</t>
  </si>
  <si>
    <t>ПС 35/6кВ ЦПС-1    2с.ш.</t>
  </si>
  <si>
    <t>ПС 110/35/6кВ Аганская    1,2с.ш.35кВ</t>
  </si>
  <si>
    <t xml:space="preserve">ПС 110/35/6кВ Лысенковская    1,2с.ш.35кВ </t>
  </si>
  <si>
    <t>ПС 110/35/6кВ Январская    1,2с.ш.35кВ</t>
  </si>
  <si>
    <t>ПС 110/35/6кВ Ю-Аганская    1,2с.ш.35кВ</t>
  </si>
  <si>
    <t>ПС 35/6кВ В-Аганская    1,2с.ш.</t>
  </si>
  <si>
    <t>ПС 35/6кВ З-Аганская    1,2с.ш.</t>
  </si>
  <si>
    <t>ПС 35/6кВ Куст-11    1,2с.ш.</t>
  </si>
  <si>
    <t>ПС 35/6кВ Куст-67    1,2с.ш.</t>
  </si>
  <si>
    <t>ПС 35/6кВ М-Аганская    1,2с.ш.</t>
  </si>
  <si>
    <t>ПС 35/6кВ Куст-115    1,2с.ш.</t>
  </si>
  <si>
    <t>ПС 35/6кВ КНC-1бис    1,2с.ш.</t>
  </si>
  <si>
    <t>ПС 110/35/6кВ Таежная    1,2с.ш.35кВ</t>
  </si>
  <si>
    <t>ПС 35/6кВ Баграс    1с.ш.</t>
  </si>
  <si>
    <t>ПС 35/6кВ Баграс    2с.ш.</t>
  </si>
  <si>
    <t>ПС 35/6кВ КНС-3Мр    1с.ш.</t>
  </si>
  <si>
    <t>ПС 35/6кВ КНС-3Мр    2с.ш.</t>
  </si>
  <si>
    <t>ПС 35/6кВ Насыровская    1с.ш.</t>
  </si>
  <si>
    <t>ПС 35/6кВ Насыровская    2с.ш.</t>
  </si>
  <si>
    <t>ПС 110/35/6кВ Н-Покурская    1,2с.ш. 35кВ</t>
  </si>
  <si>
    <t>ПС 35/6кВ Кедровая    1с.ш.</t>
  </si>
  <si>
    <t>ПС 35/6кВ Кедровая    2с.ш.</t>
  </si>
  <si>
    <t>ПС 35/6кВ УПН    1,2с.ш.</t>
  </si>
  <si>
    <t>ПС 110/35/6кВ Покамасовская    1,2с.ш. 35кВ</t>
  </si>
  <si>
    <t xml:space="preserve">ПС 35/6кВ Куст-110    1,2с.ш. </t>
  </si>
  <si>
    <t>ПС 35/6кВ Пеньковская    1с.ш.</t>
  </si>
  <si>
    <t>ПС 35/6кВ Пеньковская    2с.ш.</t>
  </si>
  <si>
    <t>ПС 110/35/6кВ Асомкинская    1,2с.ш.35кВ</t>
  </si>
  <si>
    <t>ПС 110/35/6кВ Кирьяновская    1,2с.ш.35кВ</t>
  </si>
  <si>
    <t>ПС 35/6кВ КРС    1,2с.ш.</t>
  </si>
  <si>
    <t>/\/\/\/\/\/\/\/\/\/\/\/\/\/\/\/\/\/\/\/\/\/\/\/\/\</t>
  </si>
  <si>
    <t>40кВА</t>
  </si>
  <si>
    <t>Ачимовское м/р ВДМ</t>
  </si>
  <si>
    <t>ПС 110/35/6кВ Таежная    1,2с.ш.6кВ</t>
  </si>
  <si>
    <t>Хмах</t>
  </si>
  <si>
    <t>Хмин</t>
  </si>
  <si>
    <t xml:space="preserve">Аганская 35кВ </t>
  </si>
  <si>
    <t>Асомкинская 35кВ</t>
  </si>
  <si>
    <t xml:space="preserve">Ватинская 35кВ </t>
  </si>
  <si>
    <t>Вахская 35кВ</t>
  </si>
  <si>
    <t>Заобье 35кВ 1с.ш.(10МВА)</t>
  </si>
  <si>
    <t>Заобье 35кВ 2с.ш.(16МВА)</t>
  </si>
  <si>
    <t>Кетовская 35кВ</t>
  </si>
  <si>
    <t>Кирьяновская 35кВ</t>
  </si>
  <si>
    <t>Лысенковская 35кВ</t>
  </si>
  <si>
    <t xml:space="preserve">Мартыновская 35кВ </t>
  </si>
  <si>
    <t>Н-Покурская 35кВ</t>
  </si>
  <si>
    <t>Покамасовская 35кВ</t>
  </si>
  <si>
    <t>РП-35кВ №140</t>
  </si>
  <si>
    <t xml:space="preserve">РУ-6кВ Аганская   </t>
  </si>
  <si>
    <t>РУ-6кВ Заобье 1с.ш.</t>
  </si>
  <si>
    <t>РУ-6кВ Заобье 2с.ш.</t>
  </si>
  <si>
    <t>РУ-6кВ Кетовская</t>
  </si>
  <si>
    <t>РУ-6кВ Лысенковская</t>
  </si>
  <si>
    <t>РУ-6кВ Мартовская</t>
  </si>
  <si>
    <t xml:space="preserve">РУ-6кВ Мартыновская </t>
  </si>
  <si>
    <t>РУ-6кВ Н-Покурская</t>
  </si>
  <si>
    <t>РУ-6кВ Покамасовская</t>
  </si>
  <si>
    <t xml:space="preserve">РУ-6кВ С-Ватинская </t>
  </si>
  <si>
    <t>РУ-6кВ С-Покурская</t>
  </si>
  <si>
    <t xml:space="preserve">РУ-6кВ Таежная </t>
  </si>
  <si>
    <t xml:space="preserve">РУ-6кВ Ю-Аганская     </t>
  </si>
  <si>
    <t xml:space="preserve">РУ-6кВ Январская  </t>
  </si>
  <si>
    <t xml:space="preserve">С-Ватинская 35кВ </t>
  </si>
  <si>
    <t xml:space="preserve">С-Покурская 35кВ </t>
  </si>
  <si>
    <t xml:space="preserve">Таежная 35кВ </t>
  </si>
  <si>
    <t xml:space="preserve">Ю-Аганская 35кВ  </t>
  </si>
  <si>
    <t xml:space="preserve">Январская 35кВ </t>
  </si>
  <si>
    <t>ПС 35/6кВ Куст-150    1с.ш.</t>
  </si>
  <si>
    <t>ПС 35/6кВ Куст-150    2с.ш.</t>
  </si>
  <si>
    <t>ПС 35/6кВ Западная    1с.ш.</t>
  </si>
  <si>
    <t>ПС 35/6кВ Западная    2с.ш.</t>
  </si>
  <si>
    <t>ПС 35/6кВ Куст-37    1с.ш.</t>
  </si>
  <si>
    <t>ПС 35/6кВ Куст-37    2с.ш.</t>
  </si>
  <si>
    <t xml:space="preserve">ПС 35/6кВ Куст-50    1с.ш. </t>
  </si>
  <si>
    <t xml:space="preserve">ПС 35/6кВ Куст-50    2с.ш. </t>
  </si>
  <si>
    <t>ПС 35/6кВ Куст-103    1с.ш.</t>
  </si>
  <si>
    <t>ПС 35/6кВ Куст-103    2с.ш.</t>
  </si>
  <si>
    <t>ПС 35/6кВ Куст-111    1с.ш.</t>
  </si>
  <si>
    <t>ПС 35/6кВ Куст-111    2с.ш.</t>
  </si>
  <si>
    <t>ПС 35/6кВ Новая    1с.ш.</t>
  </si>
  <si>
    <t>ПС 35/6кВ Новая    2с.ш.</t>
  </si>
  <si>
    <t>ВДМ</t>
  </si>
  <si>
    <t>ПС 35/6кВ Куст-113 1,2с.ш.(2-1)</t>
  </si>
  <si>
    <t>ПС 35/6кВ ДНС-1    1,2с.ш.</t>
  </si>
  <si>
    <t>К(Сu)185+120</t>
  </si>
  <si>
    <t>Х(Сu)185+120</t>
  </si>
  <si>
    <t>2К(Сu)95+70</t>
  </si>
  <si>
    <t>ПС 35/6кВ Куст-15    1с.ш.</t>
  </si>
  <si>
    <t>ПС 35/6кВ Куст-15    2с.ш.</t>
  </si>
  <si>
    <t>М.А.Шабад - РАСЧЕТЫ релейной защиты и автоматики распределительных систем,стр.40-41</t>
  </si>
  <si>
    <t>ПС 35/6кВ Куст-106    1с.ш.</t>
  </si>
  <si>
    <t>ПС 35/6кВ Куст-106    2с.ш.</t>
  </si>
  <si>
    <t>№12-258 от 24.11.08</t>
  </si>
  <si>
    <t>ПС 35/6кВ Куст-4    1с.ш.</t>
  </si>
  <si>
    <t>ПС 35/6кВ Куст-4    2с.ш.</t>
  </si>
  <si>
    <t>ПС 35/6кВ Мыхпай    1с.ш.</t>
  </si>
  <si>
    <t>ПС 35/6кВ Мыхпай    2с.ш.</t>
  </si>
  <si>
    <t>РНТ-565</t>
  </si>
  <si>
    <t>М.А.Шабад - РАСЧЕТЫ релейной защиты и автоматики распределительных систем,стр.216</t>
  </si>
  <si>
    <t>№1</t>
  </si>
  <si>
    <t>№3</t>
  </si>
  <si>
    <t>№4</t>
  </si>
  <si>
    <t>№5</t>
  </si>
  <si>
    <t>№7</t>
  </si>
  <si>
    <t>№8</t>
  </si>
  <si>
    <t>№9</t>
  </si>
  <si>
    <t>№10</t>
  </si>
  <si>
    <t>РТ40</t>
  </si>
  <si>
    <t>цифровое</t>
  </si>
  <si>
    <t>1600кВА</t>
  </si>
  <si>
    <t>1250кВА</t>
  </si>
  <si>
    <t>расчет 17.09.10</t>
  </si>
  <si>
    <t>ПС 110/35/6кВ Мартыновская    1,2с.ш.6кВ</t>
  </si>
  <si>
    <t>расчет 18.09.08</t>
  </si>
  <si>
    <t>программа "Справочник"</t>
  </si>
  <si>
    <t>СИП-3-50</t>
  </si>
  <si>
    <t>СИП-3-70</t>
  </si>
  <si>
    <t>СИП-3-95</t>
  </si>
  <si>
    <t>СИП-3-120</t>
  </si>
  <si>
    <t>СИП-3-150</t>
  </si>
  <si>
    <t>ПС 110/35/6кВ Еловая    1,2с.ш.35кВ</t>
  </si>
  <si>
    <t>ПС 110/35/6кВ Еловая    1,2с.ш.6кВ</t>
  </si>
  <si>
    <t>РТ40 БСК</t>
  </si>
  <si>
    <t>Гловацкий, Пономарев - Современные средства релейной защиты и автоматики электросетей, стр.396</t>
  </si>
  <si>
    <t>расчет 29.10.10</t>
  </si>
  <si>
    <t>Уразову Т.Р.</t>
  </si>
  <si>
    <t>ПС 110/35/6кВ С-Покурская    1,2с.ш.6кВ</t>
  </si>
  <si>
    <t>R-Аlст-400</t>
  </si>
  <si>
    <t>Х-Аlст-400</t>
  </si>
  <si>
    <t>ПС 35/6кВ Южная 1с.ш. (питание от ДЭС)</t>
  </si>
  <si>
    <t>расчет от 17.11.10</t>
  </si>
  <si>
    <t>МПУ</t>
  </si>
  <si>
    <t>МПУ БСК</t>
  </si>
  <si>
    <t>МПУ-Д</t>
  </si>
  <si>
    <t>Перемитин А.В.</t>
  </si>
  <si>
    <t>Еловая 35кВ</t>
  </si>
  <si>
    <t>Чистинная 35кВ</t>
  </si>
  <si>
    <t xml:space="preserve">РУ-6кВ Чистинная  </t>
  </si>
  <si>
    <t xml:space="preserve">РУ-6кВ Еловая  </t>
  </si>
  <si>
    <t>Шабад См. приложениеI Табл.П-1 "Расчеты РЗ и А распределительных сетей"</t>
  </si>
  <si>
    <t>ПС 110/35/6кВ Дельта    1,2с.ш.35кВ</t>
  </si>
  <si>
    <t>КСu16</t>
  </si>
  <si>
    <t>КСu25</t>
  </si>
  <si>
    <t>КСu35</t>
  </si>
  <si>
    <t>КСu50</t>
  </si>
  <si>
    <t>КСu70</t>
  </si>
  <si>
    <t>КСu95</t>
  </si>
  <si>
    <t>КСu120</t>
  </si>
  <si>
    <t>КСu150</t>
  </si>
  <si>
    <t>КСu185</t>
  </si>
  <si>
    <t>КСu240</t>
  </si>
  <si>
    <t>кабель (ПВХ)</t>
  </si>
  <si>
    <t>неизолированный  провод</t>
  </si>
  <si>
    <t>"Справочник Энергетика" Стр.290</t>
  </si>
  <si>
    <t>расчет 24.01.12</t>
  </si>
  <si>
    <t>ПС 110/35/6кВ Мартовская    1,2с.ш.6кВ</t>
  </si>
  <si>
    <t>расчет 01.02.12</t>
  </si>
  <si>
    <t>ПС 35/6кВ Куст-120    1,2с.ш.</t>
  </si>
  <si>
    <t>Аригольское м.р.</t>
  </si>
  <si>
    <t>ООО "АЭС"</t>
  </si>
  <si>
    <t>ООО "Энергопотенциал"</t>
  </si>
  <si>
    <t xml:space="preserve">Чистинное м.р. </t>
  </si>
  <si>
    <t xml:space="preserve">Ачимовское м.р. </t>
  </si>
  <si>
    <t xml:space="preserve">РУ-6кВ ГПЭС-2 </t>
  </si>
  <si>
    <t xml:space="preserve">РУ-6кВ КП-44   </t>
  </si>
  <si>
    <t>ПС 35/6кВ Куст-109    1с.ш.</t>
  </si>
  <si>
    <t>ПС 35/6кВ Куст-109    2с.ш.</t>
  </si>
  <si>
    <t xml:space="preserve">ПС 35/6кВ Куст-51    1с.ш. </t>
  </si>
  <si>
    <t xml:space="preserve">ПС 35/6кВ Куст-51    2с.ш. </t>
  </si>
  <si>
    <t>ПС 35/6кВ Надежда    1,2с.ш.</t>
  </si>
  <si>
    <t>Вариаты исполнения по коэф.трансформации</t>
  </si>
  <si>
    <t>Номинальный ток,А</t>
  </si>
  <si>
    <t xml:space="preserve">первичный </t>
  </si>
  <si>
    <t>вторичный</t>
  </si>
  <si>
    <t>Вторичеая нагрузка в классе точности при cos Y=</t>
  </si>
  <si>
    <t>Ном. Предельная кратность</t>
  </si>
  <si>
    <t>150/5</t>
  </si>
  <si>
    <t>300/5</t>
  </si>
  <si>
    <t>600/5</t>
  </si>
  <si>
    <t>1200/5</t>
  </si>
  <si>
    <t>1500/5</t>
  </si>
  <si>
    <t xml:space="preserve">Ток термостойкости </t>
  </si>
  <si>
    <t>Длительность прот.</t>
  </si>
  <si>
    <t>расчет 20.11.12</t>
  </si>
  <si>
    <t xml:space="preserve">ЗРУ-6кВ ДНС-1 </t>
  </si>
  <si>
    <t>расчёт 26.02.2013</t>
  </si>
  <si>
    <t xml:space="preserve">ПС 110/35/6кВ Ореховская </t>
  </si>
  <si>
    <t>расчет от 26.11.2013.</t>
  </si>
  <si>
    <t>ПС 35/6кВ № 186    1,2с.ш.</t>
  </si>
  <si>
    <t>ПС 35/6кВ № 187    1,2с.ш.</t>
  </si>
  <si>
    <t>ПС 110/35/6кВ Широковская    1,2с.ш.35кВ</t>
  </si>
  <si>
    <t>ПС 110/35/6кВ Бекмеметьевская    1,2с.ш.35кВ</t>
  </si>
  <si>
    <t>ПС 35/6кВ Куст-220 1с.ш.</t>
  </si>
  <si>
    <t>ПС 35/6кВ Куст-220 2с.ш.</t>
  </si>
  <si>
    <t>ПС 35/6 кВ "Котельная"</t>
  </si>
  <si>
    <t>MAX</t>
  </si>
  <si>
    <t>MIN</t>
  </si>
  <si>
    <t>ГТЭС-36МВт КРУ-6 в работе 3 ГТА параллельная работа реакторов</t>
  </si>
  <si>
    <t>ПС 35/6кВ Островная    1с.ш.</t>
  </si>
  <si>
    <t>ПС 35/6кВ Островная    2с.ш.</t>
  </si>
  <si>
    <t>РУ-6кВ "ГПЭС-1",ЗРУ-6кВ "ДЭС ДНС-1" "Энергопотениал-1" ( паралл.работа)</t>
  </si>
  <si>
    <t xml:space="preserve">РУ-6кВ ГПЭС-1 </t>
  </si>
  <si>
    <t>ПвВнг   К(Cu) 400</t>
  </si>
  <si>
    <t>шитый полителен</t>
  </si>
  <si>
    <t>ПС 35/6кВ Куст-78    1с.ш.</t>
  </si>
  <si>
    <t>ПС 35/6кВ Куст-78    2с.ш.</t>
  </si>
  <si>
    <t>ПС 35/6кВ КНС-2Б    1с.ш.</t>
  </si>
  <si>
    <t>ПС 35/6кВ КНС-2Б    2с.ш.</t>
  </si>
  <si>
    <t xml:space="preserve">ПС 35/6кВ ЦПС-2    1с.ш.    </t>
  </si>
  <si>
    <t xml:space="preserve">ПС 35/6кВ ЦПС-2    2с.ш.    </t>
  </si>
  <si>
    <t xml:space="preserve">ПС 35/6кВ Куст-224    1с.ш. </t>
  </si>
  <si>
    <t xml:space="preserve">ПС 35/6кВ Куст-224    2с.ш. </t>
  </si>
  <si>
    <t>расчет от 17.07.2015</t>
  </si>
  <si>
    <t>ПС 35/6кВ ВЦТП    1с.ш.</t>
  </si>
  <si>
    <t>ПС 35/6кВ ВЦТП    2с.ш.</t>
  </si>
  <si>
    <t>ПС 35/6кВ Южная 1с.ш.</t>
  </si>
  <si>
    <t>ПС 35/6кВ Южная 2с.ш.</t>
  </si>
  <si>
    <t>ПС 35/6кВ Юкишевская  1с.ш.</t>
  </si>
  <si>
    <t>ПС 35/6кВ Юкишевская  2с.ш.</t>
  </si>
  <si>
    <t>ПС 110/35/6кВ Ватинская     1,2с.ш. 35кВ</t>
  </si>
  <si>
    <t>ПС 35/6кВ КНС-6В    1с.ш.</t>
  </si>
  <si>
    <t>ПС 35/6кВ КНС-6В    2с.ш.</t>
  </si>
  <si>
    <t>ПС 35/6кВ Куст-30    1с.ш.</t>
  </si>
  <si>
    <t>ПС 35/6кВ Куст-30    2с.ш.</t>
  </si>
  <si>
    <t>ПС 35/6кВ Куст-124    1с.ш.</t>
  </si>
  <si>
    <t>ПС 35/6кВ Куст-124    2с.ш.</t>
  </si>
  <si>
    <t>№Т4/1/3042 от 22.09.2014  НВЭС</t>
  </si>
  <si>
    <t>ПС 35/6кВ С-Островная    1с.ш.</t>
  </si>
  <si>
    <t>ПС 35/6кВ С-Островная    2с.ш.</t>
  </si>
  <si>
    <t>расчет от 21.07.2015</t>
  </si>
  <si>
    <t>ПС 110/35/6кВ Покамасовская    1,2с.ш. 6кВ</t>
  </si>
  <si>
    <t>ПС 35/6кВ Куст-1    1с.ш.</t>
  </si>
  <si>
    <t>ПС 35/6кВ Куст-1    2с.ш.</t>
  </si>
  <si>
    <t>ПС 35/6кВ Ю-Покамас.    1с.ш.</t>
  </si>
  <si>
    <t>ПС 35/6кВ Ю-Покамас.    2с.ш.</t>
  </si>
  <si>
    <t>ПС 35/6кВ БКНС-2    1с.ш.</t>
  </si>
  <si>
    <t>ПС 35/6кВ БКНС-2    2с.ш.</t>
  </si>
  <si>
    <t>ПС 35/6кВ КНС-1А    1 с.ш.</t>
  </si>
  <si>
    <t>ПС 35/6кВ КНС-1А    2 с.ш.</t>
  </si>
  <si>
    <t>ПС 35/6кВ КНС-2А    1с.ш.</t>
  </si>
  <si>
    <t>ПС 35/6кВ КНС-2А    2с.ш.</t>
  </si>
  <si>
    <t>ПС 35/6кВ Куст-114    1с.ш.</t>
  </si>
  <si>
    <t>ПС 35/6кВ Куст-114    2с.ш.</t>
  </si>
  <si>
    <t>ПС 35/6кВ Куст-115    1с.ш.</t>
  </si>
  <si>
    <t>ПС 35/6кВ Куст-115    2с.ш.</t>
  </si>
  <si>
    <t>ПС 110/35/6кВ Аганская    1,2с.ш. 6кВ</t>
  </si>
  <si>
    <t>расчет от 22.07.2015</t>
  </si>
  <si>
    <t>ПС 35/6 кВ "Северная"    1с.ш.</t>
  </si>
  <si>
    <t>ПС 35/6 кВ "Северная"    2с.ш.</t>
  </si>
  <si>
    <t>3ПвВнг-1х150</t>
  </si>
  <si>
    <t>07.09.2015 Мартьянов по телефону</t>
  </si>
  <si>
    <t>Шкляр  08.10.14 по телефону</t>
  </si>
  <si>
    <t>0601070-16/94 от 13.02.2015</t>
  </si>
  <si>
    <t>ПС 35/6кВ Куст-13    1с.ш.</t>
  </si>
  <si>
    <t>ПС 35/6кВ Куст-13    2с.ш.</t>
  </si>
  <si>
    <t>ПС 35/6кВ Куст-41    1,2с.ш.</t>
  </si>
  <si>
    <t>ПС 35/6кВ № 185    1,2с.ш.</t>
  </si>
  <si>
    <t>ГТЭС-36МВт ГРУ-6  в работе 2 ГТА</t>
  </si>
  <si>
    <t>№71-02/03-2576 от 02.06.2014 "ЮНГ-Энергонефть"("РН-Юганскнефтегаз")</t>
  </si>
  <si>
    <t>Т4/1/3042 от 22.09.2014 НВЭС</t>
  </si>
  <si>
    <t>Дельта</t>
  </si>
  <si>
    <t>Бекмеметьевская 35кВ</t>
  </si>
  <si>
    <t>Широковская 35кВ</t>
  </si>
  <si>
    <t>расчет 11.12.15</t>
  </si>
  <si>
    <t>питание от ГТЭС 36МВт</t>
  </si>
  <si>
    <t>ПС 110/35/6кВ Вахская    1с.ш.35кВ</t>
  </si>
  <si>
    <t>ПС 110/35/6кВ Вахская    2с.ш.35кВ</t>
  </si>
  <si>
    <t>№71-02/03-2576 от 02.06.2014 "ЮНГ-Энергонефть"</t>
  </si>
  <si>
    <t>Т4/1/2073 от 22.08.2016</t>
  </si>
  <si>
    <t>Мартовская 35кВ</t>
  </si>
  <si>
    <t>Т4/1/3042 от 22.09.2014</t>
  </si>
  <si>
    <t>№Т4/1/2073 от 22.08.2016</t>
  </si>
  <si>
    <t>№328 от 26.08.2014</t>
  </si>
  <si>
    <t>сеть+ГТЭС</t>
  </si>
  <si>
    <t>расчет от 04.10.2016</t>
  </si>
  <si>
    <t>расчет от 23.07.2014</t>
  </si>
  <si>
    <t>ПС 35/6кВ Куст-25    1с.ш.</t>
  </si>
  <si>
    <t>ПС 35/6кВ Куст-25    2с.ш.</t>
  </si>
  <si>
    <t>расчет от 30.01.2012</t>
  </si>
  <si>
    <t>расчет от 05.10.2016</t>
  </si>
  <si>
    <t>ПС 110/35/6кВ Заобье 35кВ  1с.ш.(10МВА)</t>
  </si>
  <si>
    <t>ПС 110/35/6кВ Заобье 35кВ  2с.ш. (16МВА)</t>
  </si>
  <si>
    <t>питание от ГПЭС-2</t>
  </si>
  <si>
    <t>расчет 23.11.16</t>
  </si>
  <si>
    <t>расчет 16.11.16</t>
  </si>
  <si>
    <t>ДЭС-1,6МВт</t>
  </si>
  <si>
    <t xml:space="preserve">ДЭС ДНС-1 паралл.работа с ГПЭС-1 </t>
  </si>
  <si>
    <t>РУ-6кВ ДЭС ДНС-1</t>
  </si>
  <si>
    <t xml:space="preserve">ПС 35/6кВ ДНС-2В    2с.ш. </t>
  </si>
  <si>
    <t xml:space="preserve">ПС 35/6кВ ДНС-2В    1с.ш. </t>
  </si>
  <si>
    <t>ООО "НГ-Энерго"</t>
  </si>
  <si>
    <t>данные НГ-Энерго на 26.01.2017</t>
  </si>
  <si>
    <t>ЗРУ-6кВ энергоцентра КП-49</t>
  </si>
  <si>
    <t>расчет 20.02.2017</t>
  </si>
  <si>
    <t>расчет 23.11.2016</t>
  </si>
  <si>
    <t>ЗРУ-6кВ НПС "Юган" 1,2 с.ш.</t>
  </si>
  <si>
    <t>№</t>
  </si>
  <si>
    <t>S</t>
  </si>
  <si>
    <t>Uкз</t>
  </si>
  <si>
    <t>Y/Y</t>
  </si>
  <si>
    <r>
      <t>R</t>
    </r>
    <r>
      <rPr>
        <vertAlign val="subscript"/>
        <sz val="10"/>
        <rFont val="Arial Cyr"/>
        <charset val="204"/>
      </rPr>
      <t>1</t>
    </r>
    <r>
      <rPr>
        <sz val="10"/>
        <rFont val="Arial Cyr"/>
        <charset val="204"/>
      </rPr>
      <t>=R</t>
    </r>
    <r>
      <rPr>
        <vertAlign val="subscript"/>
        <sz val="10"/>
        <rFont val="Arial Cyr"/>
        <charset val="204"/>
      </rPr>
      <t>2</t>
    </r>
  </si>
  <si>
    <r>
      <t>X</t>
    </r>
    <r>
      <rPr>
        <vertAlign val="subscript"/>
        <sz val="10"/>
        <rFont val="Arial Cyr"/>
        <charset val="204"/>
      </rPr>
      <t>1</t>
    </r>
    <r>
      <rPr>
        <sz val="10"/>
        <rFont val="Arial Cyr"/>
        <charset val="204"/>
      </rPr>
      <t>=X</t>
    </r>
    <r>
      <rPr>
        <vertAlign val="subscript"/>
        <sz val="10"/>
        <rFont val="Arial Cyr"/>
        <charset val="204"/>
      </rPr>
      <t>2</t>
    </r>
  </si>
  <si>
    <r>
      <t>R</t>
    </r>
    <r>
      <rPr>
        <vertAlign val="subscript"/>
        <sz val="10"/>
        <rFont val="Arial Cyr"/>
        <charset val="204"/>
      </rPr>
      <t>0</t>
    </r>
  </si>
  <si>
    <r>
      <t>X</t>
    </r>
    <r>
      <rPr>
        <vertAlign val="subscript"/>
        <sz val="10"/>
        <rFont val="Arial Cyr"/>
        <charset val="204"/>
      </rPr>
      <t>0</t>
    </r>
  </si>
  <si>
    <t>Тип</t>
  </si>
  <si>
    <t>Ном.ток</t>
  </si>
  <si>
    <r>
      <t>R</t>
    </r>
    <r>
      <rPr>
        <vertAlign val="subscript"/>
        <sz val="10"/>
        <rFont val="Arial Cyr"/>
        <charset val="204"/>
      </rPr>
      <t>1</t>
    </r>
  </si>
  <si>
    <r>
      <t>X</t>
    </r>
    <r>
      <rPr>
        <vertAlign val="subscript"/>
        <sz val="10"/>
        <rFont val="Arial Cyr"/>
        <charset val="204"/>
      </rPr>
      <t>1</t>
    </r>
  </si>
  <si>
    <t>ШМА4-1250</t>
  </si>
  <si>
    <t>ШМА4-1650</t>
  </si>
  <si>
    <t>ШМА4-3200</t>
  </si>
  <si>
    <t>ШМА68П-2500</t>
  </si>
  <si>
    <t>ШМА68П-4000</t>
  </si>
  <si>
    <t>ШРА73-250</t>
  </si>
  <si>
    <t>ШРА73-400</t>
  </si>
  <si>
    <t>ШРА73-630</t>
  </si>
  <si>
    <t>КЗШ-0,4</t>
  </si>
  <si>
    <t>АДО-0,4</t>
  </si>
  <si>
    <t>Rв, мОм</t>
  </si>
  <si>
    <t>Xв, мОм</t>
  </si>
  <si>
    <t>Iн</t>
  </si>
  <si>
    <t>50А</t>
  </si>
  <si>
    <t>70А</t>
  </si>
  <si>
    <t>100А</t>
  </si>
  <si>
    <t>140А</t>
  </si>
  <si>
    <t>200А</t>
  </si>
  <si>
    <t>400А</t>
  </si>
  <si>
    <t>600А</t>
  </si>
  <si>
    <t>1000А</t>
  </si>
  <si>
    <t>1600А</t>
  </si>
  <si>
    <t>2500А</t>
  </si>
  <si>
    <t>4000А</t>
  </si>
  <si>
    <t>Д/Y</t>
  </si>
  <si>
    <t>При 3-х крат.</t>
  </si>
  <si>
    <t>ООО "ДЭС"</t>
  </si>
  <si>
    <t>ЗРУ-6кВ ЭЦ КП-9 ЗУБ</t>
  </si>
  <si>
    <t>01-17/484 от 17.04.17</t>
  </si>
  <si>
    <t>расчет от 30.05.17</t>
  </si>
  <si>
    <t>ПС 35/6кВ КНС Ю-Л    1с.ш.</t>
  </si>
  <si>
    <t>ПС 35/6кВ КНС Ю-Л    2с.ш.</t>
  </si>
  <si>
    <t>ПС 35/6кВ Куст-8    1с.ш.</t>
  </si>
  <si>
    <t>ПС 35/6кВ Куст-8    2с.ш.</t>
  </si>
  <si>
    <t>ЗРУ-10кВ ЭЦ №1 УПН</t>
  </si>
  <si>
    <t>ЗРУ-10кВ ЭЦ №2 КП-3</t>
  </si>
  <si>
    <t>расчет от 15.06.17</t>
  </si>
  <si>
    <t>расчет 20.06.17</t>
  </si>
  <si>
    <t>расчет от 03.08.2017</t>
  </si>
  <si>
    <t>РУ-6кВ КНС-2   1,2 с.ш</t>
  </si>
  <si>
    <t xml:space="preserve">           СР №4</t>
  </si>
  <si>
    <t xml:space="preserve">           СР №3 </t>
  </si>
  <si>
    <t xml:space="preserve">           СР №2</t>
  </si>
  <si>
    <t xml:space="preserve">           СР №1 </t>
  </si>
  <si>
    <t xml:space="preserve">           СР №6</t>
  </si>
  <si>
    <t xml:space="preserve">           СР №7</t>
  </si>
  <si>
    <t xml:space="preserve">           СР №8</t>
  </si>
  <si>
    <t xml:space="preserve">           СР №9</t>
  </si>
  <si>
    <t xml:space="preserve">           СР №10</t>
  </si>
  <si>
    <t>ГТЭС-36МВт ГРУ-6  в работе 3 ГТА</t>
  </si>
  <si>
    <t>РУ-6кВ КНС-2</t>
  </si>
  <si>
    <t>РУ-6кВ ДНС-2</t>
  </si>
  <si>
    <t>КРУН-6кВ ДНС-2</t>
  </si>
  <si>
    <t>РУ-6кВ ДНС-1 пит. от ЗРУ-6кВ ГПЭС ДНС-1</t>
  </si>
  <si>
    <t>РУ-6кВ КНС-1</t>
  </si>
  <si>
    <t>ЗУБ</t>
  </si>
  <si>
    <t>ЗРУ-6кВ Мартыновское    1,2с.ш.6кВ</t>
  </si>
  <si>
    <t>РУ-6кВ Таежное   1,2с.ш.</t>
  </si>
  <si>
    <t>РУ-6кВ ДНС-2В    1с.ш.</t>
  </si>
  <si>
    <t>РУ-6кВ ДНС-2В    2с.ш.</t>
  </si>
  <si>
    <t>РУ-6кВ КНС-8В    1,2с.ш.</t>
  </si>
  <si>
    <t>РУ-6кВ КНС-4В    1с.ш.</t>
  </si>
  <si>
    <t>РУ-6кВ КНС-4В    2с.ш.</t>
  </si>
  <si>
    <t>РУ-6кВ КНС-9    1с.ш.</t>
  </si>
  <si>
    <t>РУ-6кВ КНС-9    2с.ш.</t>
  </si>
  <si>
    <t>РУ-6кВ №2(от ВЦТП)    1с.ш.</t>
  </si>
  <si>
    <t>РУ-6кВ №2(от ВЦТП)    2с.ш.</t>
  </si>
  <si>
    <t>РУ-6кВ №2 (от Юкиш-ой)  2с.ш.</t>
  </si>
  <si>
    <t>РУ-6кВ №3 (от ВЦТП)    1с.ш.</t>
  </si>
  <si>
    <t>РУ-6кВ №3 (от ВЦТП)    2с.ш.</t>
  </si>
  <si>
    <t>РУ-6кВ №3 (от РУ №4)    2с.ш.</t>
  </si>
  <si>
    <t>РУ-6кВ №3 новое (от ВЦТП)    1с.ш.</t>
  </si>
  <si>
    <t>РУ-6кВ №3 новое (от ВЦТП)    2с.ш.</t>
  </si>
  <si>
    <t>РУ-6кВ №4 (от Юкиш-ой)  1с.ш.</t>
  </si>
  <si>
    <t>РУ-6кВ №4 (от Юкиш-ой)  2с.ш.</t>
  </si>
  <si>
    <t>РУ-6кВ №4 (от РУ №3)    2с.ш.</t>
  </si>
  <si>
    <t>КРУН-6кВ Мартовская    1,2с.ш.</t>
  </si>
  <si>
    <t>РУ-6кВ КНС-1А    1,2с.ш.</t>
  </si>
  <si>
    <t>РУ-6кВ КНС-1Б    1,2с.ш.</t>
  </si>
  <si>
    <t>РУ-6кВ ДНС-1    1,2с.ш.</t>
  </si>
  <si>
    <t>РУ-6кВ КНС-2А    1с.ш.</t>
  </si>
  <si>
    <t>РУ-6кВ КНС-2А    2с.ш.</t>
  </si>
  <si>
    <t>РУ-6кВ КНС-2    1с.ш.</t>
  </si>
  <si>
    <t>РУ-6кВ КНС-2    2с.ш.</t>
  </si>
  <si>
    <t>РУ-6кВ КНС-1    1с.ш.</t>
  </si>
  <si>
    <t>РУ-6кВ КНС-1    2с.ш.</t>
  </si>
  <si>
    <t>РУ-6кВ ДНС-1    1с.ш. С-Орех</t>
  </si>
  <si>
    <t>РУ-6кВ ДНС-1    2с.ш. С-Орех</t>
  </si>
  <si>
    <t>РУ-6кВ Протока    1,2с.ш.</t>
  </si>
  <si>
    <t>РУ-6кВ С-Ватинское    1,2с.ш.</t>
  </si>
  <si>
    <t>РУ-6кВ БКНС-6    1с.ш.</t>
  </si>
  <si>
    <t>РУ-6кВ БКНС-6    2с.ш.</t>
  </si>
  <si>
    <t>РУ-6кВ КНС-1    1,2с.ш.</t>
  </si>
  <si>
    <t>РУ-6кВ КНС-7В    1с.ш.</t>
  </si>
  <si>
    <t>РУ-6кВ КНС-7В    2с.ш.</t>
  </si>
  <si>
    <t>РУ-6кВ БКНС-10    1,2с.ш.</t>
  </si>
  <si>
    <t>РУ-6кВ ДНС-1    3с.ш.(резерв)</t>
  </si>
  <si>
    <t>РУ-6кВ Ю-Аганское    1,2с.ш.</t>
  </si>
  <si>
    <t>РУ-6кВ Январское    1,2с.ш.</t>
  </si>
  <si>
    <t>ЗРУ-6кВ Лысенковское    1с.ш.</t>
  </si>
  <si>
    <t>ЗРУ-6кВ Лысенковское    2с.ш.</t>
  </si>
  <si>
    <t>РУ-6кВ №1    1,2с.ш.</t>
  </si>
  <si>
    <t>РУ-6кВ №1    3с.ш.</t>
  </si>
  <si>
    <t>РУ-6кВ №3    1,2с.ш.</t>
  </si>
  <si>
    <t>РУ-6кВ ДНС-3    1с.ш.</t>
  </si>
  <si>
    <t>РУ-6кВ ДНС-3    2с.ш.</t>
  </si>
  <si>
    <t>РУ-6кВ КНС-2    1,2с.ш.</t>
  </si>
  <si>
    <t>РУ-6кВ ДНС-2М    1,2с.ш.</t>
  </si>
  <si>
    <t>РУ-6кВ Мыхпай    1с.ш.</t>
  </si>
  <si>
    <t>РУ-6кВ Мыхпай    2с.ш.</t>
  </si>
  <si>
    <t>РУ-6кВ КНС-3А    1с.ш.</t>
  </si>
  <si>
    <t>РУ-6кВ КНС-3А    2с.ш.</t>
  </si>
  <si>
    <t>РУ-6кВ ГУ-4    1с.ш.</t>
  </si>
  <si>
    <t>РУ-6кВ ГУ-4    2с.ш.</t>
  </si>
  <si>
    <t>РУ-6кВ №2    1с.ш.</t>
  </si>
  <si>
    <t>РУ-6кВ №2    2с.ш.</t>
  </si>
  <si>
    <t>РУ-6кВ МБКНС-1    1с.ш.</t>
  </si>
  <si>
    <t>РУ-6кВ МБКНС-1    2с.ш.</t>
  </si>
  <si>
    <t>РУ-6кВ Н-Покурская    1,2с.ш.</t>
  </si>
  <si>
    <t>РУ-6кВ УПН    1,2с.ш.</t>
  </si>
  <si>
    <t>РУ-6кВ Кетовская    1,2с.ш.</t>
  </si>
  <si>
    <t>РУ-6кВ КНС  (Кеты)  1,2с.ш.</t>
  </si>
  <si>
    <t>РУ-6кВ КНС Ю-Л    1с.ш.</t>
  </si>
  <si>
    <t>РУ-6кВ КНС Ю-Л    2с.ш.</t>
  </si>
  <si>
    <t>РУ-6кВ МДНС    1,2с.ш.</t>
  </si>
  <si>
    <t>РУ-6кВ Покамасовское    1,2с.ш.</t>
  </si>
  <si>
    <t>ПС 35/6кВ Аригольская-1   1,2с.ш. (пит. от сети.)</t>
  </si>
  <si>
    <t>РУ-6кВ №2 КНС   1,2с.ш. (пит. от ГПЭС)</t>
  </si>
  <si>
    <t>РУ-6кВ №2 КНС   1,2с.ш. (пит. от сети)</t>
  </si>
  <si>
    <t>РУ-6кВ №1 УПН   1,2с.ш. (пит. от сети)</t>
  </si>
  <si>
    <t>РУ-6кВ №1 УПН   1,2с.ш. (пит. от ГПЭС)</t>
  </si>
  <si>
    <t>ПС 35/6кВ Аригольcкая-2   1,2с.ш.</t>
  </si>
  <si>
    <t xml:space="preserve">ПС 35/6кВ Максимкинская    1с.ш. </t>
  </si>
  <si>
    <t xml:space="preserve">ПС 35/6кВ Максимкинская    2с.ш. </t>
  </si>
  <si>
    <t>ПС 35/6кВ Ачимовская-1  1с.ш.</t>
  </si>
  <si>
    <t>ПС 35/6кВ Ачимовская-1  2с.ш.</t>
  </si>
  <si>
    <t>ПС 35/6кВ Ачимовская-2  1с.ш.</t>
  </si>
  <si>
    <t>ПС 35/6кВ Ачимовская-2  2с.ш.</t>
  </si>
  <si>
    <t>РУ-6кВ ДНС-1 Ачимовское м.р .</t>
  </si>
  <si>
    <t>РУ-6кВ КНС-1 Ачимовское м.р .</t>
  </si>
  <si>
    <t>ЗРУ-6кВ КП-1   Зап.Усть-Балыкское м.р.</t>
  </si>
  <si>
    <t>ЗРУ-6кВ КП-6   Зап.Усть-Балыкское м.р.</t>
  </si>
  <si>
    <t>ПС 35/6кВ Куст-6 питание от ПС 110/35/6кВ "Ореховская"</t>
  </si>
  <si>
    <t>ПС 35/6кВ ДНС-Ореховская</t>
  </si>
  <si>
    <t>ГПЭС ДНС-1 (энергопотенциал)</t>
  </si>
  <si>
    <t xml:space="preserve">           СР №5</t>
  </si>
  <si>
    <t>РУ-6кВ КНС-3    1,2с.ш.</t>
  </si>
  <si>
    <t>ЗРУ-6кВ КП-3 Южно-Островное м.р.</t>
  </si>
  <si>
    <t>ПС 35/6кВ Куст-113    1с.ш.</t>
  </si>
  <si>
    <t>ПС 35/6кВ Куст-113    2с.ш.</t>
  </si>
  <si>
    <t>ВЭЦ Юрубчено-Тохомское м.р.</t>
  </si>
  <si>
    <t>расчет от 17.10.17</t>
  </si>
  <si>
    <t>расчет от 18.10.17</t>
  </si>
  <si>
    <t>ПС 35/6кВ КНС-3М    1с.ш.</t>
  </si>
  <si>
    <t>ПС 35/6кВ КНС-3М    2с.ш.</t>
  </si>
  <si>
    <t>Зайцеву С.Г.</t>
  </si>
  <si>
    <t>3ПвВнг-1х500</t>
  </si>
  <si>
    <t>ЗРУ-6кВ КНС</t>
  </si>
  <si>
    <t>расчёт 15.12.2017</t>
  </si>
  <si>
    <t>ЗРУ-6кВ КП-13</t>
  </si>
  <si>
    <t>расчет от 05.12.17</t>
  </si>
  <si>
    <t>НКУ-0,4 КП-55</t>
  </si>
  <si>
    <t>расчет от 11.01.18</t>
  </si>
  <si>
    <t>расчет от 01.03.18</t>
  </si>
  <si>
    <t>ПЛУ-35кВ №1, №2</t>
  </si>
  <si>
    <t>ПС 35/6кВ Сапарка    1с.ш.</t>
  </si>
  <si>
    <t>ПС 35/6кВ Сапарка    2с.ш.</t>
  </si>
  <si>
    <t>расчет 16.04.18</t>
  </si>
  <si>
    <t>ПС 35/6кВ Куст-43    1с.ш.</t>
  </si>
  <si>
    <t>ПС 35/6кВ Куст-43    2с.ш.</t>
  </si>
  <si>
    <t xml:space="preserve">ПС 35/6кВ Куст-4  1с.ш. Чистинное м.р. </t>
  </si>
  <si>
    <t xml:space="preserve">ПС 35/6кВ Куст-4  2с.ш. Чистинное м.р. </t>
  </si>
  <si>
    <t>расчет от 25.06.2018</t>
  </si>
  <si>
    <t xml:space="preserve">ГПЭС-1 АЭС </t>
  </si>
  <si>
    <t>расчет 09.07.18</t>
  </si>
  <si>
    <t>ПвВнг-LS 1х300</t>
  </si>
  <si>
    <t>ПС 35/6кВ Аригольская-1   1,2с.ш. (пит. от ГПЭС-1)</t>
  </si>
  <si>
    <t>расчет 28.11.18</t>
  </si>
  <si>
    <t>ПвВнг-LS 1х120/25</t>
  </si>
  <si>
    <t>ПС 35/6кВ ДНС Узунского м/р обсл. ООО ЮЭС</t>
  </si>
  <si>
    <t>РУ-6кВ ДНС-1 от сети</t>
  </si>
  <si>
    <t>РУ-6кВ КНС-1 от сети</t>
  </si>
  <si>
    <t>ГПЭС-1 ДНС-1 ТОЛЬКО С ГПГУ</t>
  </si>
  <si>
    <t>расчет 23.06.2019</t>
  </si>
  <si>
    <t>ЗРУ-6кВ Тайлаковское  1, 2 с.ш. от сети</t>
  </si>
  <si>
    <t>расчет от 06.09.19</t>
  </si>
  <si>
    <t xml:space="preserve">ПС 35/6кВ Кузьмин 1с.ш. от сети </t>
  </si>
  <si>
    <t xml:space="preserve">ПС 35/6кВ Кузьмин 2с.ш. от сети </t>
  </si>
  <si>
    <t xml:space="preserve">ПС 35/6кВ Абазаров 1с.ш. от сети </t>
  </si>
  <si>
    <t xml:space="preserve">ПС 35/6кВ Абазаров 2с.ш. от сети </t>
  </si>
  <si>
    <t xml:space="preserve">ПС 35/6кВ Рынковой 1с.ш. от сети </t>
  </si>
  <si>
    <t xml:space="preserve">ПС 35/6кВ Рынковой 2с.ш. от сети </t>
  </si>
  <si>
    <t xml:space="preserve">ПС 35/6кВ Салманов 1с.ш. от сети </t>
  </si>
  <si>
    <t xml:space="preserve">ПС 35/6кВ Салманов 2с.ш. от сети </t>
  </si>
  <si>
    <t>ПС 35/6кВ Салманов от ГТЭ</t>
  </si>
  <si>
    <t xml:space="preserve">ПС 35/6кВ Норкин 1с.ш. от сети </t>
  </si>
  <si>
    <t xml:space="preserve">ПС 35/6кВ Норкин 2с.ш. от сети </t>
  </si>
  <si>
    <t xml:space="preserve">ПС 35/6кВ Норкин 1, 2с.ш. от ГТЭС </t>
  </si>
  <si>
    <t>ПС 35/6кВ Куст-47  1с.ш.</t>
  </si>
  <si>
    <t>ПС 35/6кВ Куст-47  2с.ш.</t>
  </si>
  <si>
    <t>ПС 35/6кВ КНС-5В    1 с.ш.</t>
  </si>
  <si>
    <t>ПС 35/6кВ КНС-5В    2 с.ш.</t>
  </si>
  <si>
    <t>ПС 35/6кВ Куст-211    1 с.ш.</t>
  </si>
  <si>
    <t>ПС 35/6кВ Куст-211    2 с.ш.</t>
  </si>
  <si>
    <t>РУ-6кВ ДНС-3 от сети</t>
  </si>
  <si>
    <t>расчет 12.12.2019</t>
  </si>
  <si>
    <t>ПС 35/6кВ Куст-2    1с.ш.</t>
  </si>
  <si>
    <t>ПС 35/6кВ Куст-2    2с.ш.</t>
  </si>
  <si>
    <t>расчет от 13.12.2019</t>
  </si>
  <si>
    <t>расчет 03.06.20</t>
  </si>
  <si>
    <t>КРУН-6кВ ДНС-2 от сети</t>
  </si>
  <si>
    <t>расчет 05.06.20</t>
  </si>
  <si>
    <t>ГРУ-6  от сети</t>
  </si>
  <si>
    <t>Поскачей С.В.</t>
  </si>
  <si>
    <t>ПС 35/6кВ Куст-110    1с.ш.</t>
  </si>
  <si>
    <t>ПС 35/6кВ ДНС-Узунская 1с.ш. (от М-Черногорская)</t>
  </si>
  <si>
    <t>ПС 35/6кВ ДНС-Узунская 2с.ш. (от М-Черногорская)</t>
  </si>
  <si>
    <t>ЗРУ-6кВ ДНС (от ДНС Узунской) 1с.ш.</t>
  </si>
  <si>
    <t>ЗРУ-6кВ ДНС (от ДНС Узунской) 2с.ш.</t>
  </si>
  <si>
    <t>ЗРУ-6кВ БКНС (от ДНС Узунской) 1с.ш.</t>
  </si>
  <si>
    <t>расчет от 11.05.2021</t>
  </si>
  <si>
    <t>ПС 110/35/6 кВ Малочерногорская 1,2 с.ш. 35 кВ</t>
  </si>
  <si>
    <t>№РТ4/1/1331 от 20.04.2021</t>
  </si>
  <si>
    <t>ПС 35/6 кВ Куст-1 (от ПС Касаев) 1с.ш.</t>
  </si>
  <si>
    <t>ПС 35/6 кВ Куст-1 (от ПС Касаев) 2с.ш.</t>
  </si>
  <si>
    <t>ПС 35/6 кВ Куст-7 (от ПС Касаев) 1с.ш.</t>
  </si>
  <si>
    <t>ЗРУ-6кВ БКНС (от ДНС Узунской) 2с.ш.</t>
  </si>
  <si>
    <t>ПС 220/10/6кВ "Каркатеевы" ф.6кВ №40 (4 с.ш. 6кВ)</t>
  </si>
  <si>
    <t>ПС 220/10/6кВ "Каркатеевы" ф.6кВ №39 (3 с.ш. 6кВ)</t>
  </si>
  <si>
    <t>ЗРУ-6кВ ДНС 1с.ш. (от ПС 220 Каркатеевы)</t>
  </si>
  <si>
    <t>ЗРУ-6кВ ДНС 2с.ш. (от ПС 220 Каркатеевы)</t>
  </si>
  <si>
    <t>ПС 6/35кВ Касаев  1с.ш.6кВ</t>
  </si>
  <si>
    <t>ПС 6/35кВ Касаев  2с.ш.6кВ</t>
  </si>
  <si>
    <t>ЭНЕРГОЦЕНТР КУСТ 9 СКВ 3011</t>
  </si>
  <si>
    <t>ПИСЬМО №134/НВ от 24.01.22г.</t>
  </si>
  <si>
    <t>расчет от 01.04.2022</t>
  </si>
  <si>
    <t>ПС 35/6кВ Авария Баграс    2с.ш.</t>
  </si>
  <si>
    <t>ПС 35/6кВ Авария Куст-8    1с.ш.</t>
  </si>
  <si>
    <t>ПС 35/6кВ Авария Куст-8    2с.ш.</t>
  </si>
  <si>
    <t>ПС 35/6кВ Авария Куст-13    1с.ш.</t>
  </si>
  <si>
    <t>ПС 35/6кВ Авария Куст-13    2с.ш.</t>
  </si>
  <si>
    <t>ПС 35/6кВ Авария Насыровская    1с.ш.</t>
  </si>
  <si>
    <t>ПС 35/6кВ Авария Насыровская    2с.ш.</t>
  </si>
  <si>
    <t>Питание ПС 110/35/6кВ "Баграс" от ПС 110/35/6кВ "Мартыновская" ф.35кВ №1,2.</t>
  </si>
  <si>
    <t>расчет 10.06.22</t>
  </si>
  <si>
    <t>Баркову А.А.</t>
  </si>
  <si>
    <t>Атавову А.А.</t>
  </si>
  <si>
    <t>№2</t>
  </si>
  <si>
    <t>№6</t>
  </si>
  <si>
    <t>Шабров Е.Н.</t>
  </si>
  <si>
    <t xml:space="preserve">ПС 35/6кВ Временная БУ КП-21 1с.ш. от сети </t>
  </si>
  <si>
    <t>расчет 07.06.23</t>
  </si>
  <si>
    <t>ПС 110/35/6кВ Жагрин   1с.ш. 35кВ</t>
  </si>
  <si>
    <t>ПС 110/35/6кВ Жагрин   2с.ш. 35кВ</t>
  </si>
  <si>
    <t xml:space="preserve">ПС 35/6кВ КондратьевскаяВ    1с.ш. </t>
  </si>
  <si>
    <t xml:space="preserve">ПС 35/6кВ КондратьевскаяВ    2с.ш. </t>
  </si>
  <si>
    <t xml:space="preserve">ПС 35/6кВ КондратьевскаяК    1с.ш. </t>
  </si>
  <si>
    <t xml:space="preserve">ПС 35/6кВ КондратьевскаяК   2с.ш. </t>
  </si>
  <si>
    <t>расчет от 20.09.2023</t>
  </si>
  <si>
    <t>ПС 35/6кВ КНС-7ВВ    1с.ш.</t>
  </si>
  <si>
    <t>ПС 35/6кВ КНС-7ВВ    2с.ш.</t>
  </si>
  <si>
    <t>ПС 35/6кВ КНС-7ВК    1с.ш.</t>
  </si>
  <si>
    <t>ПС 35/6кВ КНС-7ВК    2с.ш.</t>
  </si>
  <si>
    <t>ПС 35/6кВ Куст-64В    1с.ш.</t>
  </si>
  <si>
    <t>ПС 35/6кВ Куст-64В    2с.ш.</t>
  </si>
  <si>
    <t>ПС 35/6кВ Куст-64К    1с.ш.</t>
  </si>
  <si>
    <t>ПС 35/6кВ Куст-64К    2с.ш.</t>
  </si>
  <si>
    <t>ПС 35/6кВ Куст-93В    1,2с.ш.</t>
  </si>
  <si>
    <t>ПС 35/6кВ Куст-93К    1,2с.ш.</t>
  </si>
  <si>
    <t>ПС 35/6кВ КНС-3ВВ    1,2с.ш.</t>
  </si>
  <si>
    <t>ПС 35/6кВ КНС-3ВК    1,2с.ш.</t>
  </si>
  <si>
    <t>Левину Е.В</t>
  </si>
  <si>
    <t>расчет от 09.01.2024</t>
  </si>
  <si>
    <t>ПС 110/35/6кВ Чистинная 1СШ35кВ</t>
  </si>
  <si>
    <t>ПС 110/35/6кВ Чистинная 2СШ35кВ</t>
  </si>
  <si>
    <t>ПС 110/35/6кВ ЗРУ 6кВ "Чистинная" 1СШ</t>
  </si>
  <si>
    <t>ПС 110/35/6кВ ЗРУ 6кВ "Чистинная" 2СШ</t>
  </si>
  <si>
    <t>РУ-6кВ ДНС-1 Чистинное м.р. 1СШ</t>
  </si>
  <si>
    <t>РУ-6кВ ДНС-1 Чистинное м.р. 2СШ</t>
  </si>
  <si>
    <t>РУ-6кВ МДНС    1с.ш.</t>
  </si>
  <si>
    <t>РУ-6кВ МДНС    2с.ш.</t>
  </si>
  <si>
    <t>РУ-6кВ МФНС    1с.ш.</t>
  </si>
  <si>
    <t>РУ-6кВ МФНС    2с.ш.</t>
  </si>
  <si>
    <t>№РТ2/1/1635 от 22.11.2024</t>
  </si>
  <si>
    <t>Медведева А.В.</t>
  </si>
  <si>
    <t xml:space="preserve">ПС 35/6кВ Куст-24  1с.ш. Чистинное м.р. </t>
  </si>
  <si>
    <t xml:space="preserve">ПС 35/6кВ Куст-24  2с.ш. Чистинное м.р. </t>
  </si>
  <si>
    <t>ПС 35/6кВ Авария Баграс    1с.ш.</t>
  </si>
  <si>
    <t>№РТ4/1/4695 от 28.12.2023</t>
  </si>
  <si>
    <t>По письму №Р57-б1-II 2-19-3286 от 21.10.24</t>
  </si>
  <si>
    <t>По письму №Р57-б1-II 2-19-1436 от 28.04.25</t>
  </si>
  <si>
    <t>ПС 110/35/6кВ Баграс    1 с.ш.35кВ</t>
  </si>
  <si>
    <t>ПС 110/35/6кВ Баграс    2 с.ш.35кВ</t>
  </si>
  <si>
    <t>ПС 110/35/6кВ Баграс    1 с.ш.6кВ</t>
  </si>
  <si>
    <t>ПС 110/35/6кВ Баграс    2 с.ш.6кВ</t>
  </si>
  <si>
    <t>проверить!!!!!</t>
  </si>
  <si>
    <t>ПС 110/35/6кВ Мартыновская    1с.ш.35кВ</t>
  </si>
  <si>
    <t>ПС 110/35/6кВ Мартыновская    2с.ш.35кВ</t>
  </si>
  <si>
    <t>ПС 35/6кВ Куст-53    1с.ш.</t>
  </si>
  <si>
    <t>ПС 35/6кВ Куст-53    2с.ш.</t>
  </si>
  <si>
    <t>ПС 35/6кВ ДНС 2М   1с.ш.</t>
  </si>
  <si>
    <t>ПС 35/6кВ ДНС 2М   2с.ш.</t>
  </si>
  <si>
    <t>расчет реактансов при Uпа=120,8 кВ</t>
  </si>
  <si>
    <t>КРУН-6кВ Аганское    1,2с.ш.</t>
  </si>
  <si>
    <t>расчет от 14.07.2025</t>
  </si>
  <si>
    <t xml:space="preserve">ПС 35/6кВ КНС-3А  1с.ш. </t>
  </si>
  <si>
    <t>ПС 35/6кВ КНС-3А  2с.ш.</t>
  </si>
  <si>
    <t>ПС 35/6кВ Куст-9б 1с.ш.</t>
  </si>
  <si>
    <t xml:space="preserve">ПС 35/6кВ Куст-9б 2с.ш. </t>
  </si>
  <si>
    <t xml:space="preserve">ПС 35/6кВ Куст-69  1,2с.ш. </t>
  </si>
  <si>
    <t xml:space="preserve">ПС 35/6кВ Куст-69бис  1с.ш. </t>
  </si>
  <si>
    <t>ПС 35/6кВ Куст-69бис   2с.ш.</t>
  </si>
  <si>
    <t xml:space="preserve">ПС 35/6кВ Промысловая -1  1с.ш. </t>
  </si>
  <si>
    <t>ПС 35/6кВ Промысловая -1  2с.ш.</t>
  </si>
  <si>
    <t>ПС 35/6кВ Промысловая -2    1,2с.ш.</t>
  </si>
  <si>
    <t>Хайруллин Р.Ф.</t>
  </si>
  <si>
    <t>РУ-6кВ КНС-1  (С-Орех)  1с.ш.</t>
  </si>
  <si>
    <t>РУ-6кВ КНС-1  (С-Орех)  2с.ш.</t>
  </si>
  <si>
    <t>РУ-6кВ БКНС  (С-Орех)  1,2с.ш.</t>
  </si>
  <si>
    <t>ПС 35/6 кВ Куст-9 1с.ш. (от ПС Касаев)</t>
  </si>
  <si>
    <t>ПС 35/6 кВ Куст-9 2с.ш. (от ПС Касаев)</t>
  </si>
  <si>
    <t>расчет от 18.09.2025</t>
  </si>
  <si>
    <t>расчёт 18.09.25</t>
  </si>
  <si>
    <t>РУ-6кВ КНС-1  1,2 с.ш. (от ЗРУ-6кВ ДНС-1)</t>
  </si>
  <si>
    <t>Мессояха</t>
  </si>
  <si>
    <t>214 ЗРУ-10 2СШ</t>
  </si>
  <si>
    <t>ПС 35/10 кВ "ПСП"</t>
  </si>
  <si>
    <t>Винокурову Р.И.</t>
  </si>
  <si>
    <t>Макарову А.Б.</t>
  </si>
  <si>
    <t>№М4/П6/2/227 от 18.02.2026г. Россети МЭС Урала</t>
  </si>
  <si>
    <t>Перерасчет по письму №М4/П6/2/227 от 18.02.2026г. Россети МЭС Урала</t>
  </si>
  <si>
    <t>ПС 6/35 кВ Касаев    2с.ш.35кВ</t>
  </si>
  <si>
    <t>ПС 6/35 кВ Касаев    1с.ш.35кВ</t>
  </si>
  <si>
    <t>КРУ-6кВ "ГТЭС ДНС-2" 1сш</t>
  </si>
  <si>
    <t>КРУ-6кВ "ГТЭС ДНС-2" 2сш</t>
  </si>
  <si>
    <t>РУ-6кВ ДНС-2 1сш</t>
  </si>
  <si>
    <t>РУ-6кВ ДНС-2 2сш</t>
  </si>
  <si>
    <t>РУ-6кВ КНС-2 от сети 1сш</t>
  </si>
  <si>
    <t>РУ-6кВ КНС-2 от сети 2сш</t>
  </si>
  <si>
    <t>расчет 05.03.26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</si>
</sst>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00"/>
    <numFmt numFmtId="187" formatCode="0.0000"/>
    <numFmt numFmtId="192" formatCode="0.0%"/>
  </numFmts>
  <fonts count="27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sz val="12"/>
      <name val="Arial Cyr"/>
      <charset val="204"/>
    </font>
    <font>
      <b/>
      <i/>
      <sz val="12"/>
      <name val="Arial Cyr"/>
      <charset val="204"/>
    </font>
    <font>
      <b/>
      <sz val="8"/>
      <name val="Arial Cyr"/>
      <charset val="204"/>
    </font>
    <font>
      <sz val="4"/>
      <name val="Times New Roman"/>
      <family val="1"/>
    </font>
    <font>
      <sz val="6"/>
      <name val="Arial Cyr"/>
      <charset val="204"/>
    </font>
    <font>
      <vertAlign val="subscript"/>
      <sz val="10"/>
      <name val="Arial Cyr"/>
      <charset val="204"/>
    </font>
    <font>
      <sz val="10"/>
      <name val="Calibri"/>
      <family val="2"/>
      <charset val="204"/>
    </font>
    <font>
      <b/>
      <i/>
      <sz val="8"/>
      <name val="Arial Cyr"/>
      <charset val="204"/>
    </font>
    <font>
      <sz val="10"/>
      <color theme="9" tint="-0.249977111117893"/>
      <name val="Arial Cyr"/>
      <charset val="204"/>
    </font>
    <font>
      <sz val="10"/>
      <color rgb="FF7030A0"/>
      <name val="Arial Cyr"/>
      <charset val="204"/>
    </font>
    <font>
      <sz val="10"/>
      <color rgb="FFFF0000"/>
      <name val="Arial Cyr"/>
      <charset val="204"/>
    </font>
    <font>
      <b/>
      <i/>
      <sz val="8"/>
      <color rgb="FFFF0000"/>
      <name val="Arial Cyr"/>
      <charset val="204"/>
    </font>
    <font>
      <sz val="10"/>
      <color rgb="FFC00000"/>
      <name val="Arial Cyr"/>
      <charset val="204"/>
    </font>
    <font>
      <sz val="10"/>
      <color rgb="FFC00000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Arial Cyr"/>
      <charset val="204"/>
    </font>
    <font>
      <b/>
      <sz val="10"/>
      <color theme="9" tint="-0.249977111117893"/>
      <name val="Arial Cyr"/>
      <charset val="204"/>
    </font>
    <font>
      <b/>
      <sz val="10"/>
      <color rgb="FF7030A0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1" xfId="0" applyFill="1" applyBorder="1"/>
    <xf numFmtId="182" fontId="0" fillId="3" borderId="1" xfId="0" applyNumberFormat="1" applyFill="1" applyBorder="1" applyAlignment="1">
      <alignment horizontal="center"/>
    </xf>
    <xf numFmtId="0" fontId="1" fillId="3" borderId="1" xfId="0" applyFont="1" applyFill="1" applyBorder="1"/>
    <xf numFmtId="0" fontId="0" fillId="4" borderId="1" xfId="0" applyFill="1" applyBorder="1"/>
    <xf numFmtId="182" fontId="0" fillId="4" borderId="1" xfId="0" applyNumberFormat="1" applyFill="1" applyBorder="1" applyAlignment="1">
      <alignment horizontal="center"/>
    </xf>
    <xf numFmtId="0" fontId="2" fillId="3" borderId="1" xfId="0" applyFont="1" applyFill="1" applyBorder="1"/>
    <xf numFmtId="182" fontId="1" fillId="3" borderId="1" xfId="0" applyNumberFormat="1" applyFont="1" applyFill="1" applyBorder="1" applyAlignment="1">
      <alignment horizontal="center"/>
    </xf>
    <xf numFmtId="182" fontId="2" fillId="3" borderId="1" xfId="0" applyNumberFormat="1" applyFont="1" applyFill="1" applyBorder="1" applyAlignment="1">
      <alignment horizontal="center"/>
    </xf>
    <xf numFmtId="0" fontId="0" fillId="0" borderId="1" xfId="0" applyBorder="1"/>
    <xf numFmtId="182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0" fillId="0" borderId="0" xfId="0" applyFill="1" applyAlignment="1">
      <alignment horizontal="center" vertical="center"/>
    </xf>
    <xf numFmtId="18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82" fontId="0" fillId="0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182" fontId="0" fillId="5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3" borderId="2" xfId="0" applyFill="1" applyBorder="1"/>
    <xf numFmtId="182" fontId="0" fillId="0" borderId="1" xfId="0" applyNumberFormat="1" applyFill="1" applyBorder="1" applyAlignment="1">
      <alignment horizontal="center"/>
    </xf>
    <xf numFmtId="0" fontId="0" fillId="0" borderId="0" xfId="0" applyFill="1" applyBorder="1"/>
    <xf numFmtId="182" fontId="0" fillId="0" borderId="0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/>
    <xf numFmtId="182" fontId="0" fillId="0" borderId="3" xfId="0" applyNumberFormat="1" applyFill="1" applyBorder="1" applyAlignment="1">
      <alignment horizontal="center"/>
    </xf>
    <xf numFmtId="0" fontId="0" fillId="3" borderId="4" xfId="0" applyFill="1" applyBorder="1"/>
    <xf numFmtId="182" fontId="0" fillId="3" borderId="4" xfId="0" applyNumberForma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8" fillId="0" borderId="1" xfId="0" applyFont="1" applyFill="1" applyBorder="1"/>
    <xf numFmtId="0" fontId="8" fillId="0" borderId="0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182" fontId="0" fillId="0" borderId="5" xfId="0" applyNumberForma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182" fontId="9" fillId="7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82" fontId="9" fillId="7" borderId="3" xfId="0" applyNumberFormat="1" applyFont="1" applyFill="1" applyBorder="1" applyAlignment="1">
      <alignment horizontal="center" vertical="center"/>
    </xf>
    <xf numFmtId="182" fontId="9" fillId="0" borderId="0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82" fontId="9" fillId="7" borderId="0" xfId="0" applyNumberFormat="1" applyFont="1" applyFill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 applyProtection="1"/>
    <xf numFmtId="182" fontId="2" fillId="0" borderId="1" xfId="0" applyNumberFormat="1" applyFont="1" applyFill="1" applyBorder="1" applyAlignment="1">
      <alignment horizontal="center" vertical="center"/>
    </xf>
    <xf numFmtId="182" fontId="0" fillId="7" borderId="1" xfId="0" applyNumberFormat="1" applyFill="1" applyBorder="1" applyAlignment="1">
      <alignment horizontal="center"/>
    </xf>
    <xf numFmtId="0" fontId="0" fillId="0" borderId="0" xfId="0" applyAlignment="1"/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8" borderId="1" xfId="0" applyFont="1" applyFill="1" applyBorder="1"/>
    <xf numFmtId="0" fontId="3" fillId="8" borderId="1" xfId="0" applyFont="1" applyFill="1" applyBorder="1"/>
    <xf numFmtId="0" fontId="0" fillId="9" borderId="1" xfId="0" applyFill="1" applyBorder="1"/>
    <xf numFmtId="182" fontId="0" fillId="9" borderId="1" xfId="0" applyNumberFormat="1" applyFill="1" applyBorder="1" applyAlignment="1">
      <alignment horizontal="center"/>
    </xf>
    <xf numFmtId="182" fontId="2" fillId="9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4" fontId="0" fillId="0" borderId="0" xfId="0" applyNumberFormat="1" applyFill="1" applyBorder="1" applyAlignment="1"/>
    <xf numFmtId="0" fontId="0" fillId="0" borderId="0" xfId="0" applyFill="1" applyAlignment="1"/>
    <xf numFmtId="182" fontId="0" fillId="3" borderId="1" xfId="0" applyNumberFormat="1" applyFont="1" applyFill="1" applyBorder="1" applyAlignment="1">
      <alignment horizontal="center"/>
    </xf>
    <xf numFmtId="182" fontId="0" fillId="9" borderId="1" xfId="0" applyNumberFormat="1" applyFont="1" applyFill="1" applyBorder="1" applyAlignment="1">
      <alignment horizontal="center"/>
    </xf>
    <xf numFmtId="182" fontId="0" fillId="0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left"/>
    </xf>
    <xf numFmtId="182" fontId="2" fillId="10" borderId="1" xfId="0" applyNumberFormat="1" applyFont="1" applyFill="1" applyBorder="1" applyAlignment="1">
      <alignment horizontal="center"/>
    </xf>
    <xf numFmtId="182" fontId="0" fillId="11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11" borderId="1" xfId="0" applyFill="1" applyBorder="1"/>
    <xf numFmtId="182" fontId="0" fillId="12" borderId="1" xfId="0" applyNumberFormat="1" applyFill="1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/>
    <xf numFmtId="0" fontId="0" fillId="0" borderId="7" xfId="0" applyBorder="1" applyAlignment="1">
      <alignment horizontal="center"/>
    </xf>
    <xf numFmtId="0" fontId="0" fillId="0" borderId="6" xfId="0" applyFill="1" applyBorder="1"/>
    <xf numFmtId="0" fontId="0" fillId="0" borderId="6" xfId="0" applyFill="1" applyBorder="1" applyAlignment="1"/>
    <xf numFmtId="0" fontId="0" fillId="0" borderId="6" xfId="0" applyBorder="1"/>
    <xf numFmtId="0" fontId="0" fillId="0" borderId="7" xfId="0" applyFill="1" applyBorder="1"/>
    <xf numFmtId="0" fontId="0" fillId="0" borderId="7" xfId="0" applyFill="1" applyBorder="1" applyAlignment="1">
      <alignment horizontal="center"/>
    </xf>
    <xf numFmtId="0" fontId="0" fillId="0" borderId="6" xfId="0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/>
    <xf numFmtId="0" fontId="4" fillId="0" borderId="0" xfId="0" applyFont="1" applyFill="1"/>
    <xf numFmtId="182" fontId="0" fillId="0" borderId="0" xfId="0" applyNumberFormat="1" applyBorder="1" applyAlignment="1">
      <alignment horizontal="center"/>
    </xf>
    <xf numFmtId="0" fontId="0" fillId="0" borderId="0" xfId="0" applyBorder="1" applyAlignment="1"/>
    <xf numFmtId="2" fontId="12" fillId="0" borderId="0" xfId="0" applyNumberFormat="1" applyFont="1" applyFill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/>
    </xf>
    <xf numFmtId="182" fontId="0" fillId="0" borderId="1" xfId="0" applyNumberFormat="1" applyBorder="1" applyAlignment="1">
      <alignment horizontal="center" vertical="center"/>
    </xf>
    <xf numFmtId="0" fontId="13" fillId="0" borderId="1" xfId="0" applyFont="1" applyFill="1" applyBorder="1"/>
    <xf numFmtId="1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82" fontId="0" fillId="13" borderId="1" xfId="0" applyNumberFormat="1" applyFill="1" applyBorder="1" applyAlignment="1">
      <alignment horizontal="center"/>
    </xf>
    <xf numFmtId="0" fontId="19" fillId="3" borderId="1" xfId="0" applyFont="1" applyFill="1" applyBorder="1"/>
    <xf numFmtId="182" fontId="19" fillId="3" borderId="1" xfId="0" applyNumberFormat="1" applyFont="1" applyFill="1" applyBorder="1" applyAlignment="1">
      <alignment horizontal="center"/>
    </xf>
    <xf numFmtId="0" fontId="19" fillId="0" borderId="1" xfId="0" applyFont="1" applyFill="1" applyBorder="1"/>
    <xf numFmtId="182" fontId="19" fillId="0" borderId="1" xfId="0" applyNumberFormat="1" applyFont="1" applyFill="1" applyBorder="1" applyAlignment="1">
      <alignment horizontal="center"/>
    </xf>
    <xf numFmtId="0" fontId="0" fillId="0" borderId="8" xfId="0" applyFill="1" applyBorder="1" applyAlignment="1"/>
    <xf numFmtId="14" fontId="0" fillId="0" borderId="8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Alignment="1"/>
    <xf numFmtId="0" fontId="0" fillId="0" borderId="0" xfId="0" applyFill="1" applyBorder="1" applyAlignment="1">
      <alignment wrapText="1"/>
    </xf>
    <xf numFmtId="0" fontId="11" fillId="0" borderId="0" xfId="0" applyFont="1" applyFill="1" applyBorder="1" applyAlignment="1">
      <alignment vertical="center" wrapText="1"/>
    </xf>
    <xf numFmtId="14" fontId="4" fillId="0" borderId="0" xfId="0" applyNumberFormat="1" applyFont="1" applyFill="1" applyAlignment="1"/>
    <xf numFmtId="14" fontId="4" fillId="0" borderId="0" xfId="0" applyNumberFormat="1" applyFont="1" applyFill="1" applyBorder="1" applyAlignment="1"/>
    <xf numFmtId="0" fontId="4" fillId="0" borderId="0" xfId="0" applyFont="1" applyFill="1" applyBorder="1"/>
    <xf numFmtId="0" fontId="4" fillId="0" borderId="0" xfId="0" applyFont="1" applyAlignment="1"/>
    <xf numFmtId="0" fontId="4" fillId="0" borderId="0" xfId="0" applyFont="1" applyBorder="1" applyAlignment="1"/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right"/>
    </xf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82" fontId="0" fillId="0" borderId="3" xfId="0" applyNumberFormat="1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8" fillId="14" borderId="1" xfId="0" applyFont="1" applyFill="1" applyBorder="1"/>
    <xf numFmtId="182" fontId="0" fillId="14" borderId="1" xfId="0" applyNumberFormat="1" applyFont="1" applyFill="1" applyBorder="1" applyAlignment="1">
      <alignment horizontal="center"/>
    </xf>
    <xf numFmtId="182" fontId="0" fillId="8" borderId="1" xfId="0" applyNumberFormat="1" applyFont="1" applyFill="1" applyBorder="1" applyAlignment="1">
      <alignment horizontal="center"/>
    </xf>
    <xf numFmtId="182" fontId="0" fillId="8" borderId="1" xfId="0" applyNumberFormat="1" applyFill="1" applyBorder="1" applyAlignment="1">
      <alignment horizontal="center"/>
    </xf>
    <xf numFmtId="182" fontId="13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9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0" fillId="7" borderId="2" xfId="0" applyFont="1" applyFill="1" applyBorder="1" applyAlignment="1">
      <alignment horizontal="center" vertical="center"/>
    </xf>
    <xf numFmtId="182" fontId="0" fillId="11" borderId="2" xfId="0" applyNumberFormat="1" applyFill="1" applyBorder="1" applyAlignment="1">
      <alignment horizontal="center"/>
    </xf>
    <xf numFmtId="182" fontId="4" fillId="0" borderId="0" xfId="0" applyNumberFormat="1" applyFont="1"/>
    <xf numFmtId="0" fontId="0" fillId="12" borderId="0" xfId="0" applyFill="1" applyBorder="1"/>
    <xf numFmtId="0" fontId="0" fillId="12" borderId="1" xfId="0" applyFill="1" applyBorder="1"/>
    <xf numFmtId="0" fontId="2" fillId="9" borderId="1" xfId="0" applyFont="1" applyFill="1" applyBorder="1"/>
    <xf numFmtId="0" fontId="2" fillId="15" borderId="1" xfId="0" applyFont="1" applyFill="1" applyBorder="1"/>
    <xf numFmtId="182" fontId="0" fillId="15" borderId="1" xfId="0" applyNumberFormat="1" applyFill="1" applyBorder="1" applyAlignment="1">
      <alignment horizontal="center"/>
    </xf>
    <xf numFmtId="0" fontId="2" fillId="16" borderId="1" xfId="0" applyFont="1" applyFill="1" applyBorder="1"/>
    <xf numFmtId="182" fontId="0" fillId="16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2" fillId="15" borderId="3" xfId="0" applyFont="1" applyFill="1" applyBorder="1"/>
    <xf numFmtId="182" fontId="2" fillId="15" borderId="3" xfId="0" applyNumberFormat="1" applyFont="1" applyFill="1" applyBorder="1" applyAlignment="1">
      <alignment horizontal="center"/>
    </xf>
    <xf numFmtId="182" fontId="2" fillId="15" borderId="1" xfId="0" applyNumberFormat="1" applyFont="1" applyFill="1" applyBorder="1" applyAlignment="1">
      <alignment horizontal="center"/>
    </xf>
    <xf numFmtId="0" fontId="0" fillId="16" borderId="1" xfId="0" applyFill="1" applyBorder="1"/>
    <xf numFmtId="182" fontId="0" fillId="16" borderId="3" xfId="0" applyNumberFormat="1" applyFill="1" applyBorder="1" applyAlignment="1">
      <alignment horizontal="center"/>
    </xf>
    <xf numFmtId="182" fontId="2" fillId="15" borderId="1" xfId="0" applyNumberFormat="1" applyFont="1" applyFill="1" applyBorder="1" applyAlignment="1">
      <alignment horizontal="center" vertical="center"/>
    </xf>
    <xf numFmtId="0" fontId="0" fillId="0" borderId="2" xfId="0" applyBorder="1"/>
    <xf numFmtId="182" fontId="0" fillId="0" borderId="2" xfId="0" applyNumberFormat="1" applyBorder="1" applyAlignment="1">
      <alignment horizontal="center"/>
    </xf>
    <xf numFmtId="0" fontId="3" fillId="10" borderId="1" xfId="0" applyFont="1" applyFill="1" applyBorder="1"/>
    <xf numFmtId="187" fontId="0" fillId="0" borderId="1" xfId="0" applyNumberFormat="1" applyBorder="1" applyAlignment="1">
      <alignment horizontal="center"/>
    </xf>
    <xf numFmtId="182" fontId="15" fillId="0" borderId="1" xfId="0" applyNumberFormat="1" applyFont="1" applyFill="1" applyBorder="1" applyAlignment="1">
      <alignment horizontal="center" vertical="center"/>
    </xf>
    <xf numFmtId="182" fontId="1" fillId="10" borderId="1" xfId="0" applyNumberFormat="1" applyFont="1" applyFill="1" applyBorder="1" applyAlignment="1">
      <alignment horizontal="center"/>
    </xf>
    <xf numFmtId="182" fontId="0" fillId="10" borderId="1" xfId="0" applyNumberFormat="1" applyFill="1" applyBorder="1" applyAlignment="1">
      <alignment horizontal="center"/>
    </xf>
    <xf numFmtId="0" fontId="0" fillId="17" borderId="1" xfId="0" applyFill="1" applyBorder="1"/>
    <xf numFmtId="0" fontId="0" fillId="0" borderId="4" xfId="0" applyFill="1" applyBorder="1"/>
    <xf numFmtId="0" fontId="0" fillId="3" borderId="1" xfId="0" applyFont="1" applyFill="1" applyBorder="1"/>
    <xf numFmtId="0" fontId="0" fillId="11" borderId="1" xfId="0" applyFont="1" applyFill="1" applyBorder="1"/>
    <xf numFmtId="0" fontId="2" fillId="11" borderId="1" xfId="0" applyFont="1" applyFill="1" applyBorder="1"/>
    <xf numFmtId="0" fontId="4" fillId="10" borderId="0" xfId="0" applyFont="1" applyFill="1" applyAlignment="1"/>
    <xf numFmtId="182" fontId="0" fillId="18" borderId="1" xfId="0" applyNumberFormat="1" applyFill="1" applyBorder="1" applyAlignment="1">
      <alignment horizontal="center"/>
    </xf>
    <xf numFmtId="0" fontId="4" fillId="18" borderId="0" xfId="0" applyFont="1" applyFill="1" applyAlignment="1"/>
    <xf numFmtId="0" fontId="4" fillId="10" borderId="0" xfId="0" applyFont="1" applyFill="1" applyBorder="1" applyAlignment="1"/>
    <xf numFmtId="14" fontId="11" fillId="19" borderId="0" xfId="0" applyNumberFormat="1" applyFont="1" applyFill="1" applyBorder="1" applyAlignment="1"/>
    <xf numFmtId="0" fontId="0" fillId="14" borderId="1" xfId="0" applyFill="1" applyBorder="1"/>
    <xf numFmtId="0" fontId="0" fillId="20" borderId="1" xfId="0" applyFill="1" applyBorder="1"/>
    <xf numFmtId="0" fontId="0" fillId="21" borderId="1" xfId="0" applyFill="1" applyBorder="1"/>
    <xf numFmtId="182" fontId="0" fillId="21" borderId="1" xfId="0" applyNumberFormat="1" applyFill="1" applyBorder="1" applyAlignment="1">
      <alignment horizontal="center"/>
    </xf>
    <xf numFmtId="0" fontId="16" fillId="0" borderId="8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vertical="center" textRotation="90"/>
    </xf>
    <xf numFmtId="0" fontId="16" fillId="0" borderId="0" xfId="0" applyFont="1" applyFill="1" applyAlignment="1">
      <alignment horizontal="center" vertical="center"/>
    </xf>
    <xf numFmtId="0" fontId="16" fillId="0" borderId="8" xfId="0" applyFont="1" applyFill="1" applyBorder="1" applyAlignment="1"/>
    <xf numFmtId="0" fontId="16" fillId="0" borderId="0" xfId="0" applyFont="1" applyFill="1"/>
    <xf numFmtId="14" fontId="16" fillId="0" borderId="8" xfId="0" applyNumberFormat="1" applyFont="1" applyFill="1" applyBorder="1" applyAlignment="1"/>
    <xf numFmtId="0" fontId="20" fillId="0" borderId="0" xfId="0" applyFont="1" applyFill="1"/>
    <xf numFmtId="14" fontId="16" fillId="0" borderId="8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182" fontId="16" fillId="0" borderId="0" xfId="0" applyNumberFormat="1" applyFont="1" applyFill="1"/>
    <xf numFmtId="0" fontId="0" fillId="22" borderId="1" xfId="0" applyFill="1" applyBorder="1"/>
    <xf numFmtId="0" fontId="2" fillId="20" borderId="1" xfId="0" applyFont="1" applyFill="1" applyBorder="1"/>
    <xf numFmtId="182" fontId="0" fillId="21" borderId="2" xfId="0" applyNumberFormat="1" applyFill="1" applyBorder="1" applyAlignment="1">
      <alignment horizontal="center"/>
    </xf>
    <xf numFmtId="0" fontId="0" fillId="14" borderId="2" xfId="0" applyFill="1" applyBorder="1"/>
    <xf numFmtId="182" fontId="0" fillId="14" borderId="2" xfId="0" applyNumberFormat="1" applyFill="1" applyBorder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182" fontId="16" fillId="0" borderId="0" xfId="0" applyNumberFormat="1" applyFont="1" applyFill="1" applyBorder="1" applyAlignment="1">
      <alignment horizontal="center"/>
    </xf>
    <xf numFmtId="182" fontId="2" fillId="23" borderId="1" xfId="0" applyNumberFormat="1" applyFont="1" applyFill="1" applyBorder="1" applyAlignment="1">
      <alignment horizontal="center"/>
    </xf>
    <xf numFmtId="0" fontId="4" fillId="11" borderId="0" xfId="0" applyFont="1" applyFill="1" applyAlignment="1"/>
    <xf numFmtId="14" fontId="0" fillId="11" borderId="0" xfId="0" applyNumberFormat="1" applyFill="1" applyBorder="1" applyAlignment="1"/>
    <xf numFmtId="14" fontId="16" fillId="11" borderId="8" xfId="0" applyNumberFormat="1" applyFont="1" applyFill="1" applyBorder="1" applyAlignment="1"/>
    <xf numFmtId="0" fontId="4" fillId="11" borderId="0" xfId="0" applyFont="1" applyFill="1" applyBorder="1" applyAlignment="1"/>
    <xf numFmtId="0" fontId="16" fillId="11" borderId="8" xfId="0" applyFont="1" applyFill="1" applyBorder="1" applyAlignment="1"/>
    <xf numFmtId="182" fontId="21" fillId="24" borderId="1" xfId="0" applyNumberFormat="1" applyFont="1" applyFill="1" applyBorder="1" applyAlignment="1">
      <alignment horizontal="center"/>
    </xf>
    <xf numFmtId="0" fontId="4" fillId="24" borderId="0" xfId="0" applyFont="1" applyFill="1" applyAlignment="1"/>
    <xf numFmtId="182" fontId="22" fillId="24" borderId="1" xfId="0" applyNumberFormat="1" applyFont="1" applyFill="1" applyBorder="1" applyAlignment="1">
      <alignment horizontal="center"/>
    </xf>
    <xf numFmtId="182" fontId="21" fillId="23" borderId="1" xfId="0" applyNumberFormat="1" applyFont="1" applyFill="1" applyBorder="1" applyAlignment="1">
      <alignment horizontal="center"/>
    </xf>
    <xf numFmtId="182" fontId="4" fillId="0" borderId="0" xfId="0" applyNumberFormat="1" applyFont="1" applyFill="1" applyAlignment="1">
      <alignment horizontal="center"/>
    </xf>
    <xf numFmtId="182" fontId="0" fillId="25" borderId="1" xfId="0" applyNumberFormat="1" applyFill="1" applyBorder="1" applyAlignment="1">
      <alignment horizontal="center"/>
    </xf>
    <xf numFmtId="14" fontId="4" fillId="25" borderId="0" xfId="0" applyNumberFormat="1" applyFont="1" applyFill="1" applyBorder="1" applyAlignment="1"/>
    <xf numFmtId="0" fontId="4" fillId="25" borderId="0" xfId="0" applyFont="1" applyFill="1" applyAlignment="1"/>
    <xf numFmtId="0" fontId="0" fillId="25" borderId="1" xfId="0" applyFill="1" applyBorder="1"/>
    <xf numFmtId="0" fontId="0" fillId="25" borderId="4" xfId="0" applyFill="1" applyBorder="1"/>
    <xf numFmtId="182" fontId="0" fillId="26" borderId="1" xfId="0" applyNumberFormat="1" applyFill="1" applyBorder="1" applyAlignment="1">
      <alignment horizontal="center"/>
    </xf>
    <xf numFmtId="0" fontId="0" fillId="10" borderId="0" xfId="0" applyFill="1"/>
    <xf numFmtId="0" fontId="0" fillId="27" borderId="1" xfId="0" applyFill="1" applyBorder="1"/>
    <xf numFmtId="0" fontId="4" fillId="27" borderId="0" xfId="0" applyFont="1" applyFill="1" applyBorder="1"/>
    <xf numFmtId="182" fontId="23" fillId="26" borderId="1" xfId="0" applyNumberFormat="1" applyFont="1" applyFill="1" applyBorder="1" applyAlignment="1">
      <alignment horizontal="center" vertical="center"/>
    </xf>
    <xf numFmtId="182" fontId="23" fillId="26" borderId="1" xfId="0" applyNumberFormat="1" applyFont="1" applyFill="1" applyBorder="1" applyAlignment="1">
      <alignment horizontal="center"/>
    </xf>
    <xf numFmtId="182" fontId="24" fillId="2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textRotation="90" wrapText="1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14" fontId="4" fillId="26" borderId="0" xfId="0" applyNumberFormat="1" applyFont="1" applyFill="1" applyBorder="1" applyAlignment="1">
      <alignment horizontal="center" vertical="center" wrapText="1"/>
    </xf>
    <xf numFmtId="0" fontId="4" fillId="26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7" fillId="26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466C-E7F1-458C-A10F-5DECF6E08B25}">
  <sheetPr codeName="Лист1"/>
  <dimension ref="A1:F27"/>
  <sheetViews>
    <sheetView tabSelected="1" workbookViewId="0">
      <selection activeCell="AD34" sqref="AD34"/>
    </sheetView>
  </sheetViews>
  <sheetFormatPr defaultRowHeight="12.75" x14ac:dyDescent="0.2"/>
  <cols>
    <col min="2" max="2" width="10" customWidth="1"/>
  </cols>
  <sheetData>
    <row r="1" spans="1:6" x14ac:dyDescent="0.2">
      <c r="B1" s="25" t="s">
        <v>0</v>
      </c>
      <c r="C1" s="26" t="s">
        <v>1</v>
      </c>
      <c r="D1" s="26" t="s">
        <v>2</v>
      </c>
    </row>
    <row r="2" spans="1:6" x14ac:dyDescent="0.2">
      <c r="A2">
        <v>1</v>
      </c>
      <c r="B2" s="5" t="s">
        <v>75</v>
      </c>
      <c r="C2">
        <v>1.1399999999999999</v>
      </c>
      <c r="D2">
        <v>0.4</v>
      </c>
      <c r="E2" s="5" t="s">
        <v>94</v>
      </c>
      <c r="F2" s="241" t="s">
        <v>403</v>
      </c>
    </row>
    <row r="3" spans="1:6" x14ac:dyDescent="0.2">
      <c r="A3">
        <v>2</v>
      </c>
      <c r="B3" s="5" t="s">
        <v>76</v>
      </c>
      <c r="C3">
        <v>0.83</v>
      </c>
      <c r="D3">
        <v>0.4</v>
      </c>
      <c r="E3" s="5" t="s">
        <v>95</v>
      </c>
      <c r="F3" s="241"/>
    </row>
    <row r="4" spans="1:6" x14ac:dyDescent="0.2">
      <c r="A4">
        <v>3</v>
      </c>
      <c r="B4" s="5" t="s">
        <v>77</v>
      </c>
      <c r="C4">
        <v>0.57599999999999996</v>
      </c>
      <c r="D4">
        <v>0.4</v>
      </c>
      <c r="E4" s="5" t="s">
        <v>96</v>
      </c>
      <c r="F4" s="241"/>
    </row>
    <row r="5" spans="1:6" x14ac:dyDescent="0.2">
      <c r="A5">
        <v>4</v>
      </c>
      <c r="B5" s="5" t="s">
        <v>78</v>
      </c>
      <c r="C5">
        <v>0.41199999999999998</v>
      </c>
      <c r="D5">
        <v>0.4</v>
      </c>
      <c r="E5" s="5" t="s">
        <v>97</v>
      </c>
      <c r="F5" s="241"/>
    </row>
    <row r="6" spans="1:6" x14ac:dyDescent="0.2">
      <c r="A6">
        <v>5</v>
      </c>
      <c r="B6" s="5" t="s">
        <v>79</v>
      </c>
      <c r="C6">
        <v>0.308</v>
      </c>
      <c r="D6">
        <v>0.4</v>
      </c>
      <c r="E6" s="5" t="s">
        <v>98</v>
      </c>
      <c r="F6" s="241"/>
    </row>
    <row r="7" spans="1:6" x14ac:dyDescent="0.2">
      <c r="A7">
        <v>6</v>
      </c>
      <c r="B7" s="5" t="s">
        <v>80</v>
      </c>
      <c r="C7">
        <v>0.246</v>
      </c>
      <c r="D7">
        <v>0.4</v>
      </c>
      <c r="E7" s="5" t="s">
        <v>99</v>
      </c>
      <c r="F7" s="241"/>
    </row>
    <row r="8" spans="1:6" x14ac:dyDescent="0.2">
      <c r="A8">
        <v>7</v>
      </c>
      <c r="B8" s="5" t="s">
        <v>81</v>
      </c>
      <c r="C8">
        <v>0.19400000000000001</v>
      </c>
      <c r="D8">
        <v>0.4</v>
      </c>
      <c r="E8" s="5" t="s">
        <v>100</v>
      </c>
      <c r="F8" s="241"/>
    </row>
    <row r="9" spans="1:6" x14ac:dyDescent="0.2">
      <c r="A9">
        <v>8</v>
      </c>
      <c r="B9" s="5" t="s">
        <v>82</v>
      </c>
      <c r="C9">
        <v>0.17</v>
      </c>
      <c r="D9">
        <v>0.4</v>
      </c>
      <c r="E9" s="5" t="s">
        <v>101</v>
      </c>
      <c r="F9" s="241"/>
    </row>
    <row r="10" spans="1:6" x14ac:dyDescent="0.2">
      <c r="A10">
        <v>9</v>
      </c>
      <c r="B10" s="5" t="s">
        <v>83</v>
      </c>
      <c r="C10">
        <v>0.13100000000000001</v>
      </c>
      <c r="D10">
        <v>0.4</v>
      </c>
      <c r="E10" s="5" t="s">
        <v>102</v>
      </c>
      <c r="F10" s="241"/>
    </row>
    <row r="11" spans="1:6" x14ac:dyDescent="0.2">
      <c r="A11">
        <v>10</v>
      </c>
      <c r="B11" s="5" t="s">
        <v>84</v>
      </c>
      <c r="C11">
        <v>1.1459999999999999</v>
      </c>
      <c r="D11">
        <v>0.4</v>
      </c>
      <c r="E11" s="5" t="s">
        <v>103</v>
      </c>
      <c r="F11" s="241"/>
    </row>
    <row r="12" spans="1:6" x14ac:dyDescent="0.2">
      <c r="A12">
        <v>11</v>
      </c>
      <c r="B12" s="5" t="s">
        <v>85</v>
      </c>
      <c r="C12">
        <v>0.77300000000000002</v>
      </c>
      <c r="D12">
        <v>0.4</v>
      </c>
      <c r="E12" s="5" t="s">
        <v>104</v>
      </c>
      <c r="F12" s="241"/>
    </row>
    <row r="13" spans="1:6" x14ac:dyDescent="0.2">
      <c r="A13">
        <v>12</v>
      </c>
      <c r="B13" s="5" t="s">
        <v>86</v>
      </c>
      <c r="C13">
        <v>0.59199999999999997</v>
      </c>
      <c r="D13">
        <v>0.4</v>
      </c>
      <c r="E13" s="5" t="s">
        <v>105</v>
      </c>
      <c r="F13" s="241"/>
    </row>
    <row r="14" spans="1:6" x14ac:dyDescent="0.2">
      <c r="A14">
        <v>13</v>
      </c>
      <c r="B14" s="5" t="s">
        <v>87</v>
      </c>
      <c r="C14">
        <v>0.42</v>
      </c>
      <c r="D14">
        <v>0.4</v>
      </c>
      <c r="E14" s="5" t="s">
        <v>106</v>
      </c>
      <c r="F14" s="241"/>
    </row>
    <row r="15" spans="1:6" x14ac:dyDescent="0.2">
      <c r="A15">
        <v>14</v>
      </c>
      <c r="B15" s="5" t="s">
        <v>88</v>
      </c>
      <c r="C15">
        <v>0.314</v>
      </c>
      <c r="D15">
        <v>0.4</v>
      </c>
      <c r="E15" s="5" t="s">
        <v>107</v>
      </c>
      <c r="F15" s="241"/>
    </row>
    <row r="16" spans="1:6" x14ac:dyDescent="0.2">
      <c r="A16">
        <v>15</v>
      </c>
      <c r="B16" s="5" t="s">
        <v>89</v>
      </c>
      <c r="C16">
        <v>0.249</v>
      </c>
      <c r="D16">
        <v>0.4</v>
      </c>
      <c r="E16" s="5" t="s">
        <v>108</v>
      </c>
      <c r="F16" s="241"/>
    </row>
    <row r="17" spans="1:6" x14ac:dyDescent="0.2">
      <c r="A17">
        <v>16</v>
      </c>
      <c r="B17" s="5" t="s">
        <v>90</v>
      </c>
      <c r="C17">
        <v>0.19500000000000001</v>
      </c>
      <c r="D17">
        <v>0.4</v>
      </c>
      <c r="E17" s="5" t="s">
        <v>109</v>
      </c>
      <c r="F17" s="241"/>
    </row>
    <row r="18" spans="1:6" x14ac:dyDescent="0.2">
      <c r="A18">
        <v>17</v>
      </c>
      <c r="B18" s="5" t="s">
        <v>91</v>
      </c>
      <c r="C18">
        <v>0.159</v>
      </c>
      <c r="D18">
        <v>0.4</v>
      </c>
      <c r="E18" s="5" t="s">
        <v>110</v>
      </c>
      <c r="F18" s="241"/>
    </row>
    <row r="19" spans="1:6" x14ac:dyDescent="0.2">
      <c r="A19">
        <v>18</v>
      </c>
      <c r="B19" s="5" t="s">
        <v>92</v>
      </c>
      <c r="C19">
        <v>0.13100000000000001</v>
      </c>
      <c r="D19">
        <v>0.4</v>
      </c>
      <c r="E19" s="5" t="s">
        <v>111</v>
      </c>
      <c r="F19" s="241"/>
    </row>
    <row r="20" spans="1:6" x14ac:dyDescent="0.2">
      <c r="A20">
        <v>19</v>
      </c>
      <c r="B20" s="5" t="s">
        <v>391</v>
      </c>
      <c r="C20">
        <v>7.2999999999999995E-2</v>
      </c>
      <c r="D20">
        <v>0.4</v>
      </c>
      <c r="E20" s="5" t="s">
        <v>392</v>
      </c>
      <c r="F20" s="241"/>
    </row>
    <row r="21" spans="1:6" x14ac:dyDescent="0.2">
      <c r="A21">
        <v>20</v>
      </c>
      <c r="B21" s="5" t="s">
        <v>93</v>
      </c>
      <c r="C21">
        <v>0.06</v>
      </c>
      <c r="D21">
        <v>0.4</v>
      </c>
      <c r="E21" s="5" t="s">
        <v>112</v>
      </c>
      <c r="F21" s="241"/>
    </row>
    <row r="22" spans="1:6" x14ac:dyDescent="0.2">
      <c r="A22">
        <v>21</v>
      </c>
      <c r="B22" s="5" t="s">
        <v>379</v>
      </c>
      <c r="C22" s="4">
        <v>0.72</v>
      </c>
      <c r="D22">
        <v>0.29899999999999999</v>
      </c>
      <c r="E22" s="24"/>
      <c r="F22" s="241" t="s">
        <v>378</v>
      </c>
    </row>
    <row r="23" spans="1:6" x14ac:dyDescent="0.2">
      <c r="A23">
        <v>22</v>
      </c>
      <c r="B23" s="5" t="s">
        <v>380</v>
      </c>
      <c r="C23" s="4">
        <v>0.49299999999999999</v>
      </c>
      <c r="D23">
        <v>0.29099999999999998</v>
      </c>
      <c r="F23" s="241"/>
    </row>
    <row r="24" spans="1:6" x14ac:dyDescent="0.2">
      <c r="A24">
        <v>23</v>
      </c>
      <c r="B24" s="5" t="s">
        <v>381</v>
      </c>
      <c r="C24" s="4">
        <v>0.36299999999999999</v>
      </c>
      <c r="D24">
        <v>0.28399999999999997</v>
      </c>
      <c r="F24" s="241"/>
    </row>
    <row r="25" spans="1:6" x14ac:dyDescent="0.2">
      <c r="A25">
        <v>24</v>
      </c>
      <c r="B25" s="5" t="s">
        <v>382</v>
      </c>
      <c r="C25" s="4">
        <v>0.28799999999999998</v>
      </c>
      <c r="D25">
        <v>0.27800000000000002</v>
      </c>
      <c r="F25" s="241"/>
    </row>
    <row r="26" spans="1:6" x14ac:dyDescent="0.2">
      <c r="A26">
        <v>25</v>
      </c>
      <c r="B26" s="5" t="s">
        <v>383</v>
      </c>
      <c r="C26" s="4">
        <v>0.23599999999999999</v>
      </c>
      <c r="D26">
        <v>0.27300000000000002</v>
      </c>
      <c r="F26" s="241"/>
    </row>
    <row r="27" spans="1:6" x14ac:dyDescent="0.2">
      <c r="A27">
        <v>26</v>
      </c>
      <c r="C27" s="63"/>
      <c r="D27" s="63"/>
    </row>
  </sheetData>
  <mergeCells count="2">
    <mergeCell ref="F2:F21"/>
    <mergeCell ref="F22:F26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87C7-8B15-49E6-8F80-0E1ABE0B5202}">
  <sheetPr codeName="Лист2"/>
  <dimension ref="A1:K82"/>
  <sheetViews>
    <sheetView tabSelected="1" workbookViewId="0">
      <selection activeCell="AD34" sqref="AD34"/>
    </sheetView>
  </sheetViews>
  <sheetFormatPr defaultRowHeight="12.75" x14ac:dyDescent="0.2"/>
  <cols>
    <col min="1" max="1" width="5.42578125" style="1" customWidth="1"/>
    <col min="2" max="2" width="23.7109375" customWidth="1"/>
    <col min="3" max="4" width="9.140625" style="4"/>
    <col min="5" max="5" width="17.28515625" customWidth="1"/>
  </cols>
  <sheetData>
    <row r="1" spans="1:6" x14ac:dyDescent="0.2">
      <c r="B1" s="31" t="s">
        <v>0</v>
      </c>
      <c r="C1" s="32" t="s">
        <v>1</v>
      </c>
      <c r="D1" s="32" t="s">
        <v>2</v>
      </c>
    </row>
    <row r="2" spans="1:6" x14ac:dyDescent="0.2">
      <c r="A2" s="1">
        <v>1</v>
      </c>
      <c r="B2" s="6" t="s">
        <v>113</v>
      </c>
      <c r="C2" s="3">
        <v>3.1</v>
      </c>
      <c r="D2" s="3">
        <v>0.11</v>
      </c>
      <c r="E2" s="6" t="s">
        <v>179</v>
      </c>
      <c r="F2" s="2"/>
    </row>
    <row r="3" spans="1:6" x14ac:dyDescent="0.2">
      <c r="A3" s="1">
        <v>2</v>
      </c>
      <c r="B3" s="6" t="s">
        <v>114</v>
      </c>
      <c r="C3" s="3">
        <v>1.94</v>
      </c>
      <c r="D3" s="3">
        <v>0.10199999999999999</v>
      </c>
      <c r="E3" s="6" t="s">
        <v>180</v>
      </c>
      <c r="F3" s="2"/>
    </row>
    <row r="4" spans="1:6" x14ac:dyDescent="0.2">
      <c r="A4" s="1">
        <v>3</v>
      </c>
      <c r="B4" s="6" t="s">
        <v>115</v>
      </c>
      <c r="C4" s="3">
        <v>1.24</v>
      </c>
      <c r="D4" s="3">
        <v>9.5000000000000001E-2</v>
      </c>
      <c r="E4" s="6" t="s">
        <v>181</v>
      </c>
      <c r="F4" s="2"/>
    </row>
    <row r="5" spans="1:6" x14ac:dyDescent="0.2">
      <c r="A5" s="1">
        <v>4</v>
      </c>
      <c r="B5" s="6" t="s">
        <v>116</v>
      </c>
      <c r="C5" s="3">
        <v>0.89</v>
      </c>
      <c r="D5" s="3">
        <v>8.6999999999999994E-2</v>
      </c>
      <c r="E5" s="6" t="s">
        <v>182</v>
      </c>
      <c r="F5" s="2"/>
    </row>
    <row r="6" spans="1:6" x14ac:dyDescent="0.2">
      <c r="A6" s="1">
        <v>5</v>
      </c>
      <c r="B6" s="6" t="s">
        <v>117</v>
      </c>
      <c r="C6" s="3">
        <v>0.62</v>
      </c>
      <c r="D6" s="3">
        <v>8.3000000000000004E-2</v>
      </c>
      <c r="E6" s="6" t="s">
        <v>183</v>
      </c>
      <c r="F6" s="2"/>
    </row>
    <row r="7" spans="1:6" x14ac:dyDescent="0.2">
      <c r="A7" s="1">
        <v>6</v>
      </c>
      <c r="B7" s="6" t="s">
        <v>118</v>
      </c>
      <c r="C7" s="3">
        <v>0.443</v>
      </c>
      <c r="D7" s="3">
        <v>7.8E-2</v>
      </c>
      <c r="E7" s="6" t="s">
        <v>184</v>
      </c>
      <c r="F7" s="2"/>
    </row>
    <row r="8" spans="1:6" x14ac:dyDescent="0.2">
      <c r="A8" s="1">
        <v>7</v>
      </c>
      <c r="B8" s="6" t="s">
        <v>119</v>
      </c>
      <c r="C8" s="3">
        <v>0.32600000000000001</v>
      </c>
      <c r="D8" s="3">
        <v>7.8E-2</v>
      </c>
      <c r="E8" s="6" t="s">
        <v>185</v>
      </c>
      <c r="F8" s="2"/>
    </row>
    <row r="9" spans="1:6" x14ac:dyDescent="0.2">
      <c r="A9" s="1">
        <v>8</v>
      </c>
      <c r="B9" s="6" t="s">
        <v>120</v>
      </c>
      <c r="C9" s="3">
        <v>0.25800000000000001</v>
      </c>
      <c r="D9" s="3">
        <v>7.5999999999999998E-2</v>
      </c>
      <c r="E9" s="6" t="s">
        <v>186</v>
      </c>
      <c r="F9" s="2"/>
    </row>
    <row r="10" spans="1:6" x14ac:dyDescent="0.2">
      <c r="A10" s="1">
        <v>9</v>
      </c>
      <c r="B10" s="6" t="s">
        <v>121</v>
      </c>
      <c r="C10" s="3">
        <v>0.20599999999999999</v>
      </c>
      <c r="D10" s="3">
        <v>7.3999999999999996E-2</v>
      </c>
      <c r="E10" s="6" t="s">
        <v>187</v>
      </c>
      <c r="F10" s="2"/>
    </row>
    <row r="11" spans="1:6" x14ac:dyDescent="0.2">
      <c r="A11" s="1">
        <v>10</v>
      </c>
      <c r="B11" s="6" t="s">
        <v>122</v>
      </c>
      <c r="C11" s="3">
        <v>0.16700000000000001</v>
      </c>
      <c r="D11" s="3">
        <v>7.2999999999999995E-2</v>
      </c>
      <c r="E11" s="6" t="s">
        <v>188</v>
      </c>
      <c r="F11" s="2"/>
    </row>
    <row r="12" spans="1:6" x14ac:dyDescent="0.2">
      <c r="A12" s="1">
        <v>11</v>
      </c>
      <c r="B12" s="6" t="s">
        <v>123</v>
      </c>
      <c r="C12" s="3">
        <v>0.129</v>
      </c>
      <c r="D12" s="3">
        <v>7.0999999999999994E-2</v>
      </c>
      <c r="E12" s="6" t="s">
        <v>189</v>
      </c>
      <c r="F12" s="2"/>
    </row>
    <row r="13" spans="1:6" x14ac:dyDescent="0.2">
      <c r="A13" s="1">
        <v>12</v>
      </c>
      <c r="B13" s="6" t="s">
        <v>124</v>
      </c>
      <c r="C13" s="3">
        <v>1.84</v>
      </c>
      <c r="D13" s="3">
        <v>0.11</v>
      </c>
      <c r="E13" s="6" t="s">
        <v>190</v>
      </c>
      <c r="F13" s="2"/>
    </row>
    <row r="14" spans="1:6" x14ac:dyDescent="0.2">
      <c r="A14" s="1">
        <v>13</v>
      </c>
      <c r="B14" s="6" t="s">
        <v>125</v>
      </c>
      <c r="C14" s="3">
        <v>1.1499999999999999</v>
      </c>
      <c r="D14" s="3">
        <v>0.10199999999999999</v>
      </c>
      <c r="E14" s="6" t="s">
        <v>191</v>
      </c>
      <c r="F14" s="2"/>
    </row>
    <row r="15" spans="1:6" x14ac:dyDescent="0.2">
      <c r="A15" s="1">
        <v>14</v>
      </c>
      <c r="B15" s="6" t="s">
        <v>126</v>
      </c>
      <c r="C15" s="3">
        <v>0.74</v>
      </c>
      <c r="D15" s="3">
        <v>9.0999999999999998E-2</v>
      </c>
      <c r="E15" s="6" t="s">
        <v>192</v>
      </c>
      <c r="F15" s="2"/>
    </row>
    <row r="16" spans="1:6" x14ac:dyDescent="0.2">
      <c r="A16" s="1">
        <v>15</v>
      </c>
      <c r="B16" s="6" t="s">
        <v>127</v>
      </c>
      <c r="C16" s="3">
        <v>0.52</v>
      </c>
      <c r="D16" s="3">
        <v>8.6999999999999994E-2</v>
      </c>
      <c r="E16" s="6" t="s">
        <v>193</v>
      </c>
      <c r="F16" s="2"/>
    </row>
    <row r="17" spans="1:11" x14ac:dyDescent="0.2">
      <c r="A17" s="1">
        <v>16</v>
      </c>
      <c r="B17" s="6" t="s">
        <v>128</v>
      </c>
      <c r="C17" s="3">
        <v>0.37</v>
      </c>
      <c r="D17" s="3">
        <v>8.3000000000000004E-2</v>
      </c>
      <c r="E17" s="6" t="s">
        <v>194</v>
      </c>
      <c r="F17" s="2"/>
    </row>
    <row r="18" spans="1:11" x14ac:dyDescent="0.2">
      <c r="A18" s="1">
        <v>17</v>
      </c>
      <c r="B18" s="6" t="s">
        <v>129</v>
      </c>
      <c r="C18" s="3">
        <v>0.26</v>
      </c>
      <c r="D18" s="3">
        <v>0.08</v>
      </c>
      <c r="E18" s="6" t="s">
        <v>195</v>
      </c>
      <c r="F18" s="2" t="s">
        <v>23</v>
      </c>
    </row>
    <row r="19" spans="1:11" x14ac:dyDescent="0.2">
      <c r="A19" s="1">
        <v>18</v>
      </c>
      <c r="B19" s="6" t="s">
        <v>130</v>
      </c>
      <c r="C19" s="3">
        <v>0.19400000000000001</v>
      </c>
      <c r="D19" s="3">
        <v>7.8E-2</v>
      </c>
      <c r="E19" s="6" t="s">
        <v>196</v>
      </c>
      <c r="F19" s="2"/>
    </row>
    <row r="20" spans="1:11" x14ac:dyDescent="0.2">
      <c r="A20" s="1">
        <v>19</v>
      </c>
      <c r="B20" s="6" t="s">
        <v>131</v>
      </c>
      <c r="C20" s="3">
        <v>0.153</v>
      </c>
      <c r="D20" s="3">
        <v>7.5999999999999998E-2</v>
      </c>
      <c r="E20" s="6" t="s">
        <v>197</v>
      </c>
      <c r="F20" s="2"/>
    </row>
    <row r="21" spans="1:11" x14ac:dyDescent="0.2">
      <c r="A21" s="1">
        <v>20</v>
      </c>
      <c r="B21" s="6" t="s">
        <v>132</v>
      </c>
      <c r="C21" s="3">
        <v>0.122</v>
      </c>
      <c r="D21" s="3">
        <v>7.3999999999999996E-2</v>
      </c>
      <c r="E21" s="6" t="s">
        <v>198</v>
      </c>
      <c r="F21" s="2"/>
    </row>
    <row r="22" spans="1:11" x14ac:dyDescent="0.2">
      <c r="A22" s="1">
        <v>21</v>
      </c>
      <c r="B22" s="6" t="s">
        <v>133</v>
      </c>
      <c r="C22" s="3">
        <v>9.9000000000000005E-2</v>
      </c>
      <c r="D22" s="3">
        <v>7.2999999999999995E-2</v>
      </c>
      <c r="E22" s="6" t="s">
        <v>199</v>
      </c>
      <c r="F22" s="2"/>
    </row>
    <row r="23" spans="1:11" x14ac:dyDescent="0.2">
      <c r="A23" s="1">
        <v>22</v>
      </c>
      <c r="B23" s="6" t="s">
        <v>134</v>
      </c>
      <c r="C23" s="3">
        <v>7.6999999999999999E-2</v>
      </c>
      <c r="D23" s="3">
        <v>7.0999999999999994E-2</v>
      </c>
      <c r="E23" s="6" t="s">
        <v>200</v>
      </c>
      <c r="F23" s="2"/>
    </row>
    <row r="24" spans="1:11" x14ac:dyDescent="0.2">
      <c r="A24" s="1">
        <v>23</v>
      </c>
      <c r="B24" s="6" t="s">
        <v>140</v>
      </c>
      <c r="C24" s="18">
        <f>C2/2</f>
        <v>1.55</v>
      </c>
      <c r="D24" s="18">
        <f>D2/2</f>
        <v>5.5E-2</v>
      </c>
      <c r="E24" s="6" t="s">
        <v>201</v>
      </c>
      <c r="H24" s="27"/>
      <c r="I24" s="28"/>
      <c r="J24" s="28"/>
      <c r="K24" s="27"/>
    </row>
    <row r="25" spans="1:11" x14ac:dyDescent="0.2">
      <c r="A25" s="1">
        <v>24</v>
      </c>
      <c r="B25" s="6" t="s">
        <v>141</v>
      </c>
      <c r="C25" s="18">
        <f t="shared" ref="C25:D45" si="0">C3/2</f>
        <v>0.97</v>
      </c>
      <c r="D25" s="18">
        <f t="shared" si="0"/>
        <v>5.0999999999999997E-2</v>
      </c>
      <c r="E25" s="6" t="s">
        <v>202</v>
      </c>
      <c r="H25" s="27"/>
      <c r="I25" s="28"/>
      <c r="J25" s="28"/>
      <c r="K25" s="27"/>
    </row>
    <row r="26" spans="1:11" x14ac:dyDescent="0.2">
      <c r="A26" s="1">
        <v>25</v>
      </c>
      <c r="B26" s="6" t="s">
        <v>142</v>
      </c>
      <c r="C26" s="18">
        <f t="shared" si="0"/>
        <v>0.62</v>
      </c>
      <c r="D26" s="18">
        <f t="shared" si="0"/>
        <v>4.7500000000000001E-2</v>
      </c>
      <c r="E26" s="6" t="s">
        <v>203</v>
      </c>
      <c r="H26" s="27"/>
      <c r="I26" s="28"/>
      <c r="J26" s="28"/>
      <c r="K26" s="27"/>
    </row>
    <row r="27" spans="1:11" x14ac:dyDescent="0.2">
      <c r="A27" s="1">
        <v>26</v>
      </c>
      <c r="B27" s="6" t="s">
        <v>143</v>
      </c>
      <c r="C27" s="18">
        <f t="shared" si="0"/>
        <v>0.44500000000000001</v>
      </c>
      <c r="D27" s="18">
        <f t="shared" si="0"/>
        <v>4.3499999999999997E-2</v>
      </c>
      <c r="E27" s="6" t="s">
        <v>204</v>
      </c>
      <c r="F27" t="s">
        <v>23</v>
      </c>
      <c r="H27" s="27"/>
      <c r="I27" s="28"/>
      <c r="J27" s="28"/>
      <c r="K27" s="27"/>
    </row>
    <row r="28" spans="1:11" x14ac:dyDescent="0.2">
      <c r="A28" s="1">
        <v>27</v>
      </c>
      <c r="B28" s="6" t="s">
        <v>144</v>
      </c>
      <c r="C28" s="18">
        <f t="shared" si="0"/>
        <v>0.31</v>
      </c>
      <c r="D28" s="18">
        <f t="shared" si="0"/>
        <v>4.1500000000000002E-2</v>
      </c>
      <c r="E28" s="6" t="s">
        <v>205</v>
      </c>
      <c r="H28" s="27"/>
      <c r="I28" s="28"/>
      <c r="J28" s="28"/>
      <c r="K28" s="27"/>
    </row>
    <row r="29" spans="1:11" x14ac:dyDescent="0.2">
      <c r="A29" s="1">
        <v>28</v>
      </c>
      <c r="B29" s="6" t="s">
        <v>139</v>
      </c>
      <c r="C29" s="18">
        <f t="shared" si="0"/>
        <v>0.2215</v>
      </c>
      <c r="D29" s="18">
        <f t="shared" si="0"/>
        <v>3.9E-2</v>
      </c>
      <c r="E29" s="6" t="s">
        <v>206</v>
      </c>
      <c r="H29" s="27"/>
      <c r="I29" s="28"/>
      <c r="J29" s="28"/>
      <c r="K29" s="27"/>
    </row>
    <row r="30" spans="1:11" x14ac:dyDescent="0.2">
      <c r="A30" s="1">
        <v>29</v>
      </c>
      <c r="B30" s="6" t="s">
        <v>145</v>
      </c>
      <c r="C30" s="18">
        <f t="shared" si="0"/>
        <v>0.16300000000000001</v>
      </c>
      <c r="D30" s="18">
        <f t="shared" si="0"/>
        <v>3.9E-2</v>
      </c>
      <c r="E30" s="6" t="s">
        <v>207</v>
      </c>
      <c r="H30" s="27"/>
      <c r="I30" s="28"/>
      <c r="J30" s="28"/>
      <c r="K30" s="27"/>
    </row>
    <row r="31" spans="1:11" x14ac:dyDescent="0.2">
      <c r="A31" s="1">
        <v>30</v>
      </c>
      <c r="B31" s="6" t="s">
        <v>137</v>
      </c>
      <c r="C31" s="18">
        <f t="shared" si="0"/>
        <v>0.129</v>
      </c>
      <c r="D31" s="18">
        <f t="shared" si="0"/>
        <v>3.7999999999999999E-2</v>
      </c>
      <c r="E31" s="6" t="s">
        <v>208</v>
      </c>
      <c r="H31" s="27"/>
      <c r="I31" s="28"/>
      <c r="J31" s="28"/>
      <c r="K31" s="27"/>
    </row>
    <row r="32" spans="1:11" x14ac:dyDescent="0.2">
      <c r="A32" s="1">
        <v>31</v>
      </c>
      <c r="B32" s="6" t="s">
        <v>138</v>
      </c>
      <c r="C32" s="18">
        <f t="shared" si="0"/>
        <v>0.10299999999999999</v>
      </c>
      <c r="D32" s="18">
        <f t="shared" si="0"/>
        <v>3.6999999999999998E-2</v>
      </c>
      <c r="E32" s="6" t="s">
        <v>209</v>
      </c>
      <c r="F32" s="2"/>
      <c r="H32" s="27"/>
      <c r="I32" s="28"/>
      <c r="J32" s="28"/>
      <c r="K32" s="27"/>
    </row>
    <row r="33" spans="1:11" x14ac:dyDescent="0.2">
      <c r="A33" s="1">
        <v>32</v>
      </c>
      <c r="B33" s="6" t="s">
        <v>146</v>
      </c>
      <c r="C33" s="18">
        <f t="shared" si="0"/>
        <v>8.3500000000000005E-2</v>
      </c>
      <c r="D33" s="18">
        <f t="shared" si="0"/>
        <v>3.6499999999999998E-2</v>
      </c>
      <c r="E33" s="6" t="s">
        <v>210</v>
      </c>
      <c r="H33" s="27"/>
      <c r="I33" s="28"/>
      <c r="J33" s="28"/>
      <c r="K33" s="27"/>
    </row>
    <row r="34" spans="1:11" x14ac:dyDescent="0.2">
      <c r="A34" s="1">
        <v>33</v>
      </c>
      <c r="B34" s="6" t="s">
        <v>136</v>
      </c>
      <c r="C34" s="18">
        <f t="shared" si="0"/>
        <v>6.4500000000000002E-2</v>
      </c>
      <c r="D34" s="18">
        <f t="shared" si="0"/>
        <v>3.5499999999999997E-2</v>
      </c>
      <c r="E34" s="6" t="s">
        <v>211</v>
      </c>
      <c r="H34" s="27"/>
      <c r="I34" s="28"/>
      <c r="J34" s="28"/>
      <c r="K34" s="27"/>
    </row>
    <row r="35" spans="1:11" x14ac:dyDescent="0.2">
      <c r="A35" s="1">
        <v>34</v>
      </c>
      <c r="B35" s="6" t="s">
        <v>147</v>
      </c>
      <c r="C35" s="18">
        <f t="shared" si="0"/>
        <v>0.92</v>
      </c>
      <c r="D35" s="18">
        <f t="shared" si="0"/>
        <v>5.5E-2</v>
      </c>
      <c r="E35" s="6" t="s">
        <v>212</v>
      </c>
      <c r="H35" s="27"/>
      <c r="I35" s="28"/>
      <c r="J35" s="28"/>
      <c r="K35" s="27"/>
    </row>
    <row r="36" spans="1:11" x14ac:dyDescent="0.2">
      <c r="A36" s="1">
        <v>35</v>
      </c>
      <c r="B36" s="6" t="s">
        <v>148</v>
      </c>
      <c r="C36" s="18">
        <f t="shared" si="0"/>
        <v>0.57499999999999996</v>
      </c>
      <c r="D36" s="18">
        <f t="shared" si="0"/>
        <v>5.0999999999999997E-2</v>
      </c>
      <c r="E36" s="6" t="s">
        <v>213</v>
      </c>
      <c r="H36" s="27"/>
      <c r="I36" s="28"/>
      <c r="J36" s="28"/>
      <c r="K36" s="27"/>
    </row>
    <row r="37" spans="1:11" x14ac:dyDescent="0.2">
      <c r="A37" s="1">
        <v>36</v>
      </c>
      <c r="B37" s="6" t="s">
        <v>149</v>
      </c>
      <c r="C37" s="18">
        <f t="shared" si="0"/>
        <v>0.37</v>
      </c>
      <c r="D37" s="18">
        <f t="shared" si="0"/>
        <v>4.5499999999999999E-2</v>
      </c>
      <c r="E37" s="6" t="s">
        <v>214</v>
      </c>
      <c r="H37" s="27"/>
      <c r="I37" s="28"/>
      <c r="J37" s="28"/>
      <c r="K37" s="27"/>
    </row>
    <row r="38" spans="1:11" x14ac:dyDescent="0.2">
      <c r="A38" s="1">
        <v>37</v>
      </c>
      <c r="B38" s="6" t="s">
        <v>150</v>
      </c>
      <c r="C38" s="18">
        <f t="shared" si="0"/>
        <v>0.26</v>
      </c>
      <c r="D38" s="18">
        <f t="shared" si="0"/>
        <v>4.3499999999999997E-2</v>
      </c>
      <c r="E38" s="6" t="s">
        <v>215</v>
      </c>
      <c r="H38" s="27"/>
      <c r="I38" s="28"/>
      <c r="J38" s="28"/>
      <c r="K38" s="27"/>
    </row>
    <row r="39" spans="1:11" x14ac:dyDescent="0.2">
      <c r="A39" s="1">
        <v>38</v>
      </c>
      <c r="B39" s="6" t="s">
        <v>151</v>
      </c>
      <c r="C39" s="18">
        <f t="shared" si="0"/>
        <v>0.185</v>
      </c>
      <c r="D39" s="18">
        <f t="shared" si="0"/>
        <v>4.1500000000000002E-2</v>
      </c>
      <c r="E39" s="6" t="s">
        <v>216</v>
      </c>
      <c r="H39" s="29"/>
      <c r="I39" s="30"/>
      <c r="J39" s="30"/>
      <c r="K39" s="29"/>
    </row>
    <row r="40" spans="1:11" x14ac:dyDescent="0.2">
      <c r="A40" s="1">
        <v>39</v>
      </c>
      <c r="B40" s="6" t="s">
        <v>152</v>
      </c>
      <c r="C40" s="18">
        <f t="shared" si="0"/>
        <v>0.13</v>
      </c>
      <c r="D40" s="18">
        <f t="shared" si="0"/>
        <v>0.04</v>
      </c>
      <c r="E40" s="6" t="s">
        <v>217</v>
      </c>
    </row>
    <row r="41" spans="1:11" x14ac:dyDescent="0.2">
      <c r="A41" s="1">
        <v>40</v>
      </c>
      <c r="B41" s="6" t="s">
        <v>153</v>
      </c>
      <c r="C41" s="18">
        <f t="shared" si="0"/>
        <v>9.7000000000000003E-2</v>
      </c>
      <c r="D41" s="18">
        <f t="shared" si="0"/>
        <v>3.9E-2</v>
      </c>
      <c r="E41" s="6" t="s">
        <v>218</v>
      </c>
    </row>
    <row r="42" spans="1:11" x14ac:dyDescent="0.2">
      <c r="A42" s="1">
        <v>41</v>
      </c>
      <c r="B42" s="6" t="s">
        <v>154</v>
      </c>
      <c r="C42" s="18">
        <f>C20/2</f>
        <v>7.6499999999999999E-2</v>
      </c>
      <c r="D42" s="18">
        <f>D20/2</f>
        <v>3.7999999999999999E-2</v>
      </c>
      <c r="E42" s="6" t="s">
        <v>219</v>
      </c>
    </row>
    <row r="43" spans="1:11" x14ac:dyDescent="0.2">
      <c r="A43" s="1">
        <v>42</v>
      </c>
      <c r="B43" s="6" t="s">
        <v>155</v>
      </c>
      <c r="C43" s="30">
        <f t="shared" si="0"/>
        <v>6.0999999999999999E-2</v>
      </c>
      <c r="D43" s="30">
        <f t="shared" si="0"/>
        <v>3.6999999999999998E-2</v>
      </c>
      <c r="E43" s="6" t="s">
        <v>220</v>
      </c>
    </row>
    <row r="44" spans="1:11" x14ac:dyDescent="0.2">
      <c r="A44" s="1">
        <v>43</v>
      </c>
      <c r="B44" s="6" t="s">
        <v>156</v>
      </c>
      <c r="C44" s="18">
        <f t="shared" si="0"/>
        <v>4.9500000000000002E-2</v>
      </c>
      <c r="D44" s="18">
        <f t="shared" si="0"/>
        <v>3.6499999999999998E-2</v>
      </c>
      <c r="E44" s="6" t="s">
        <v>221</v>
      </c>
    </row>
    <row r="45" spans="1:11" x14ac:dyDescent="0.2">
      <c r="A45" s="1">
        <v>44</v>
      </c>
      <c r="B45" s="6" t="s">
        <v>157</v>
      </c>
      <c r="C45" s="18">
        <f t="shared" si="0"/>
        <v>3.85E-2</v>
      </c>
      <c r="D45" s="18">
        <f t="shared" si="0"/>
        <v>3.5499999999999997E-2</v>
      </c>
      <c r="E45" s="6" t="s">
        <v>222</v>
      </c>
    </row>
    <row r="46" spans="1:11" x14ac:dyDescent="0.2">
      <c r="A46" s="1">
        <v>45</v>
      </c>
      <c r="B46" s="6" t="s">
        <v>158</v>
      </c>
      <c r="C46" s="18">
        <f>C2/3</f>
        <v>1.0333333333333334</v>
      </c>
      <c r="D46" s="18">
        <f>D2/3</f>
        <v>3.6666666666666667E-2</v>
      </c>
      <c r="E46" s="6" t="s">
        <v>223</v>
      </c>
    </row>
    <row r="47" spans="1:11" x14ac:dyDescent="0.2">
      <c r="A47" s="1">
        <v>46</v>
      </c>
      <c r="B47" s="6" t="s">
        <v>159</v>
      </c>
      <c r="C47" s="18">
        <f t="shared" ref="C47:D67" si="1">C3/3</f>
        <v>0.64666666666666661</v>
      </c>
      <c r="D47" s="18">
        <f t="shared" si="1"/>
        <v>3.3999999999999996E-2</v>
      </c>
      <c r="E47" s="6" t="s">
        <v>224</v>
      </c>
    </row>
    <row r="48" spans="1:11" x14ac:dyDescent="0.2">
      <c r="A48" s="1">
        <v>47</v>
      </c>
      <c r="B48" s="6" t="s">
        <v>160</v>
      </c>
      <c r="C48" s="18">
        <f t="shared" si="1"/>
        <v>0.41333333333333333</v>
      </c>
      <c r="D48" s="18">
        <f t="shared" si="1"/>
        <v>3.1666666666666669E-2</v>
      </c>
      <c r="E48" s="6" t="s">
        <v>225</v>
      </c>
    </row>
    <row r="49" spans="1:5" x14ac:dyDescent="0.2">
      <c r="A49" s="1">
        <v>48</v>
      </c>
      <c r="B49" s="6" t="s">
        <v>161</v>
      </c>
      <c r="C49" s="18">
        <f t="shared" si="1"/>
        <v>0.29666666666666669</v>
      </c>
      <c r="D49" s="18">
        <f t="shared" si="1"/>
        <v>2.8999999999999998E-2</v>
      </c>
      <c r="E49" s="6" t="s">
        <v>226</v>
      </c>
    </row>
    <row r="50" spans="1:5" x14ac:dyDescent="0.2">
      <c r="A50" s="1">
        <v>49</v>
      </c>
      <c r="B50" s="6" t="s">
        <v>162</v>
      </c>
      <c r="C50" s="18">
        <f t="shared" si="1"/>
        <v>0.20666666666666667</v>
      </c>
      <c r="D50" s="18">
        <f t="shared" si="1"/>
        <v>2.7666666666666669E-2</v>
      </c>
      <c r="E50" s="6" t="s">
        <v>227</v>
      </c>
    </row>
    <row r="51" spans="1:5" x14ac:dyDescent="0.2">
      <c r="A51" s="1">
        <v>50</v>
      </c>
      <c r="B51" s="6" t="s">
        <v>163</v>
      </c>
      <c r="C51" s="18">
        <f t="shared" si="1"/>
        <v>0.14766666666666667</v>
      </c>
      <c r="D51" s="18">
        <f t="shared" si="1"/>
        <v>2.5999999999999999E-2</v>
      </c>
      <c r="E51" s="6" t="s">
        <v>228</v>
      </c>
    </row>
    <row r="52" spans="1:5" x14ac:dyDescent="0.2">
      <c r="A52" s="1">
        <v>51</v>
      </c>
      <c r="B52" s="6" t="s">
        <v>164</v>
      </c>
      <c r="C52" s="18">
        <f t="shared" si="1"/>
        <v>0.10866666666666668</v>
      </c>
      <c r="D52" s="18">
        <f t="shared" si="1"/>
        <v>2.5999999999999999E-2</v>
      </c>
      <c r="E52" s="6" t="s">
        <v>229</v>
      </c>
    </row>
    <row r="53" spans="1:5" x14ac:dyDescent="0.2">
      <c r="A53" s="1">
        <v>52</v>
      </c>
      <c r="B53" s="6" t="s">
        <v>165</v>
      </c>
      <c r="C53" s="18">
        <f t="shared" si="1"/>
        <v>8.6000000000000007E-2</v>
      </c>
      <c r="D53" s="18">
        <f t="shared" si="1"/>
        <v>2.5333333333333333E-2</v>
      </c>
      <c r="E53" s="6" t="s">
        <v>230</v>
      </c>
    </row>
    <row r="54" spans="1:5" x14ac:dyDescent="0.2">
      <c r="A54" s="1">
        <v>53</v>
      </c>
      <c r="B54" s="6" t="s">
        <v>166</v>
      </c>
      <c r="C54" s="18">
        <f t="shared" si="1"/>
        <v>6.8666666666666668E-2</v>
      </c>
      <c r="D54" s="18">
        <f t="shared" si="1"/>
        <v>2.4666666666666667E-2</v>
      </c>
      <c r="E54" s="6" t="s">
        <v>231</v>
      </c>
    </row>
    <row r="55" spans="1:5" x14ac:dyDescent="0.2">
      <c r="A55" s="1">
        <v>54</v>
      </c>
      <c r="B55" s="6" t="s">
        <v>167</v>
      </c>
      <c r="C55" s="18">
        <f t="shared" si="1"/>
        <v>5.566666666666667E-2</v>
      </c>
      <c r="D55" s="18">
        <f t="shared" si="1"/>
        <v>2.4333333333333332E-2</v>
      </c>
      <c r="E55" s="6" t="s">
        <v>232</v>
      </c>
    </row>
    <row r="56" spans="1:5" x14ac:dyDescent="0.2">
      <c r="A56" s="1">
        <v>55</v>
      </c>
      <c r="B56" s="6" t="s">
        <v>135</v>
      </c>
      <c r="C56" s="18">
        <f t="shared" si="1"/>
        <v>4.3000000000000003E-2</v>
      </c>
      <c r="D56" s="18">
        <f t="shared" si="1"/>
        <v>2.3666666666666666E-2</v>
      </c>
      <c r="E56" s="6" t="s">
        <v>233</v>
      </c>
    </row>
    <row r="57" spans="1:5" x14ac:dyDescent="0.2">
      <c r="A57" s="1">
        <v>56</v>
      </c>
      <c r="B57" s="6" t="s">
        <v>168</v>
      </c>
      <c r="C57" s="18">
        <f t="shared" si="1"/>
        <v>0.6133333333333334</v>
      </c>
      <c r="D57" s="18">
        <f t="shared" si="1"/>
        <v>3.6666666666666667E-2</v>
      </c>
      <c r="E57" s="6" t="s">
        <v>234</v>
      </c>
    </row>
    <row r="58" spans="1:5" x14ac:dyDescent="0.2">
      <c r="A58" s="1">
        <v>57</v>
      </c>
      <c r="B58" s="6" t="s">
        <v>169</v>
      </c>
      <c r="C58" s="18">
        <f t="shared" si="1"/>
        <v>0.3833333333333333</v>
      </c>
      <c r="D58" s="18">
        <f t="shared" si="1"/>
        <v>3.3999999999999996E-2</v>
      </c>
      <c r="E58" s="6" t="s">
        <v>235</v>
      </c>
    </row>
    <row r="59" spans="1:5" x14ac:dyDescent="0.2">
      <c r="A59" s="1">
        <v>58</v>
      </c>
      <c r="B59" s="6" t="s">
        <v>170</v>
      </c>
      <c r="C59" s="18">
        <f t="shared" si="1"/>
        <v>0.24666666666666667</v>
      </c>
      <c r="D59" s="18">
        <f t="shared" si="1"/>
        <v>3.0333333333333334E-2</v>
      </c>
      <c r="E59" s="6" t="s">
        <v>236</v>
      </c>
    </row>
    <row r="60" spans="1:5" x14ac:dyDescent="0.2">
      <c r="A60" s="1">
        <v>59</v>
      </c>
      <c r="B60" s="6" t="s">
        <v>171</v>
      </c>
      <c r="C60" s="18">
        <f t="shared" si="1"/>
        <v>0.17333333333333334</v>
      </c>
      <c r="D60" s="18">
        <f t="shared" si="1"/>
        <v>2.8999999999999998E-2</v>
      </c>
      <c r="E60" s="6" t="s">
        <v>237</v>
      </c>
    </row>
    <row r="61" spans="1:5" x14ac:dyDescent="0.2">
      <c r="A61" s="1">
        <v>60</v>
      </c>
      <c r="B61" s="6" t="s">
        <v>172</v>
      </c>
      <c r="C61" s="18">
        <f t="shared" si="1"/>
        <v>0.12333333333333334</v>
      </c>
      <c r="D61" s="18">
        <f t="shared" si="1"/>
        <v>2.7666666666666669E-2</v>
      </c>
      <c r="E61" s="6" t="s">
        <v>238</v>
      </c>
    </row>
    <row r="62" spans="1:5" x14ac:dyDescent="0.2">
      <c r="A62" s="1">
        <v>61</v>
      </c>
      <c r="B62" s="6" t="s">
        <v>173</v>
      </c>
      <c r="C62" s="18">
        <f t="shared" si="1"/>
        <v>8.666666666666667E-2</v>
      </c>
      <c r="D62" s="18">
        <f t="shared" si="1"/>
        <v>2.6666666666666668E-2</v>
      </c>
      <c r="E62" s="6" t="s">
        <v>239</v>
      </c>
    </row>
    <row r="63" spans="1:5" x14ac:dyDescent="0.2">
      <c r="A63" s="1">
        <v>62</v>
      </c>
      <c r="B63" s="6" t="s">
        <v>174</v>
      </c>
      <c r="C63" s="18">
        <f t="shared" si="1"/>
        <v>6.4666666666666664E-2</v>
      </c>
      <c r="D63" s="18">
        <f t="shared" si="1"/>
        <v>2.5999999999999999E-2</v>
      </c>
      <c r="E63" s="6" t="s">
        <v>240</v>
      </c>
    </row>
    <row r="64" spans="1:5" x14ac:dyDescent="0.2">
      <c r="A64" s="1">
        <v>63</v>
      </c>
      <c r="B64" s="6" t="s">
        <v>175</v>
      </c>
      <c r="C64" s="18">
        <f t="shared" si="1"/>
        <v>5.0999999999999997E-2</v>
      </c>
      <c r="D64" s="18">
        <f t="shared" si="1"/>
        <v>2.5333333333333333E-2</v>
      </c>
      <c r="E64" s="6" t="s">
        <v>241</v>
      </c>
    </row>
    <row r="65" spans="1:7" x14ac:dyDescent="0.2">
      <c r="A65" s="1">
        <v>64</v>
      </c>
      <c r="B65" s="6" t="s">
        <v>176</v>
      </c>
      <c r="C65" s="18">
        <f>C21/3</f>
        <v>4.0666666666666663E-2</v>
      </c>
      <c r="D65" s="18">
        <f t="shared" si="1"/>
        <v>2.4666666666666667E-2</v>
      </c>
      <c r="E65" s="6" t="s">
        <v>242</v>
      </c>
    </row>
    <row r="66" spans="1:7" x14ac:dyDescent="0.2">
      <c r="A66" s="1">
        <v>65</v>
      </c>
      <c r="B66" s="6" t="s">
        <v>177</v>
      </c>
      <c r="C66" s="18">
        <f t="shared" si="1"/>
        <v>3.3000000000000002E-2</v>
      </c>
      <c r="D66" s="18">
        <f t="shared" si="1"/>
        <v>2.4333333333333332E-2</v>
      </c>
      <c r="E66" s="6" t="s">
        <v>243</v>
      </c>
    </row>
    <row r="67" spans="1:7" x14ac:dyDescent="0.2">
      <c r="A67" s="1">
        <v>66</v>
      </c>
      <c r="B67" s="6" t="s">
        <v>178</v>
      </c>
      <c r="C67" s="18">
        <f t="shared" si="1"/>
        <v>2.5666666666666667E-2</v>
      </c>
      <c r="D67" s="18">
        <f t="shared" si="1"/>
        <v>2.3666666666666666E-2</v>
      </c>
      <c r="E67" s="6" t="s">
        <v>244</v>
      </c>
    </row>
    <row r="68" spans="1:7" x14ac:dyDescent="0.2">
      <c r="A68" s="1">
        <v>67</v>
      </c>
      <c r="G68">
        <v>4.5999999999999999E-2</v>
      </c>
    </row>
    <row r="69" spans="1:7" x14ac:dyDescent="0.2">
      <c r="A69" s="1">
        <v>68</v>
      </c>
      <c r="B69" s="6" t="s">
        <v>345</v>
      </c>
      <c r="C69" s="4">
        <v>7.1499999999999994E-2</v>
      </c>
      <c r="D69" s="4">
        <v>3.7199999999999997E-2</v>
      </c>
    </row>
    <row r="70" spans="1:7" x14ac:dyDescent="0.2">
      <c r="A70" s="1">
        <v>69</v>
      </c>
    </row>
    <row r="71" spans="1:7" x14ac:dyDescent="0.2">
      <c r="A71" s="1">
        <v>70</v>
      </c>
      <c r="B71" s="6" t="s">
        <v>348</v>
      </c>
      <c r="C71" s="3">
        <v>0.06</v>
      </c>
      <c r="D71" s="3">
        <v>3.6999999999999998E-2</v>
      </c>
      <c r="E71" s="6" t="s">
        <v>349</v>
      </c>
    </row>
    <row r="72" spans="1:7" x14ac:dyDescent="0.2">
      <c r="A72" s="1">
        <v>71</v>
      </c>
      <c r="B72" s="6" t="s">
        <v>350</v>
      </c>
      <c r="C72" s="4">
        <f>(C18*C19)/(C18+C19)</f>
        <v>0.11110132158590309</v>
      </c>
      <c r="D72" s="4">
        <f>(D18*D19)/(D18+D19)</f>
        <v>3.949367088607595E-2</v>
      </c>
    </row>
    <row r="73" spans="1:7" x14ac:dyDescent="0.2">
      <c r="A73" s="1">
        <v>72</v>
      </c>
    </row>
    <row r="74" spans="1:7" x14ac:dyDescent="0.2">
      <c r="A74" s="1">
        <v>73</v>
      </c>
      <c r="B74" s="6" t="s">
        <v>466</v>
      </c>
      <c r="C74" s="4">
        <v>4.7E-2</v>
      </c>
      <c r="D74" s="4">
        <v>8.7999999999999995E-2</v>
      </c>
      <c r="F74" t="s">
        <v>467</v>
      </c>
    </row>
    <row r="75" spans="1:7" x14ac:dyDescent="0.2">
      <c r="A75" s="1">
        <v>74</v>
      </c>
      <c r="B75" s="6" t="s">
        <v>513</v>
      </c>
      <c r="C75" s="4">
        <f>0.124/3</f>
        <v>4.1333333333333333E-2</v>
      </c>
      <c r="D75" s="4">
        <f>0.103/3</f>
        <v>3.4333333333333334E-2</v>
      </c>
      <c r="E75" s="6" t="s">
        <v>513</v>
      </c>
    </row>
    <row r="76" spans="1:7" x14ac:dyDescent="0.2">
      <c r="A76" s="1">
        <v>75</v>
      </c>
      <c r="B76" s="6" t="s">
        <v>728</v>
      </c>
      <c r="C76" s="4">
        <f>0.0366/3</f>
        <v>1.2200000000000001E-2</v>
      </c>
      <c r="D76" s="4">
        <f>0.085/3</f>
        <v>2.8333333333333335E-2</v>
      </c>
      <c r="E76" s="6" t="s">
        <v>728</v>
      </c>
    </row>
    <row r="77" spans="1:7" x14ac:dyDescent="0.2">
      <c r="A77" s="1">
        <v>76</v>
      </c>
      <c r="B77" s="6" t="s">
        <v>747</v>
      </c>
      <c r="C77" s="4">
        <v>6.0100000000000001E-2</v>
      </c>
      <c r="D77" s="4">
        <v>9.0999999999999998E-2</v>
      </c>
      <c r="E77" s="6" t="s">
        <v>747</v>
      </c>
    </row>
    <row r="78" spans="1:7" x14ac:dyDescent="0.2">
      <c r="A78" s="1">
        <v>77</v>
      </c>
      <c r="B78" s="6" t="s">
        <v>750</v>
      </c>
      <c r="C78" s="4">
        <v>0.153</v>
      </c>
      <c r="D78" s="4">
        <v>0.52500000000000002</v>
      </c>
    </row>
    <row r="79" spans="1:7" x14ac:dyDescent="0.2">
      <c r="A79" s="1">
        <v>78</v>
      </c>
    </row>
    <row r="80" spans="1:7" x14ac:dyDescent="0.2">
      <c r="A80" s="1">
        <v>79</v>
      </c>
    </row>
    <row r="81" spans="1:1" x14ac:dyDescent="0.2">
      <c r="A81" s="1">
        <v>80</v>
      </c>
    </row>
    <row r="82" spans="1:1" x14ac:dyDescent="0.2">
      <c r="A82" s="1">
        <v>81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4536-36B8-484E-BA2B-13A68D8E51C7}">
  <sheetPr codeName="Лист3"/>
  <dimension ref="A1:K272"/>
  <sheetViews>
    <sheetView tabSelected="1" zoomScale="115" workbookViewId="0">
      <selection activeCell="AD34" sqref="AD34"/>
    </sheetView>
  </sheetViews>
  <sheetFormatPr defaultRowHeight="12.75" x14ac:dyDescent="0.2"/>
  <cols>
    <col min="1" max="1" width="29.28515625" customWidth="1"/>
    <col min="2" max="3" width="11" style="1" customWidth="1"/>
    <col min="4" max="4" width="1" style="1" customWidth="1"/>
    <col min="5" max="5" width="10" customWidth="1"/>
    <col min="6" max="6" width="9.7109375" customWidth="1"/>
  </cols>
  <sheetData>
    <row r="1" spans="1:11" s="29" customFormat="1" x14ac:dyDescent="0.2">
      <c r="A1" s="47"/>
      <c r="B1" s="48" t="s">
        <v>297</v>
      </c>
      <c r="C1" s="48" t="s">
        <v>298</v>
      </c>
      <c r="D1" s="46"/>
    </row>
    <row r="2" spans="1:11" s="24" customFormat="1" x14ac:dyDescent="0.2">
      <c r="A2" s="71" t="s">
        <v>299</v>
      </c>
      <c r="B2" s="150">
        <v>3.9750000000000001</v>
      </c>
      <c r="C2" s="150">
        <v>5.0359999999999996</v>
      </c>
      <c r="E2" s="141" t="s">
        <v>532</v>
      </c>
    </row>
    <row r="3" spans="1:11" x14ac:dyDescent="0.2">
      <c r="A3" s="148" t="s">
        <v>300</v>
      </c>
      <c r="B3" s="149">
        <v>7.4859999999999998</v>
      </c>
      <c r="C3" s="149">
        <v>10.455</v>
      </c>
      <c r="E3" s="242" t="s">
        <v>522</v>
      </c>
      <c r="F3" s="242"/>
      <c r="G3" s="242"/>
      <c r="H3" s="242"/>
      <c r="I3" s="242"/>
      <c r="J3" s="242"/>
      <c r="K3" s="242"/>
    </row>
    <row r="4" spans="1:11" x14ac:dyDescent="0.2">
      <c r="A4" s="148" t="s">
        <v>525</v>
      </c>
      <c r="B4" s="149">
        <v>3.9569999999999999</v>
      </c>
      <c r="C4" s="149">
        <v>7.4859999999999998</v>
      </c>
      <c r="E4" s="242"/>
      <c r="F4" s="242"/>
      <c r="G4" s="242"/>
      <c r="H4" s="242"/>
      <c r="I4" s="242"/>
      <c r="J4" s="242"/>
      <c r="K4" s="242"/>
    </row>
    <row r="5" spans="1:11" x14ac:dyDescent="0.2">
      <c r="A5" s="148" t="s">
        <v>526</v>
      </c>
      <c r="B5" s="149">
        <v>5.9080000000000004</v>
      </c>
      <c r="C5" s="149">
        <v>10.920999999999999</v>
      </c>
      <c r="E5" s="242"/>
      <c r="F5" s="242"/>
      <c r="G5" s="242"/>
      <c r="H5" s="242"/>
      <c r="I5" s="242"/>
      <c r="J5" s="242"/>
      <c r="K5" s="242"/>
    </row>
    <row r="6" spans="1:11" s="24" customFormat="1" x14ac:dyDescent="0.2">
      <c r="A6" s="71" t="s">
        <v>301</v>
      </c>
      <c r="B6" s="150">
        <v>4.13</v>
      </c>
      <c r="C6" s="150">
        <v>6.96</v>
      </c>
      <c r="D6" s="140"/>
      <c r="E6" s="141" t="s">
        <v>532</v>
      </c>
      <c r="F6" s="70"/>
      <c r="G6" s="70"/>
    </row>
    <row r="7" spans="1:11" s="24" customFormat="1" x14ac:dyDescent="0.2">
      <c r="A7" s="71" t="s">
        <v>302</v>
      </c>
      <c r="B7" s="151">
        <v>12.21</v>
      </c>
      <c r="C7" s="151">
        <v>8.17</v>
      </c>
      <c r="D7" s="140"/>
      <c r="E7" s="141"/>
      <c r="F7" s="70"/>
      <c r="G7" s="70"/>
    </row>
    <row r="8" spans="1:11" s="24" customFormat="1" x14ac:dyDescent="0.2">
      <c r="A8" s="71" t="s">
        <v>524</v>
      </c>
      <c r="B8" s="151">
        <v>6.3479999999999999</v>
      </c>
      <c r="C8" s="151">
        <v>6.79</v>
      </c>
      <c r="D8" s="140"/>
      <c r="E8" s="141" t="s">
        <v>532</v>
      </c>
      <c r="F8" s="70"/>
      <c r="G8" s="70"/>
    </row>
    <row r="9" spans="1:11" s="24" customFormat="1" x14ac:dyDescent="0.2">
      <c r="A9" s="71" t="s">
        <v>303</v>
      </c>
      <c r="B9" s="150">
        <v>17.035</v>
      </c>
      <c r="C9" s="150">
        <v>18.809999999999999</v>
      </c>
      <c r="D9" s="140"/>
      <c r="E9" s="242" t="s">
        <v>534</v>
      </c>
      <c r="F9" s="242"/>
      <c r="G9" s="242"/>
    </row>
    <row r="10" spans="1:11" s="24" customFormat="1" x14ac:dyDescent="0.2">
      <c r="A10" s="71" t="s">
        <v>304</v>
      </c>
      <c r="B10" s="150">
        <v>10.755000000000001</v>
      </c>
      <c r="C10" s="150">
        <v>12.53</v>
      </c>
      <c r="D10" s="140"/>
      <c r="E10" s="242"/>
      <c r="F10" s="242"/>
      <c r="G10" s="242"/>
    </row>
    <row r="11" spans="1:11" s="24" customFormat="1" x14ac:dyDescent="0.2">
      <c r="A11" s="71" t="s">
        <v>305</v>
      </c>
      <c r="B11" s="150">
        <v>10.308999999999999</v>
      </c>
      <c r="C11" s="150">
        <v>12.894</v>
      </c>
      <c r="D11" s="140"/>
      <c r="E11" s="141" t="s">
        <v>532</v>
      </c>
      <c r="F11" s="141"/>
      <c r="G11" s="141"/>
    </row>
    <row r="12" spans="1:11" s="24" customFormat="1" x14ac:dyDescent="0.2">
      <c r="A12" s="71" t="s">
        <v>306</v>
      </c>
      <c r="B12" s="151">
        <v>2.5499999999999998</v>
      </c>
      <c r="C12" s="151">
        <v>5.42</v>
      </c>
      <c r="D12" s="140"/>
      <c r="E12" s="141" t="s">
        <v>532</v>
      </c>
    </row>
    <row r="13" spans="1:11" s="24" customFormat="1" x14ac:dyDescent="0.2">
      <c r="A13" s="71" t="s">
        <v>307</v>
      </c>
      <c r="B13" s="150">
        <v>4.0049999999999999</v>
      </c>
      <c r="C13" s="150">
        <v>4.9589999999999996</v>
      </c>
      <c r="D13" s="68"/>
      <c r="E13" s="242" t="s">
        <v>532</v>
      </c>
      <c r="F13" s="242"/>
      <c r="G13" s="242"/>
    </row>
    <row r="14" spans="1:11" s="24" customFormat="1" x14ac:dyDescent="0.2">
      <c r="A14" s="71" t="s">
        <v>533</v>
      </c>
      <c r="B14" s="150">
        <v>6.101</v>
      </c>
      <c r="C14" s="150">
        <v>7.0510000000000002</v>
      </c>
      <c r="D14" s="140"/>
      <c r="E14" s="242"/>
      <c r="F14" s="242"/>
      <c r="G14" s="242"/>
    </row>
    <row r="15" spans="1:11" s="24" customFormat="1" x14ac:dyDescent="0.2">
      <c r="A15" s="71" t="s">
        <v>308</v>
      </c>
      <c r="B15" s="150">
        <v>3.9689999999999999</v>
      </c>
      <c r="C15" s="150">
        <v>5.8179999999999996</v>
      </c>
      <c r="D15" s="140"/>
      <c r="E15" s="242"/>
      <c r="F15" s="242"/>
      <c r="G15" s="242"/>
    </row>
    <row r="16" spans="1:11" s="24" customFormat="1" x14ac:dyDescent="0.2">
      <c r="A16" s="71" t="s">
        <v>309</v>
      </c>
      <c r="B16" s="150">
        <v>6.0369999999999999</v>
      </c>
      <c r="C16" s="150">
        <v>10.763</v>
      </c>
      <c r="D16" s="140"/>
      <c r="E16" s="242"/>
      <c r="F16" s="242"/>
      <c r="G16" s="242"/>
    </row>
    <row r="17" spans="1:7" x14ac:dyDescent="0.2">
      <c r="A17" s="71" t="s">
        <v>399</v>
      </c>
      <c r="B17" s="150">
        <v>5.95</v>
      </c>
      <c r="C17" s="150">
        <v>8.1890000000000001</v>
      </c>
      <c r="D17" s="68"/>
      <c r="E17" s="141" t="s">
        <v>536</v>
      </c>
      <c r="F17" s="141"/>
      <c r="G17" s="141"/>
    </row>
    <row r="18" spans="1:7" s="24" customFormat="1" x14ac:dyDescent="0.2">
      <c r="A18" s="71" t="s">
        <v>310</v>
      </c>
      <c r="B18" s="150">
        <v>7.585</v>
      </c>
      <c r="C18" s="150">
        <v>8.1340000000000003</v>
      </c>
      <c r="E18" s="242" t="s">
        <v>532</v>
      </c>
      <c r="F18" s="242"/>
      <c r="G18" s="242"/>
    </row>
    <row r="19" spans="1:7" s="24" customFormat="1" x14ac:dyDescent="0.2">
      <c r="A19" s="71" t="s">
        <v>326</v>
      </c>
      <c r="B19" s="150">
        <v>4.3529999999999998</v>
      </c>
      <c r="C19" s="150">
        <v>4.79</v>
      </c>
      <c r="D19" s="140"/>
      <c r="E19" s="242"/>
      <c r="F19" s="242"/>
      <c r="G19" s="242"/>
    </row>
    <row r="20" spans="1:7" s="24" customFormat="1" x14ac:dyDescent="0.2">
      <c r="A20" s="71" t="s">
        <v>327</v>
      </c>
      <c r="B20" s="150">
        <v>6.141</v>
      </c>
      <c r="C20" s="150">
        <v>6.81</v>
      </c>
      <c r="D20" s="140"/>
      <c r="E20" s="242"/>
      <c r="F20" s="242"/>
      <c r="G20" s="242"/>
    </row>
    <row r="21" spans="1:7" s="24" customFormat="1" x14ac:dyDescent="0.2">
      <c r="A21" s="71" t="s">
        <v>328</v>
      </c>
      <c r="B21" s="150">
        <v>5.835</v>
      </c>
      <c r="C21" s="150">
        <v>7.0460000000000003</v>
      </c>
      <c r="D21" s="140"/>
      <c r="E21" s="242"/>
      <c r="F21" s="242"/>
      <c r="G21" s="242"/>
    </row>
    <row r="22" spans="1:7" s="24" customFormat="1" x14ac:dyDescent="0.2">
      <c r="A22" s="71" t="s">
        <v>329</v>
      </c>
      <c r="B22" s="150">
        <v>6.5380000000000003</v>
      </c>
      <c r="C22" s="150">
        <v>7.4059999999999997</v>
      </c>
      <c r="D22" s="140"/>
      <c r="E22" s="242"/>
      <c r="F22" s="242"/>
      <c r="G22" s="242"/>
    </row>
    <row r="23" spans="1:7" s="24" customFormat="1" x14ac:dyDescent="0.2">
      <c r="A23" s="71" t="s">
        <v>330</v>
      </c>
      <c r="B23" s="150">
        <v>4.2770000000000001</v>
      </c>
      <c r="C23" s="150">
        <v>6.3559999999999999</v>
      </c>
      <c r="D23" s="140"/>
      <c r="E23" s="242"/>
      <c r="F23" s="242"/>
      <c r="G23" s="242"/>
    </row>
    <row r="24" spans="1:7" x14ac:dyDescent="0.2">
      <c r="A24" s="72" t="s">
        <v>400</v>
      </c>
      <c r="B24" s="150">
        <v>13.637</v>
      </c>
      <c r="C24" s="150">
        <v>14.252000000000001</v>
      </c>
      <c r="D24" s="140"/>
      <c r="E24" s="242" t="s">
        <v>534</v>
      </c>
      <c r="F24" s="242"/>
      <c r="G24" s="242"/>
    </row>
    <row r="25" spans="1:7" x14ac:dyDescent="0.2">
      <c r="A25" s="45" t="s">
        <v>401</v>
      </c>
      <c r="B25" s="108">
        <v>0.52400000000000002</v>
      </c>
      <c r="C25" s="108">
        <v>0.54100000000000004</v>
      </c>
      <c r="D25" s="140"/>
      <c r="E25" s="242"/>
      <c r="F25" s="242"/>
      <c r="G25" s="242"/>
    </row>
    <row r="26" spans="1:7" x14ac:dyDescent="0.2">
      <c r="A26" s="71" t="s">
        <v>311</v>
      </c>
      <c r="B26" s="151">
        <v>8.6</v>
      </c>
      <c r="C26" s="151">
        <v>19</v>
      </c>
      <c r="E26" s="147" t="s">
        <v>356</v>
      </c>
      <c r="F26" s="24"/>
    </row>
    <row r="27" spans="1:7" s="24" customFormat="1" x14ac:dyDescent="0.2">
      <c r="A27" s="45" t="s">
        <v>312</v>
      </c>
      <c r="B27" s="35">
        <v>0.189</v>
      </c>
      <c r="C27" s="35">
        <v>0.22</v>
      </c>
      <c r="D27" s="121"/>
      <c r="E27" s="125" t="s">
        <v>510</v>
      </c>
    </row>
    <row r="28" spans="1:7" x14ac:dyDescent="0.2">
      <c r="A28" s="45" t="s">
        <v>313</v>
      </c>
      <c r="B28" s="83">
        <v>0.76</v>
      </c>
      <c r="C28" s="83">
        <v>0.81100000000000005</v>
      </c>
      <c r="D28" s="140"/>
      <c r="E28" s="242" t="s">
        <v>523</v>
      </c>
      <c r="F28" s="242"/>
      <c r="G28" s="242"/>
    </row>
    <row r="29" spans="1:7" x14ac:dyDescent="0.2">
      <c r="A29" s="45" t="s">
        <v>314</v>
      </c>
      <c r="B29" s="83">
        <v>0.48199999999999998</v>
      </c>
      <c r="C29" s="83">
        <v>0.53400000000000003</v>
      </c>
      <c r="D29" s="140"/>
      <c r="E29" s="242"/>
      <c r="F29" s="242"/>
      <c r="G29" s="242"/>
    </row>
    <row r="30" spans="1:7" x14ac:dyDescent="0.2">
      <c r="A30" s="45" t="s">
        <v>315</v>
      </c>
      <c r="B30" s="83">
        <v>0.47499999999999998</v>
      </c>
      <c r="C30" s="83">
        <v>0.55000000000000004</v>
      </c>
      <c r="D30" s="140"/>
      <c r="E30" s="242"/>
      <c r="F30" s="242"/>
      <c r="G30" s="242"/>
    </row>
    <row r="31" spans="1:7" x14ac:dyDescent="0.2">
      <c r="A31" s="45" t="s">
        <v>316</v>
      </c>
      <c r="B31" s="142">
        <v>0.20899999999999999</v>
      </c>
      <c r="C31" s="142">
        <v>0.23699999999999999</v>
      </c>
      <c r="D31" s="122"/>
      <c r="E31" s="125" t="s">
        <v>510</v>
      </c>
      <c r="F31" s="143"/>
      <c r="G31" s="144"/>
    </row>
    <row r="32" spans="1:7" x14ac:dyDescent="0.2">
      <c r="A32" s="45" t="s">
        <v>317</v>
      </c>
      <c r="B32" s="35">
        <v>0.31</v>
      </c>
      <c r="C32" s="35">
        <v>0.35399999999999998</v>
      </c>
      <c r="D32" s="24"/>
      <c r="E32" s="145" t="s">
        <v>476</v>
      </c>
      <c r="F32" s="143"/>
      <c r="G32" s="144"/>
    </row>
    <row r="33" spans="1:7" x14ac:dyDescent="0.2">
      <c r="A33" s="45" t="s">
        <v>318</v>
      </c>
      <c r="B33" s="35">
        <v>0.19</v>
      </c>
      <c r="C33" s="35">
        <v>0.247</v>
      </c>
      <c r="D33" s="121"/>
      <c r="E33" s="141" t="s">
        <v>532</v>
      </c>
      <c r="F33" s="143"/>
      <c r="G33" s="144"/>
    </row>
    <row r="34" spans="1:7" x14ac:dyDescent="0.2">
      <c r="A34" s="45" t="s">
        <v>319</v>
      </c>
      <c r="B34" s="35">
        <v>0.33500000000000002</v>
      </c>
      <c r="C34" s="35">
        <v>0.44800000000000001</v>
      </c>
      <c r="D34" s="24"/>
      <c r="E34" s="146" t="s">
        <v>476</v>
      </c>
      <c r="F34" s="144"/>
      <c r="G34" s="144"/>
    </row>
    <row r="35" spans="1:7" x14ac:dyDescent="0.2">
      <c r="A35" s="45" t="s">
        <v>320</v>
      </c>
      <c r="B35" s="35">
        <v>0.36699999999999999</v>
      </c>
      <c r="C35" s="35">
        <v>0.38400000000000001</v>
      </c>
      <c r="D35" s="121"/>
      <c r="E35" s="145" t="s">
        <v>493</v>
      </c>
      <c r="F35" s="144"/>
      <c r="G35" s="144"/>
    </row>
    <row r="36" spans="1:7" x14ac:dyDescent="0.2">
      <c r="A36" s="45" t="s">
        <v>321</v>
      </c>
      <c r="B36" s="83">
        <v>0.20300000000000001</v>
      </c>
      <c r="C36" s="83">
        <v>0.215</v>
      </c>
      <c r="D36" s="24"/>
      <c r="E36" s="243" t="s">
        <v>490</v>
      </c>
      <c r="F36" s="243"/>
      <c r="G36" s="243"/>
    </row>
    <row r="37" spans="1:7" x14ac:dyDescent="0.2">
      <c r="A37" s="45" t="s">
        <v>322</v>
      </c>
      <c r="B37" s="35">
        <v>0.30199999999999999</v>
      </c>
      <c r="C37" s="35">
        <v>0.315</v>
      </c>
      <c r="D37" s="140"/>
      <c r="E37" s="243"/>
      <c r="F37" s="243"/>
      <c r="G37" s="243"/>
    </row>
    <row r="38" spans="1:7" x14ac:dyDescent="0.2">
      <c r="A38" s="45" t="s">
        <v>323</v>
      </c>
      <c r="B38" s="35">
        <v>0.27900000000000003</v>
      </c>
      <c r="C38" s="35">
        <v>0.32300000000000001</v>
      </c>
      <c r="D38" s="24"/>
      <c r="E38" s="243"/>
      <c r="F38" s="243"/>
      <c r="G38" s="243"/>
    </row>
    <row r="39" spans="1:7" x14ac:dyDescent="0.2">
      <c r="A39" s="45" t="s">
        <v>324</v>
      </c>
      <c r="B39" s="35">
        <v>0.313</v>
      </c>
      <c r="C39" s="35">
        <v>0.34200000000000003</v>
      </c>
      <c r="D39" s="24"/>
      <c r="E39" s="243"/>
      <c r="F39" s="243"/>
      <c r="G39" s="243"/>
    </row>
    <row r="40" spans="1:7" x14ac:dyDescent="0.2">
      <c r="A40" s="45" t="s">
        <v>325</v>
      </c>
      <c r="B40" s="35">
        <v>0.20499999999999999</v>
      </c>
      <c r="C40" s="35">
        <v>0.26600000000000001</v>
      </c>
      <c r="D40" s="24"/>
      <c r="E40" s="243"/>
      <c r="F40" s="243"/>
      <c r="G40" s="243"/>
    </row>
    <row r="41" spans="1:7" x14ac:dyDescent="0.2">
      <c r="A41" s="45" t="s">
        <v>402</v>
      </c>
      <c r="B41" s="16">
        <v>0.30800853162899561</v>
      </c>
      <c r="C41" s="16">
        <v>0.37300704491503911</v>
      </c>
      <c r="E41" s="141"/>
    </row>
    <row r="49" spans="4:6" x14ac:dyDescent="0.2">
      <c r="D49" s="68"/>
      <c r="F49" s="24"/>
    </row>
    <row r="50" spans="4:6" x14ac:dyDescent="0.2">
      <c r="D50" s="17"/>
    </row>
    <row r="51" spans="4:6" x14ac:dyDescent="0.2">
      <c r="D51" s="17"/>
    </row>
    <row r="52" spans="4:6" x14ac:dyDescent="0.2">
      <c r="D52" s="17"/>
    </row>
    <row r="53" spans="4:6" x14ac:dyDescent="0.2">
      <c r="D53" s="17"/>
    </row>
    <row r="54" spans="4:6" x14ac:dyDescent="0.2">
      <c r="D54" s="17"/>
    </row>
    <row r="55" spans="4:6" x14ac:dyDescent="0.2">
      <c r="D55" s="17"/>
    </row>
    <row r="56" spans="4:6" x14ac:dyDescent="0.2">
      <c r="D56" s="17"/>
    </row>
    <row r="57" spans="4:6" x14ac:dyDescent="0.2">
      <c r="D57" s="17"/>
    </row>
    <row r="58" spans="4:6" x14ac:dyDescent="0.2">
      <c r="D58" s="17"/>
    </row>
    <row r="59" spans="4:6" x14ac:dyDescent="0.2">
      <c r="D59" s="17"/>
    </row>
    <row r="60" spans="4:6" x14ac:dyDescent="0.2">
      <c r="D60" s="17"/>
    </row>
    <row r="61" spans="4:6" x14ac:dyDescent="0.2">
      <c r="D61" s="17"/>
    </row>
    <row r="62" spans="4:6" x14ac:dyDescent="0.2">
      <c r="D62" s="17"/>
    </row>
    <row r="63" spans="4:6" x14ac:dyDescent="0.2">
      <c r="D63" s="17"/>
    </row>
    <row r="64" spans="4:6" x14ac:dyDescent="0.2">
      <c r="D64" s="17"/>
    </row>
    <row r="65" spans="4:4" x14ac:dyDescent="0.2">
      <c r="D65" s="17"/>
    </row>
    <row r="66" spans="4:4" x14ac:dyDescent="0.2">
      <c r="D66" s="17"/>
    </row>
    <row r="67" spans="4:4" x14ac:dyDescent="0.2">
      <c r="D67" s="17"/>
    </row>
    <row r="68" spans="4:4" x14ac:dyDescent="0.2">
      <c r="D68" s="17"/>
    </row>
    <row r="69" spans="4:4" x14ac:dyDescent="0.2">
      <c r="D69" s="17"/>
    </row>
    <row r="70" spans="4:4" x14ac:dyDescent="0.2">
      <c r="D70" s="17"/>
    </row>
    <row r="71" spans="4:4" x14ac:dyDescent="0.2">
      <c r="D71" s="17"/>
    </row>
    <row r="72" spans="4:4" x14ac:dyDescent="0.2">
      <c r="D72" s="17"/>
    </row>
    <row r="73" spans="4:4" x14ac:dyDescent="0.2">
      <c r="D73" s="17"/>
    </row>
    <row r="74" spans="4:4" x14ac:dyDescent="0.2">
      <c r="D74" s="17"/>
    </row>
    <row r="75" spans="4:4" x14ac:dyDescent="0.2">
      <c r="D75" s="17"/>
    </row>
    <row r="76" spans="4:4" x14ac:dyDescent="0.2">
      <c r="D76" s="17"/>
    </row>
    <row r="77" spans="4:4" x14ac:dyDescent="0.2">
      <c r="D77" s="17"/>
    </row>
    <row r="78" spans="4:4" x14ac:dyDescent="0.2">
      <c r="D78" s="17"/>
    </row>
    <row r="79" spans="4:4" x14ac:dyDescent="0.2">
      <c r="D79" s="17"/>
    </row>
    <row r="80" spans="4:4" x14ac:dyDescent="0.2">
      <c r="D80" s="17"/>
    </row>
    <row r="81" spans="4:4" x14ac:dyDescent="0.2">
      <c r="D81" s="17"/>
    </row>
    <row r="82" spans="4:4" x14ac:dyDescent="0.2">
      <c r="D82" s="17"/>
    </row>
    <row r="83" spans="4:4" x14ac:dyDescent="0.2">
      <c r="D83" s="17"/>
    </row>
    <row r="84" spans="4:4" x14ac:dyDescent="0.2">
      <c r="D84" s="17"/>
    </row>
    <row r="85" spans="4:4" x14ac:dyDescent="0.2">
      <c r="D85" s="17"/>
    </row>
    <row r="86" spans="4:4" x14ac:dyDescent="0.2">
      <c r="D86" s="17"/>
    </row>
    <row r="87" spans="4:4" x14ac:dyDescent="0.2">
      <c r="D87" s="17"/>
    </row>
    <row r="88" spans="4:4" x14ac:dyDescent="0.2">
      <c r="D88" s="17"/>
    </row>
    <row r="89" spans="4:4" x14ac:dyDescent="0.2">
      <c r="D89" s="17"/>
    </row>
    <row r="90" spans="4:4" x14ac:dyDescent="0.2">
      <c r="D90" s="17"/>
    </row>
    <row r="91" spans="4:4" x14ac:dyDescent="0.2">
      <c r="D91" s="17"/>
    </row>
    <row r="92" spans="4:4" x14ac:dyDescent="0.2">
      <c r="D92" s="17"/>
    </row>
    <row r="93" spans="4:4" x14ac:dyDescent="0.2">
      <c r="D93" s="17"/>
    </row>
    <row r="94" spans="4:4" x14ac:dyDescent="0.2">
      <c r="D94" s="17"/>
    </row>
    <row r="95" spans="4:4" x14ac:dyDescent="0.2">
      <c r="D95" s="17"/>
    </row>
    <row r="96" spans="4:4" x14ac:dyDescent="0.2">
      <c r="D96" s="17"/>
    </row>
    <row r="97" spans="4:4" x14ac:dyDescent="0.2">
      <c r="D97" s="17"/>
    </row>
    <row r="98" spans="4:4" x14ac:dyDescent="0.2">
      <c r="D98" s="17"/>
    </row>
    <row r="99" spans="4:4" x14ac:dyDescent="0.2">
      <c r="D99" s="17"/>
    </row>
    <row r="100" spans="4:4" x14ac:dyDescent="0.2">
      <c r="D100" s="17"/>
    </row>
    <row r="101" spans="4:4" x14ac:dyDescent="0.2">
      <c r="D101" s="17"/>
    </row>
    <row r="102" spans="4:4" x14ac:dyDescent="0.2">
      <c r="D102" s="17"/>
    </row>
    <row r="103" spans="4:4" x14ac:dyDescent="0.2">
      <c r="D103" s="17"/>
    </row>
    <row r="104" spans="4:4" x14ac:dyDescent="0.2">
      <c r="D104" s="17"/>
    </row>
    <row r="105" spans="4:4" x14ac:dyDescent="0.2">
      <c r="D105" s="17"/>
    </row>
    <row r="106" spans="4:4" x14ac:dyDescent="0.2">
      <c r="D106" s="17"/>
    </row>
    <row r="107" spans="4:4" x14ac:dyDescent="0.2">
      <c r="D107" s="17"/>
    </row>
    <row r="108" spans="4:4" x14ac:dyDescent="0.2">
      <c r="D108" s="17"/>
    </row>
    <row r="109" spans="4:4" x14ac:dyDescent="0.2">
      <c r="D109" s="17"/>
    </row>
    <row r="110" spans="4:4" x14ac:dyDescent="0.2">
      <c r="D110" s="17"/>
    </row>
    <row r="111" spans="4:4" x14ac:dyDescent="0.2">
      <c r="D111" s="17"/>
    </row>
    <row r="112" spans="4:4" x14ac:dyDescent="0.2">
      <c r="D112" s="17"/>
    </row>
    <row r="113" spans="4:4" x14ac:dyDescent="0.2">
      <c r="D113" s="17"/>
    </row>
    <row r="114" spans="4:4" x14ac:dyDescent="0.2">
      <c r="D114" s="17"/>
    </row>
    <row r="115" spans="4:4" x14ac:dyDescent="0.2">
      <c r="D115" s="17"/>
    </row>
    <row r="116" spans="4:4" x14ac:dyDescent="0.2">
      <c r="D116" s="17"/>
    </row>
    <row r="117" spans="4:4" x14ac:dyDescent="0.2">
      <c r="D117" s="17"/>
    </row>
    <row r="118" spans="4:4" x14ac:dyDescent="0.2">
      <c r="D118" s="17"/>
    </row>
    <row r="119" spans="4:4" x14ac:dyDescent="0.2">
      <c r="D119" s="17"/>
    </row>
    <row r="120" spans="4:4" x14ac:dyDescent="0.2">
      <c r="D120" s="17"/>
    </row>
    <row r="121" spans="4:4" x14ac:dyDescent="0.2">
      <c r="D121" s="17"/>
    </row>
    <row r="122" spans="4:4" x14ac:dyDescent="0.2">
      <c r="D122" s="17"/>
    </row>
    <row r="123" spans="4:4" x14ac:dyDescent="0.2">
      <c r="D123" s="17"/>
    </row>
    <row r="124" spans="4:4" x14ac:dyDescent="0.2">
      <c r="D124" s="17"/>
    </row>
    <row r="125" spans="4:4" x14ac:dyDescent="0.2">
      <c r="D125" s="17"/>
    </row>
    <row r="126" spans="4:4" x14ac:dyDescent="0.2">
      <c r="D126" s="17"/>
    </row>
    <row r="127" spans="4:4" x14ac:dyDescent="0.2">
      <c r="D127" s="17"/>
    </row>
    <row r="128" spans="4:4" x14ac:dyDescent="0.2">
      <c r="D128" s="17"/>
    </row>
    <row r="129" spans="4:4" x14ac:dyDescent="0.2">
      <c r="D129" s="17"/>
    </row>
    <row r="130" spans="4:4" x14ac:dyDescent="0.2">
      <c r="D130" s="17"/>
    </row>
    <row r="131" spans="4:4" x14ac:dyDescent="0.2">
      <c r="D131" s="17"/>
    </row>
    <row r="132" spans="4:4" x14ac:dyDescent="0.2">
      <c r="D132" s="17"/>
    </row>
    <row r="133" spans="4:4" x14ac:dyDescent="0.2">
      <c r="D133" s="17"/>
    </row>
    <row r="134" spans="4:4" x14ac:dyDescent="0.2">
      <c r="D134" s="17"/>
    </row>
    <row r="135" spans="4:4" x14ac:dyDescent="0.2">
      <c r="D135" s="17"/>
    </row>
    <row r="136" spans="4:4" x14ac:dyDescent="0.2">
      <c r="D136" s="17"/>
    </row>
    <row r="137" spans="4:4" x14ac:dyDescent="0.2">
      <c r="D137" s="17"/>
    </row>
    <row r="138" spans="4:4" x14ac:dyDescent="0.2">
      <c r="D138" s="17"/>
    </row>
    <row r="139" spans="4:4" x14ac:dyDescent="0.2">
      <c r="D139" s="17"/>
    </row>
    <row r="140" spans="4:4" x14ac:dyDescent="0.2">
      <c r="D140" s="17"/>
    </row>
    <row r="141" spans="4:4" x14ac:dyDescent="0.2">
      <c r="D141" s="17"/>
    </row>
    <row r="142" spans="4:4" x14ac:dyDescent="0.2">
      <c r="D142" s="17"/>
    </row>
    <row r="143" spans="4:4" x14ac:dyDescent="0.2">
      <c r="D143" s="17"/>
    </row>
    <row r="144" spans="4:4" x14ac:dyDescent="0.2">
      <c r="D144" s="17"/>
    </row>
    <row r="145" spans="4:4" x14ac:dyDescent="0.2">
      <c r="D145" s="17"/>
    </row>
    <row r="146" spans="4:4" x14ac:dyDescent="0.2">
      <c r="D146" s="17"/>
    </row>
    <row r="147" spans="4:4" x14ac:dyDescent="0.2">
      <c r="D147" s="17"/>
    </row>
    <row r="148" spans="4:4" x14ac:dyDescent="0.2">
      <c r="D148" s="17"/>
    </row>
    <row r="149" spans="4:4" x14ac:dyDescent="0.2">
      <c r="D149" s="17"/>
    </row>
    <row r="150" spans="4:4" x14ac:dyDescent="0.2">
      <c r="D150" s="17"/>
    </row>
    <row r="151" spans="4:4" x14ac:dyDescent="0.2">
      <c r="D151" s="17"/>
    </row>
    <row r="152" spans="4:4" x14ac:dyDescent="0.2">
      <c r="D152" s="17"/>
    </row>
    <row r="153" spans="4:4" x14ac:dyDescent="0.2">
      <c r="D153" s="17"/>
    </row>
    <row r="154" spans="4:4" x14ac:dyDescent="0.2">
      <c r="D154" s="17"/>
    </row>
    <row r="155" spans="4:4" x14ac:dyDescent="0.2">
      <c r="D155" s="17"/>
    </row>
    <row r="156" spans="4:4" x14ac:dyDescent="0.2">
      <c r="D156" s="17"/>
    </row>
    <row r="157" spans="4:4" x14ac:dyDescent="0.2">
      <c r="D157" s="17"/>
    </row>
    <row r="158" spans="4:4" x14ac:dyDescent="0.2">
      <c r="D158" s="17"/>
    </row>
    <row r="159" spans="4:4" x14ac:dyDescent="0.2">
      <c r="D159" s="17"/>
    </row>
    <row r="160" spans="4:4" x14ac:dyDescent="0.2">
      <c r="D160" s="17"/>
    </row>
    <row r="161" spans="4:4" x14ac:dyDescent="0.2">
      <c r="D161" s="17"/>
    </row>
    <row r="162" spans="4:4" x14ac:dyDescent="0.2">
      <c r="D162" s="17"/>
    </row>
    <row r="163" spans="4:4" x14ac:dyDescent="0.2">
      <c r="D163" s="17"/>
    </row>
    <row r="164" spans="4:4" x14ac:dyDescent="0.2">
      <c r="D164" s="17"/>
    </row>
    <row r="165" spans="4:4" x14ac:dyDescent="0.2">
      <c r="D165" s="17"/>
    </row>
    <row r="166" spans="4:4" x14ac:dyDescent="0.2">
      <c r="D166" s="17"/>
    </row>
    <row r="167" spans="4:4" x14ac:dyDescent="0.2">
      <c r="D167" s="17"/>
    </row>
    <row r="168" spans="4:4" x14ac:dyDescent="0.2">
      <c r="D168" s="17"/>
    </row>
    <row r="169" spans="4:4" x14ac:dyDescent="0.2">
      <c r="D169" s="17"/>
    </row>
    <row r="170" spans="4:4" x14ac:dyDescent="0.2">
      <c r="D170" s="17"/>
    </row>
    <row r="171" spans="4:4" x14ac:dyDescent="0.2">
      <c r="D171" s="17"/>
    </row>
    <row r="172" spans="4:4" x14ac:dyDescent="0.2">
      <c r="D172" s="17"/>
    </row>
    <row r="173" spans="4:4" x14ac:dyDescent="0.2">
      <c r="D173" s="17"/>
    </row>
    <row r="174" spans="4:4" x14ac:dyDescent="0.2">
      <c r="D174" s="17"/>
    </row>
    <row r="175" spans="4:4" x14ac:dyDescent="0.2">
      <c r="D175" s="17"/>
    </row>
    <row r="176" spans="4:4" x14ac:dyDescent="0.2">
      <c r="D176" s="17"/>
    </row>
    <row r="177" spans="4:4" x14ac:dyDescent="0.2">
      <c r="D177" s="17"/>
    </row>
    <row r="178" spans="4:4" x14ac:dyDescent="0.2">
      <c r="D178" s="17"/>
    </row>
    <row r="179" spans="4:4" x14ac:dyDescent="0.2">
      <c r="D179" s="17"/>
    </row>
    <row r="180" spans="4:4" x14ac:dyDescent="0.2">
      <c r="D180" s="17"/>
    </row>
    <row r="181" spans="4:4" x14ac:dyDescent="0.2">
      <c r="D181" s="17"/>
    </row>
    <row r="182" spans="4:4" x14ac:dyDescent="0.2">
      <c r="D182" s="17"/>
    </row>
    <row r="183" spans="4:4" x14ac:dyDescent="0.2">
      <c r="D183" s="17"/>
    </row>
    <row r="184" spans="4:4" x14ac:dyDescent="0.2">
      <c r="D184" s="17"/>
    </row>
    <row r="185" spans="4:4" x14ac:dyDescent="0.2">
      <c r="D185" s="17"/>
    </row>
    <row r="186" spans="4:4" x14ac:dyDescent="0.2">
      <c r="D186" s="17"/>
    </row>
    <row r="187" spans="4:4" x14ac:dyDescent="0.2">
      <c r="D187" s="17"/>
    </row>
    <row r="188" spans="4:4" x14ac:dyDescent="0.2">
      <c r="D188" s="17"/>
    </row>
    <row r="189" spans="4:4" x14ac:dyDescent="0.2">
      <c r="D189" s="17"/>
    </row>
    <row r="190" spans="4:4" x14ac:dyDescent="0.2">
      <c r="D190" s="17"/>
    </row>
    <row r="191" spans="4:4" x14ac:dyDescent="0.2">
      <c r="D191" s="17"/>
    </row>
    <row r="192" spans="4:4" x14ac:dyDescent="0.2">
      <c r="D192" s="17"/>
    </row>
    <row r="193" spans="4:4" x14ac:dyDescent="0.2">
      <c r="D193" s="17"/>
    </row>
    <row r="194" spans="4:4" x14ac:dyDescent="0.2">
      <c r="D194" s="17"/>
    </row>
    <row r="195" spans="4:4" x14ac:dyDescent="0.2">
      <c r="D195" s="17"/>
    </row>
    <row r="196" spans="4:4" x14ac:dyDescent="0.2">
      <c r="D196" s="17"/>
    </row>
    <row r="197" spans="4:4" x14ac:dyDescent="0.2">
      <c r="D197" s="17"/>
    </row>
    <row r="198" spans="4:4" x14ac:dyDescent="0.2">
      <c r="D198" s="17"/>
    </row>
    <row r="199" spans="4:4" x14ac:dyDescent="0.2">
      <c r="D199" s="17"/>
    </row>
    <row r="200" spans="4:4" x14ac:dyDescent="0.2">
      <c r="D200" s="17"/>
    </row>
    <row r="201" spans="4:4" x14ac:dyDescent="0.2">
      <c r="D201" s="17"/>
    </row>
    <row r="202" spans="4:4" x14ac:dyDescent="0.2">
      <c r="D202" s="17"/>
    </row>
    <row r="203" spans="4:4" x14ac:dyDescent="0.2">
      <c r="D203" s="17"/>
    </row>
    <row r="204" spans="4:4" x14ac:dyDescent="0.2">
      <c r="D204" s="17"/>
    </row>
    <row r="205" spans="4:4" x14ac:dyDescent="0.2">
      <c r="D205" s="17"/>
    </row>
    <row r="206" spans="4:4" x14ac:dyDescent="0.2">
      <c r="D206" s="17"/>
    </row>
    <row r="207" spans="4:4" x14ac:dyDescent="0.2">
      <c r="D207" s="17"/>
    </row>
    <row r="208" spans="4:4" x14ac:dyDescent="0.2">
      <c r="D208" s="17"/>
    </row>
    <row r="209" spans="4:4" x14ac:dyDescent="0.2">
      <c r="D209" s="17"/>
    </row>
    <row r="210" spans="4:4" x14ac:dyDescent="0.2">
      <c r="D210" s="17"/>
    </row>
    <row r="211" spans="4:4" x14ac:dyDescent="0.2">
      <c r="D211" s="17"/>
    </row>
    <row r="212" spans="4:4" x14ac:dyDescent="0.2">
      <c r="D212" s="17"/>
    </row>
    <row r="213" spans="4:4" x14ac:dyDescent="0.2">
      <c r="D213" s="17"/>
    </row>
    <row r="214" spans="4:4" x14ac:dyDescent="0.2">
      <c r="D214" s="17"/>
    </row>
    <row r="215" spans="4:4" x14ac:dyDescent="0.2">
      <c r="D215" s="17"/>
    </row>
    <row r="216" spans="4:4" x14ac:dyDescent="0.2">
      <c r="D216" s="17"/>
    </row>
    <row r="217" spans="4:4" x14ac:dyDescent="0.2">
      <c r="D217" s="17"/>
    </row>
    <row r="218" spans="4:4" x14ac:dyDescent="0.2">
      <c r="D218" s="17"/>
    </row>
    <row r="219" spans="4:4" x14ac:dyDescent="0.2">
      <c r="D219" s="17"/>
    </row>
    <row r="220" spans="4:4" x14ac:dyDescent="0.2">
      <c r="D220" s="17"/>
    </row>
    <row r="221" spans="4:4" x14ac:dyDescent="0.2">
      <c r="D221" s="17"/>
    </row>
    <row r="222" spans="4:4" x14ac:dyDescent="0.2">
      <c r="D222" s="17"/>
    </row>
    <row r="223" spans="4:4" x14ac:dyDescent="0.2">
      <c r="D223" s="17"/>
    </row>
    <row r="224" spans="4:4" x14ac:dyDescent="0.2">
      <c r="D224" s="17"/>
    </row>
    <row r="225" spans="4:4" x14ac:dyDescent="0.2">
      <c r="D225" s="17"/>
    </row>
    <row r="226" spans="4:4" x14ac:dyDescent="0.2">
      <c r="D226" s="17"/>
    </row>
    <row r="227" spans="4:4" x14ac:dyDescent="0.2">
      <c r="D227" s="17"/>
    </row>
    <row r="228" spans="4:4" x14ac:dyDescent="0.2">
      <c r="D228" s="17"/>
    </row>
    <row r="229" spans="4:4" x14ac:dyDescent="0.2">
      <c r="D229" s="17"/>
    </row>
    <row r="230" spans="4:4" x14ac:dyDescent="0.2">
      <c r="D230" s="17"/>
    </row>
    <row r="231" spans="4:4" x14ac:dyDescent="0.2">
      <c r="D231" s="17"/>
    </row>
    <row r="232" spans="4:4" x14ac:dyDescent="0.2">
      <c r="D232" s="17"/>
    </row>
    <row r="233" spans="4:4" x14ac:dyDescent="0.2">
      <c r="D233" s="17"/>
    </row>
    <row r="234" spans="4:4" x14ac:dyDescent="0.2">
      <c r="D234" s="17"/>
    </row>
    <row r="235" spans="4:4" x14ac:dyDescent="0.2">
      <c r="D235" s="17"/>
    </row>
    <row r="236" spans="4:4" x14ac:dyDescent="0.2">
      <c r="D236" s="17"/>
    </row>
    <row r="237" spans="4:4" x14ac:dyDescent="0.2">
      <c r="D237" s="17"/>
    </row>
    <row r="238" spans="4:4" x14ac:dyDescent="0.2">
      <c r="D238" s="17"/>
    </row>
    <row r="239" spans="4:4" x14ac:dyDescent="0.2">
      <c r="D239" s="17"/>
    </row>
    <row r="240" spans="4:4" x14ac:dyDescent="0.2">
      <c r="D240" s="17"/>
    </row>
    <row r="241" spans="4:4" x14ac:dyDescent="0.2">
      <c r="D241" s="17"/>
    </row>
    <row r="242" spans="4:4" x14ac:dyDescent="0.2">
      <c r="D242" s="17"/>
    </row>
    <row r="243" spans="4:4" x14ac:dyDescent="0.2">
      <c r="D243" s="17"/>
    </row>
    <row r="244" spans="4:4" x14ac:dyDescent="0.2">
      <c r="D244" s="17"/>
    </row>
    <row r="245" spans="4:4" x14ac:dyDescent="0.2">
      <c r="D245" s="17"/>
    </row>
    <row r="246" spans="4:4" x14ac:dyDescent="0.2">
      <c r="D246" s="17"/>
    </row>
    <row r="247" spans="4:4" x14ac:dyDescent="0.2">
      <c r="D247" s="17"/>
    </row>
    <row r="248" spans="4:4" x14ac:dyDescent="0.2">
      <c r="D248" s="17"/>
    </row>
    <row r="249" spans="4:4" x14ac:dyDescent="0.2">
      <c r="D249" s="17"/>
    </row>
    <row r="250" spans="4:4" x14ac:dyDescent="0.2">
      <c r="D250" s="17"/>
    </row>
    <row r="251" spans="4:4" x14ac:dyDescent="0.2">
      <c r="D251" s="17"/>
    </row>
    <row r="252" spans="4:4" x14ac:dyDescent="0.2">
      <c r="D252" s="17"/>
    </row>
    <row r="253" spans="4:4" x14ac:dyDescent="0.2">
      <c r="D253" s="17"/>
    </row>
    <row r="254" spans="4:4" x14ac:dyDescent="0.2">
      <c r="D254" s="17"/>
    </row>
    <row r="255" spans="4:4" x14ac:dyDescent="0.2">
      <c r="D255" s="17"/>
    </row>
    <row r="256" spans="4:4" x14ac:dyDescent="0.2">
      <c r="D256" s="17"/>
    </row>
    <row r="257" spans="4:4" x14ac:dyDescent="0.2">
      <c r="D257" s="17"/>
    </row>
    <row r="258" spans="4:4" x14ac:dyDescent="0.2">
      <c r="D258" s="17"/>
    </row>
    <row r="259" spans="4:4" x14ac:dyDescent="0.2">
      <c r="D259" s="17"/>
    </row>
    <row r="260" spans="4:4" x14ac:dyDescent="0.2">
      <c r="D260" s="17"/>
    </row>
    <row r="261" spans="4:4" x14ac:dyDescent="0.2">
      <c r="D261" s="17"/>
    </row>
    <row r="262" spans="4:4" x14ac:dyDescent="0.2">
      <c r="D262" s="17"/>
    </row>
    <row r="263" spans="4:4" x14ac:dyDescent="0.2">
      <c r="D263" s="17"/>
    </row>
    <row r="264" spans="4:4" x14ac:dyDescent="0.2">
      <c r="D264" s="17"/>
    </row>
    <row r="265" spans="4:4" x14ac:dyDescent="0.2">
      <c r="D265" s="17"/>
    </row>
    <row r="266" spans="4:4" x14ac:dyDescent="0.2">
      <c r="D266" s="17"/>
    </row>
    <row r="267" spans="4:4" x14ac:dyDescent="0.2">
      <c r="D267" s="17"/>
    </row>
    <row r="268" spans="4:4" x14ac:dyDescent="0.2">
      <c r="D268" s="17"/>
    </row>
    <row r="269" spans="4:4" x14ac:dyDescent="0.2">
      <c r="D269" s="17"/>
    </row>
    <row r="270" spans="4:4" x14ac:dyDescent="0.2">
      <c r="D270" s="17"/>
    </row>
    <row r="271" spans="4:4" x14ac:dyDescent="0.2">
      <c r="D271" s="17"/>
    </row>
    <row r="272" spans="4:4" x14ac:dyDescent="0.2">
      <c r="D272" s="17"/>
    </row>
  </sheetData>
  <mergeCells count="7">
    <mergeCell ref="E28:G30"/>
    <mergeCell ref="E3:K5"/>
    <mergeCell ref="E36:G40"/>
    <mergeCell ref="E9:G10"/>
    <mergeCell ref="E13:G16"/>
    <mergeCell ref="E18:G23"/>
    <mergeCell ref="E24:G25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E220-D35C-4A24-A836-F2D4EB04706D}">
  <sheetPr codeName="Лист4"/>
  <dimension ref="A1:S454"/>
  <sheetViews>
    <sheetView tabSelected="1" topLeftCell="A377" zoomScale="130" zoomScaleNormal="130" zoomScaleSheetLayoutView="115" workbookViewId="0">
      <selection activeCell="AD34" sqref="AD34"/>
    </sheetView>
  </sheetViews>
  <sheetFormatPr defaultRowHeight="12.75" x14ac:dyDescent="0.2"/>
  <cols>
    <col min="1" max="1" width="4.7109375" style="115" customWidth="1"/>
    <col min="2" max="2" width="49.28515625" customWidth="1"/>
    <col min="3" max="3" width="13.7109375" style="18" customWidth="1"/>
    <col min="4" max="4" width="12" style="18" customWidth="1"/>
    <col min="5" max="5" width="12.28515625" style="204" customWidth="1"/>
    <col min="6" max="6" width="29.5703125" customWidth="1"/>
    <col min="7" max="8" width="9.42578125" customWidth="1"/>
    <col min="9" max="9" width="4.5703125" customWidth="1"/>
    <col min="10" max="10" width="9.28515625" customWidth="1"/>
    <col min="11" max="11" width="9.42578125" customWidth="1"/>
    <col min="12" max="12" width="4.140625" customWidth="1"/>
    <col min="13" max="13" width="4.5703125" customWidth="1"/>
    <col min="14" max="14" width="4.42578125" customWidth="1"/>
    <col min="15" max="15" width="4.7109375" customWidth="1"/>
  </cols>
  <sheetData>
    <row r="1" spans="1:15" s="53" customFormat="1" ht="20.25" customHeight="1" x14ac:dyDescent="0.2">
      <c r="A1" s="111"/>
      <c r="B1" s="50" t="s">
        <v>615</v>
      </c>
      <c r="C1" s="51" t="s">
        <v>459</v>
      </c>
      <c r="D1" s="51" t="s">
        <v>460</v>
      </c>
      <c r="E1" s="202"/>
      <c r="J1" s="51" t="s">
        <v>459</v>
      </c>
      <c r="K1" s="51" t="s">
        <v>460</v>
      </c>
    </row>
    <row r="2" spans="1:15" x14ac:dyDescent="0.2">
      <c r="A2" s="112">
        <v>1</v>
      </c>
      <c r="B2" s="166" t="s">
        <v>868</v>
      </c>
      <c r="C2" s="191">
        <f>121.5/1.73/14.327</f>
        <v>4.9020181386774881</v>
      </c>
      <c r="D2" s="191">
        <f>121.5/(2*11.492)</f>
        <v>5.2862861120779669</v>
      </c>
      <c r="E2" s="205"/>
      <c r="F2" s="193" t="s">
        <v>861</v>
      </c>
      <c r="G2" s="79"/>
      <c r="H2" s="79"/>
      <c r="I2" s="79"/>
      <c r="J2" s="167"/>
      <c r="K2" s="167"/>
      <c r="N2" s="24"/>
    </row>
    <row r="3" spans="1:15" x14ac:dyDescent="0.2">
      <c r="A3" s="112">
        <f>A2+1</f>
        <v>2</v>
      </c>
      <c r="B3" s="166" t="s">
        <v>869</v>
      </c>
      <c r="C3" s="191">
        <f>121.5/1.73/14.338</f>
        <v>4.8982573492001933</v>
      </c>
      <c r="D3" s="191">
        <f>121.5/(2*11.613)</f>
        <v>5.2312064066132784</v>
      </c>
      <c r="E3" s="205"/>
      <c r="F3" s="193" t="s">
        <v>861</v>
      </c>
      <c r="G3" s="79"/>
      <c r="H3" s="79"/>
      <c r="I3" s="79"/>
      <c r="J3" s="167"/>
      <c r="K3" s="167"/>
      <c r="N3" s="24"/>
    </row>
    <row r="4" spans="1:15" x14ac:dyDescent="0.2">
      <c r="A4" s="112">
        <f t="shared" ref="A4:A67" si="0">A3+1</f>
        <v>3</v>
      </c>
      <c r="B4" s="166" t="s">
        <v>291</v>
      </c>
      <c r="C4" s="167">
        <v>2.5499999999999998</v>
      </c>
      <c r="D4" s="167">
        <v>5.42</v>
      </c>
      <c r="E4" s="203"/>
      <c r="F4" s="132" t="s">
        <v>535</v>
      </c>
      <c r="G4" s="80"/>
      <c r="H4" s="80"/>
      <c r="I4" s="80"/>
      <c r="J4" s="167"/>
      <c r="K4" s="167"/>
      <c r="N4" s="24"/>
    </row>
    <row r="5" spans="1:15" x14ac:dyDescent="0.2">
      <c r="A5" s="112">
        <f t="shared" si="0"/>
        <v>4</v>
      </c>
      <c r="B5" s="168" t="s">
        <v>376</v>
      </c>
      <c r="C5" s="86">
        <v>0.19</v>
      </c>
      <c r="D5" s="86">
        <v>0.247</v>
      </c>
      <c r="E5" s="221"/>
      <c r="F5" s="222" t="s">
        <v>535</v>
      </c>
      <c r="G5" s="79"/>
      <c r="H5" s="79"/>
      <c r="I5" s="79"/>
      <c r="J5" s="74"/>
      <c r="K5" s="74"/>
      <c r="N5" s="24"/>
    </row>
    <row r="6" spans="1:15" x14ac:dyDescent="0.2">
      <c r="A6" s="112">
        <f t="shared" si="0"/>
        <v>5</v>
      </c>
      <c r="B6" s="166" t="s">
        <v>404</v>
      </c>
      <c r="C6" s="167">
        <v>6.3479999999999999</v>
      </c>
      <c r="D6" s="167">
        <v>6.79</v>
      </c>
      <c r="E6" s="203"/>
      <c r="F6" s="132" t="s">
        <v>535</v>
      </c>
      <c r="G6" s="80"/>
      <c r="H6" s="80"/>
      <c r="I6" s="80"/>
      <c r="J6" s="167"/>
      <c r="K6" s="167"/>
      <c r="N6" s="24"/>
    </row>
    <row r="7" spans="1:15" x14ac:dyDescent="0.2">
      <c r="A7" s="112">
        <f t="shared" si="0"/>
        <v>6</v>
      </c>
      <c r="B7" s="166" t="s">
        <v>793</v>
      </c>
      <c r="C7" s="167">
        <v>15.784000000000001</v>
      </c>
      <c r="D7" s="167">
        <v>18.87</v>
      </c>
      <c r="E7" s="203"/>
      <c r="F7" s="132" t="s">
        <v>794</v>
      </c>
      <c r="G7" s="80"/>
      <c r="H7" s="80"/>
      <c r="I7" s="80"/>
      <c r="J7" s="167"/>
      <c r="K7" s="167"/>
      <c r="N7" s="24"/>
    </row>
    <row r="8" spans="1:15" x14ac:dyDescent="0.2">
      <c r="A8" s="112">
        <f t="shared" si="0"/>
        <v>7</v>
      </c>
      <c r="B8" s="165" t="s">
        <v>628</v>
      </c>
      <c r="C8" s="86">
        <v>0.19</v>
      </c>
      <c r="D8" s="86">
        <v>0.247</v>
      </c>
      <c r="E8" s="223"/>
      <c r="F8" s="222" t="s">
        <v>535</v>
      </c>
      <c r="G8" s="80"/>
      <c r="H8" s="80"/>
      <c r="I8" s="80"/>
      <c r="J8" s="74"/>
      <c r="K8" s="74"/>
      <c r="N8" s="24"/>
    </row>
    <row r="9" spans="1:15" x14ac:dyDescent="0.2">
      <c r="A9" s="112">
        <f t="shared" si="0"/>
        <v>8</v>
      </c>
      <c r="B9" s="165" t="s">
        <v>629</v>
      </c>
      <c r="C9" s="74">
        <v>0.27900000000000003</v>
      </c>
      <c r="D9" s="74">
        <v>0.32300000000000001</v>
      </c>
      <c r="F9" s="132" t="s">
        <v>535</v>
      </c>
      <c r="G9" s="106"/>
      <c r="H9" s="106"/>
      <c r="I9" s="106"/>
      <c r="J9" s="74"/>
      <c r="K9" s="74"/>
    </row>
    <row r="10" spans="1:15" x14ac:dyDescent="0.2">
      <c r="A10" s="112">
        <f t="shared" si="0"/>
        <v>9</v>
      </c>
      <c r="B10" s="12" t="s">
        <v>553</v>
      </c>
      <c r="C10" s="8">
        <v>0.90312430089092977</v>
      </c>
      <c r="D10" s="8">
        <v>0.99604324207060935</v>
      </c>
      <c r="F10" s="131" t="s">
        <v>538</v>
      </c>
      <c r="G10" s="66"/>
      <c r="H10" s="66"/>
      <c r="I10" s="66"/>
      <c r="J10" s="8">
        <v>0.97516630745264798</v>
      </c>
      <c r="K10" s="8">
        <v>1.066751509502017</v>
      </c>
    </row>
    <row r="11" spans="1:15" x14ac:dyDescent="0.2">
      <c r="A11" s="112">
        <f t="shared" si="0"/>
        <v>10</v>
      </c>
      <c r="B11" s="12" t="s">
        <v>552</v>
      </c>
      <c r="C11" s="8">
        <v>0.89618428424429997</v>
      </c>
      <c r="D11" s="8">
        <v>0.98910220186756637</v>
      </c>
      <c r="F11" s="131" t="s">
        <v>538</v>
      </c>
      <c r="G11" s="66"/>
      <c r="H11" s="66"/>
      <c r="I11" s="66"/>
      <c r="J11" s="8">
        <v>0.96822947117962155</v>
      </c>
      <c r="K11" s="8">
        <v>1.059813203011158</v>
      </c>
    </row>
    <row r="12" spans="1:15" x14ac:dyDescent="0.2">
      <c r="A12" s="112">
        <f t="shared" si="0"/>
        <v>11</v>
      </c>
      <c r="B12" s="7" t="s">
        <v>292</v>
      </c>
      <c r="C12" s="8">
        <v>0.8674055251214432</v>
      </c>
      <c r="D12" s="8">
        <v>0.96023108868813789</v>
      </c>
      <c r="F12" s="131" t="s">
        <v>538</v>
      </c>
      <c r="G12" s="66"/>
      <c r="H12" s="66"/>
      <c r="I12" s="66"/>
      <c r="J12" s="8"/>
      <c r="K12" s="8"/>
      <c r="L12" s="37"/>
      <c r="M12" s="37"/>
      <c r="N12" s="24"/>
      <c r="O12" s="24"/>
    </row>
    <row r="13" spans="1:15" x14ac:dyDescent="0.2">
      <c r="A13" s="112">
        <f t="shared" si="0"/>
        <v>12</v>
      </c>
      <c r="B13" s="9" t="s">
        <v>245</v>
      </c>
      <c r="C13" s="13">
        <v>0.57982287546439171</v>
      </c>
      <c r="D13" s="13">
        <v>0.6728099252179589</v>
      </c>
      <c r="F13" s="131" t="s">
        <v>538</v>
      </c>
      <c r="G13" s="66"/>
      <c r="H13" s="66"/>
      <c r="I13" s="66"/>
      <c r="J13" s="13">
        <v>0.76834456269187135</v>
      </c>
      <c r="K13" s="13">
        <v>0.85952938191859563</v>
      </c>
    </row>
    <row r="14" spans="1:15" x14ac:dyDescent="0.2">
      <c r="A14" s="112">
        <f t="shared" si="0"/>
        <v>13</v>
      </c>
      <c r="B14" s="9" t="s">
        <v>246</v>
      </c>
      <c r="C14" s="13">
        <v>0.58738278697268242</v>
      </c>
      <c r="D14" s="13">
        <v>0.68036985937929051</v>
      </c>
      <c r="F14" s="131" t="s">
        <v>538</v>
      </c>
      <c r="G14" s="66"/>
      <c r="H14" s="66"/>
      <c r="I14" s="66"/>
      <c r="J14" s="13">
        <v>0.7758582236943572</v>
      </c>
      <c r="K14" s="13">
        <v>0.86705233848791574</v>
      </c>
    </row>
    <row r="15" spans="1:15" x14ac:dyDescent="0.2">
      <c r="A15" s="112">
        <f t="shared" si="0"/>
        <v>14</v>
      </c>
      <c r="B15" s="7" t="s">
        <v>772</v>
      </c>
      <c r="C15" s="183">
        <v>0.74299999999999999</v>
      </c>
      <c r="D15" s="183">
        <v>0.83499999999999996</v>
      </c>
      <c r="F15" s="131"/>
      <c r="G15" s="66"/>
      <c r="H15" s="66"/>
      <c r="I15" s="66"/>
      <c r="J15" s="13">
        <v>0.72599999999999998</v>
      </c>
      <c r="K15" s="13">
        <v>0.81799999999999995</v>
      </c>
    </row>
    <row r="16" spans="1:15" x14ac:dyDescent="0.2">
      <c r="A16" s="112">
        <f t="shared" si="0"/>
        <v>15</v>
      </c>
      <c r="B16" s="12" t="s">
        <v>773</v>
      </c>
      <c r="C16" s="184">
        <v>0.74450893893267811</v>
      </c>
      <c r="D16" s="184">
        <v>0.83587795496152573</v>
      </c>
      <c r="F16" s="131" t="s">
        <v>538</v>
      </c>
      <c r="G16" s="66"/>
      <c r="H16" s="66"/>
      <c r="I16" s="66"/>
      <c r="J16" s="8">
        <v>0.72694107388067841</v>
      </c>
      <c r="K16" s="8">
        <v>0.81935317237659711</v>
      </c>
    </row>
    <row r="17" spans="1:11" x14ac:dyDescent="0.2">
      <c r="A17" s="112">
        <f t="shared" si="0"/>
        <v>16</v>
      </c>
      <c r="B17" s="7" t="s">
        <v>247</v>
      </c>
      <c r="C17" s="8">
        <v>0.60341352422377814</v>
      </c>
      <c r="D17" s="8">
        <v>0.69628621138161284</v>
      </c>
      <c r="F17" s="131" t="s">
        <v>538</v>
      </c>
      <c r="G17" s="66"/>
      <c r="H17" s="66"/>
      <c r="I17" s="66"/>
      <c r="J17" s="8">
        <v>0.69261411884104507</v>
      </c>
      <c r="K17" s="8">
        <v>0.78404942554736767</v>
      </c>
    </row>
    <row r="18" spans="1:11" x14ac:dyDescent="0.2">
      <c r="A18" s="112">
        <f t="shared" si="0"/>
        <v>17</v>
      </c>
      <c r="B18" s="7" t="s">
        <v>770</v>
      </c>
      <c r="C18" s="8">
        <v>0.74063649322859693</v>
      </c>
      <c r="D18" s="8">
        <v>0.83201022661861179</v>
      </c>
      <c r="F18" s="131" t="s">
        <v>538</v>
      </c>
      <c r="G18" s="66"/>
      <c r="H18" s="66"/>
      <c r="I18" s="66"/>
      <c r="J18" s="8">
        <v>0.72305663143489773</v>
      </c>
      <c r="K18" s="8">
        <v>0.81547379113910312</v>
      </c>
    </row>
    <row r="19" spans="1:11" x14ac:dyDescent="0.2">
      <c r="A19" s="112">
        <f t="shared" si="0"/>
        <v>18</v>
      </c>
      <c r="B19" s="7" t="s">
        <v>771</v>
      </c>
      <c r="C19" s="8">
        <v>0.75193293274197892</v>
      </c>
      <c r="D19" s="8">
        <v>0.84331566568987282</v>
      </c>
      <c r="F19" s="131" t="s">
        <v>538</v>
      </c>
      <c r="G19" s="66"/>
      <c r="H19" s="66"/>
      <c r="I19" s="66"/>
      <c r="J19" s="8">
        <v>0.73431930019983915</v>
      </c>
      <c r="K19" s="8">
        <v>0.82675293423052432</v>
      </c>
    </row>
    <row r="20" spans="1:11" x14ac:dyDescent="0.2">
      <c r="A20" s="112">
        <f t="shared" si="0"/>
        <v>19</v>
      </c>
      <c r="B20" s="12" t="s">
        <v>870</v>
      </c>
      <c r="C20" s="224">
        <v>0.7456220431406253</v>
      </c>
      <c r="D20" s="224">
        <v>0.75804465028432455</v>
      </c>
      <c r="F20" s="225" t="s">
        <v>876</v>
      </c>
      <c r="G20" s="66"/>
      <c r="H20" s="66"/>
      <c r="I20" s="66"/>
      <c r="J20" s="8">
        <v>0.89724382649783696</v>
      </c>
      <c r="K20" s="8">
        <v>0.90029759994019787</v>
      </c>
    </row>
    <row r="21" spans="1:11" x14ac:dyDescent="0.2">
      <c r="A21" s="112">
        <f t="shared" si="0"/>
        <v>20</v>
      </c>
      <c r="B21" s="12" t="s">
        <v>871</v>
      </c>
      <c r="C21" s="224">
        <v>0.745500468978336</v>
      </c>
      <c r="D21" s="224">
        <v>0.75626397881530316</v>
      </c>
      <c r="F21" s="225" t="s">
        <v>876</v>
      </c>
      <c r="G21" s="66"/>
      <c r="H21" s="66"/>
      <c r="I21" s="66"/>
      <c r="J21" s="8">
        <v>0.89724382649783696</v>
      </c>
      <c r="K21" s="8">
        <v>0.90029759994019787</v>
      </c>
    </row>
    <row r="22" spans="1:11" x14ac:dyDescent="0.2">
      <c r="A22" s="112">
        <f t="shared" si="0"/>
        <v>21</v>
      </c>
      <c r="B22" s="7" t="s">
        <v>421</v>
      </c>
      <c r="C22" s="8">
        <v>0.92504072458990905</v>
      </c>
      <c r="D22" s="8">
        <v>1.0162029441405018</v>
      </c>
      <c r="F22" s="131" t="s">
        <v>538</v>
      </c>
      <c r="G22" s="66"/>
      <c r="H22" s="66"/>
      <c r="I22" s="66"/>
      <c r="J22" s="8">
        <v>0.90793144102383272</v>
      </c>
      <c r="K22" s="8">
        <v>1.000132907566996</v>
      </c>
    </row>
    <row r="23" spans="1:11" x14ac:dyDescent="0.2">
      <c r="A23" s="112">
        <f t="shared" si="0"/>
        <v>22</v>
      </c>
      <c r="B23" s="7" t="s">
        <v>774</v>
      </c>
      <c r="C23" s="8">
        <v>0.89602043647637952</v>
      </c>
      <c r="D23" s="8">
        <v>0.9862962391854293</v>
      </c>
      <c r="F23" s="131" t="s">
        <v>538</v>
      </c>
      <c r="G23" s="66"/>
      <c r="H23" s="66"/>
      <c r="I23" s="66"/>
      <c r="J23" s="8">
        <v>0.8805547946857496</v>
      </c>
      <c r="K23" s="8">
        <v>0.97168057176464262</v>
      </c>
    </row>
    <row r="24" spans="1:11" x14ac:dyDescent="0.2">
      <c r="A24" s="112">
        <f t="shared" si="0"/>
        <v>23</v>
      </c>
      <c r="B24" s="7" t="s">
        <v>775</v>
      </c>
      <c r="C24" s="8">
        <v>0.89300000000000002</v>
      </c>
      <c r="D24" s="8">
        <v>0.98299999999999998</v>
      </c>
      <c r="F24" s="131"/>
      <c r="G24" s="66"/>
      <c r="H24" s="66"/>
      <c r="I24" s="66"/>
      <c r="J24" s="8"/>
      <c r="K24" s="8"/>
    </row>
    <row r="25" spans="1:11" x14ac:dyDescent="0.2">
      <c r="A25" s="112">
        <f t="shared" si="0"/>
        <v>24</v>
      </c>
      <c r="B25" s="163" t="s">
        <v>456</v>
      </c>
      <c r="C25" s="89">
        <v>0.98251283713044213</v>
      </c>
      <c r="D25" s="89">
        <v>1.0751510919522183</v>
      </c>
      <c r="F25" s="131" t="s">
        <v>538</v>
      </c>
      <c r="G25" s="106"/>
      <c r="H25" s="106"/>
      <c r="I25" s="106"/>
      <c r="J25" s="89">
        <v>1.0997343902718104</v>
      </c>
      <c r="K25" s="89">
        <v>1.1908508028459039</v>
      </c>
    </row>
    <row r="26" spans="1:11" x14ac:dyDescent="0.2">
      <c r="A26" s="112">
        <f t="shared" si="0"/>
        <v>25</v>
      </c>
      <c r="B26" s="164" t="s">
        <v>457</v>
      </c>
      <c r="C26" s="89">
        <v>0.99140665632539571</v>
      </c>
      <c r="D26" s="89">
        <v>1.084050905529919</v>
      </c>
      <c r="F26" s="131" t="s">
        <v>538</v>
      </c>
      <c r="G26" s="106"/>
      <c r="H26" s="106"/>
      <c r="I26" s="106"/>
      <c r="J26" s="89">
        <v>1.1086044096471477</v>
      </c>
      <c r="K26" s="89">
        <v>1.1997296810312417</v>
      </c>
    </row>
    <row r="27" spans="1:11" x14ac:dyDescent="0.2">
      <c r="A27" s="112">
        <f t="shared" si="0"/>
        <v>26</v>
      </c>
      <c r="B27" s="38" t="s">
        <v>630</v>
      </c>
      <c r="C27" s="35">
        <v>0.904307522209019</v>
      </c>
      <c r="D27" s="35">
        <v>0.99722523146026332</v>
      </c>
      <c r="F27" s="131" t="s">
        <v>538</v>
      </c>
      <c r="G27" s="66"/>
      <c r="H27" s="66"/>
      <c r="I27" s="66"/>
      <c r="J27" s="35">
        <v>0.97634855320744518</v>
      </c>
      <c r="K27" s="35">
        <v>1.0679327050695031</v>
      </c>
    </row>
    <row r="28" spans="1:11" x14ac:dyDescent="0.2">
      <c r="A28" s="112">
        <f t="shared" si="0"/>
        <v>27</v>
      </c>
      <c r="B28" s="38" t="s">
        <v>631</v>
      </c>
      <c r="C28" s="35">
        <v>0.89716853875442193</v>
      </c>
      <c r="D28" s="35">
        <v>0.99008558785738809</v>
      </c>
      <c r="F28" s="131" t="s">
        <v>538</v>
      </c>
      <c r="G28" s="66"/>
      <c r="H28" s="66"/>
      <c r="I28" s="66"/>
      <c r="J28" s="35">
        <v>0.96921303776804912</v>
      </c>
      <c r="K28" s="35">
        <v>1.0607960300041859</v>
      </c>
    </row>
    <row r="29" spans="1:11" x14ac:dyDescent="0.2">
      <c r="A29" s="112">
        <f t="shared" si="0"/>
        <v>28</v>
      </c>
      <c r="B29" s="38" t="s">
        <v>632</v>
      </c>
      <c r="C29" s="35">
        <v>0.60583246901229004</v>
      </c>
      <c r="D29" s="35">
        <v>0.6986946626598961</v>
      </c>
      <c r="F29" s="131" t="s">
        <v>538</v>
      </c>
      <c r="G29" s="66"/>
      <c r="H29" s="66"/>
      <c r="I29" s="66"/>
      <c r="J29" s="35">
        <v>0.69502293177573171</v>
      </c>
      <c r="K29" s="35">
        <v>0.7864502381032884</v>
      </c>
    </row>
    <row r="30" spans="1:11" x14ac:dyDescent="0.2">
      <c r="A30" s="112">
        <f t="shared" si="0"/>
        <v>29</v>
      </c>
      <c r="B30" s="38" t="s">
        <v>633</v>
      </c>
      <c r="C30" s="35">
        <v>0.58462311593305993</v>
      </c>
      <c r="D30" s="35">
        <v>0.67754014281824337</v>
      </c>
      <c r="F30" s="131" t="s">
        <v>538</v>
      </c>
      <c r="G30" s="66"/>
      <c r="H30" s="66"/>
      <c r="I30" s="66"/>
      <c r="J30" s="35">
        <v>0.77302037739380414</v>
      </c>
      <c r="K30" s="35">
        <v>0.8641644872234826</v>
      </c>
    </row>
    <row r="31" spans="1:11" x14ac:dyDescent="0.2">
      <c r="A31" s="112">
        <f t="shared" si="0"/>
        <v>30</v>
      </c>
      <c r="B31" s="38" t="s">
        <v>634</v>
      </c>
      <c r="C31" s="35">
        <v>0.59217651358697199</v>
      </c>
      <c r="D31" s="35">
        <v>0.68509521925442596</v>
      </c>
      <c r="F31" s="131" t="s">
        <v>538</v>
      </c>
      <c r="G31" s="66"/>
      <c r="H31" s="66"/>
      <c r="I31" s="66"/>
      <c r="J31" s="35">
        <v>0.78053032441632964</v>
      </c>
      <c r="K31" s="35">
        <v>0.87168446541256517</v>
      </c>
    </row>
    <row r="32" spans="1:11" x14ac:dyDescent="0.2">
      <c r="A32" s="112">
        <f t="shared" si="0"/>
        <v>31</v>
      </c>
      <c r="B32" s="38" t="s">
        <v>635</v>
      </c>
      <c r="C32" s="35">
        <v>1.4744195329074836</v>
      </c>
      <c r="D32" s="35">
        <v>1.5624413338635881</v>
      </c>
      <c r="F32" s="131" t="s">
        <v>538</v>
      </c>
      <c r="G32" s="66"/>
      <c r="H32" s="66"/>
      <c r="I32" s="66"/>
      <c r="J32" s="35">
        <v>1.4593676664115436</v>
      </c>
      <c r="K32" s="35">
        <v>1.5481729784228953</v>
      </c>
    </row>
    <row r="33" spans="1:14" x14ac:dyDescent="0.2">
      <c r="A33" s="112">
        <f t="shared" si="0"/>
        <v>32</v>
      </c>
      <c r="B33" s="38" t="s">
        <v>636</v>
      </c>
      <c r="C33" s="35">
        <v>1.6057321676329086</v>
      </c>
      <c r="D33" s="35">
        <v>1.6931514388049964</v>
      </c>
      <c r="F33" s="131" t="s">
        <v>538</v>
      </c>
      <c r="G33" s="66"/>
      <c r="H33" s="66"/>
      <c r="I33" s="66"/>
      <c r="J33" s="35">
        <v>1.5908018304340856</v>
      </c>
      <c r="K33" s="35">
        <v>1.678988906850938</v>
      </c>
    </row>
    <row r="34" spans="1:14" x14ac:dyDescent="0.2">
      <c r="A34" s="112">
        <f t="shared" si="0"/>
        <v>33</v>
      </c>
      <c r="B34" s="7" t="s">
        <v>477</v>
      </c>
      <c r="C34" s="224">
        <v>0.72247236889234412</v>
      </c>
      <c r="D34" s="224">
        <v>0.73376465925292444</v>
      </c>
      <c r="E34" s="203"/>
      <c r="F34" s="225" t="s">
        <v>876</v>
      </c>
      <c r="G34" s="106"/>
      <c r="H34" s="106"/>
      <c r="I34" s="106"/>
      <c r="J34" s="8">
        <v>0.98544867676121817</v>
      </c>
      <c r="K34" s="8">
        <v>0.98821290121491723</v>
      </c>
      <c r="N34" s="24"/>
    </row>
    <row r="35" spans="1:14" x14ac:dyDescent="0.2">
      <c r="A35" s="112">
        <f t="shared" si="0"/>
        <v>34</v>
      </c>
      <c r="B35" s="7" t="s">
        <v>478</v>
      </c>
      <c r="C35" s="224">
        <v>0.47749064195612462</v>
      </c>
      <c r="D35" s="224">
        <v>0.48727431429213924</v>
      </c>
      <c r="E35" s="203"/>
      <c r="F35" s="225" t="s">
        <v>876</v>
      </c>
      <c r="G35" s="106"/>
      <c r="H35" s="106"/>
      <c r="I35" s="106"/>
      <c r="J35" s="8">
        <v>0.74378637478884069</v>
      </c>
      <c r="K35" s="8">
        <v>0.74652960034997518</v>
      </c>
      <c r="N35" s="24"/>
    </row>
    <row r="36" spans="1:14" x14ac:dyDescent="0.2">
      <c r="A36" s="112">
        <f t="shared" si="0"/>
        <v>35</v>
      </c>
      <c r="B36" s="7" t="s">
        <v>479</v>
      </c>
      <c r="C36" s="8">
        <v>0.58126151454555774</v>
      </c>
      <c r="D36" s="8">
        <v>0.63517158006337193</v>
      </c>
      <c r="E36" s="203"/>
      <c r="F36" s="131" t="s">
        <v>538</v>
      </c>
      <c r="G36" s="106"/>
      <c r="H36" s="106"/>
      <c r="I36" s="106"/>
      <c r="J36" s="89">
        <v>0.76880387411371809</v>
      </c>
      <c r="K36" s="89">
        <v>0.77154616822557909</v>
      </c>
      <c r="N36" s="24"/>
    </row>
    <row r="37" spans="1:14" x14ac:dyDescent="0.2">
      <c r="A37" s="112">
        <f t="shared" si="0"/>
        <v>36</v>
      </c>
      <c r="B37" s="7" t="s">
        <v>480</v>
      </c>
      <c r="C37" s="8">
        <v>0.56591928622163568</v>
      </c>
      <c r="D37" s="8">
        <v>0.61980676096506904</v>
      </c>
      <c r="E37" s="203"/>
      <c r="F37" s="131" t="s">
        <v>538</v>
      </c>
      <c r="G37" s="106"/>
      <c r="H37" s="106"/>
      <c r="I37" s="106"/>
      <c r="J37" s="89">
        <v>0.75360605953380699</v>
      </c>
      <c r="K37" s="89">
        <v>0.75634631986768053</v>
      </c>
      <c r="N37" s="24"/>
    </row>
    <row r="38" spans="1:14" s="24" customFormat="1" x14ac:dyDescent="0.2">
      <c r="A38" s="112">
        <f t="shared" si="0"/>
        <v>37</v>
      </c>
      <c r="B38" s="7" t="s">
        <v>393</v>
      </c>
      <c r="C38" s="8">
        <v>3.1680000000000001</v>
      </c>
      <c r="D38" s="8">
        <v>3.1680000000000001</v>
      </c>
      <c r="E38" s="204"/>
      <c r="F38" s="104" t="s">
        <v>394</v>
      </c>
      <c r="G38" s="61"/>
      <c r="J38" s="8"/>
      <c r="K38" s="8"/>
    </row>
    <row r="39" spans="1:14" x14ac:dyDescent="0.2">
      <c r="A39" s="112">
        <f t="shared" si="0"/>
        <v>38</v>
      </c>
      <c r="B39" s="7" t="s">
        <v>481</v>
      </c>
      <c r="C39" s="224">
        <v>0.4986180642726098</v>
      </c>
      <c r="D39" s="224">
        <v>0.51106548277326647</v>
      </c>
      <c r="E39" s="203"/>
      <c r="F39" s="225" t="s">
        <v>876</v>
      </c>
      <c r="G39" s="106"/>
      <c r="H39" s="106"/>
      <c r="I39" s="106"/>
      <c r="J39" s="8">
        <v>0.78233856880616048</v>
      </c>
      <c r="K39" s="8">
        <v>0.78535975212662346</v>
      </c>
      <c r="N39" s="24"/>
    </row>
    <row r="40" spans="1:14" x14ac:dyDescent="0.2">
      <c r="A40" s="112">
        <f t="shared" si="0"/>
        <v>39</v>
      </c>
      <c r="B40" s="7" t="s">
        <v>482</v>
      </c>
      <c r="C40" s="224">
        <v>0.49571860244643445</v>
      </c>
      <c r="D40" s="224">
        <v>0.50650363353690098</v>
      </c>
      <c r="E40" s="203"/>
      <c r="F40" s="225" t="s">
        <v>876</v>
      </c>
      <c r="G40" s="106"/>
      <c r="H40" s="106"/>
      <c r="I40" s="106"/>
      <c r="J40" s="8">
        <v>0.77961193501970549</v>
      </c>
      <c r="K40" s="8">
        <v>0.78263271719823324</v>
      </c>
      <c r="N40" s="24"/>
    </row>
    <row r="41" spans="1:14" x14ac:dyDescent="0.2">
      <c r="A41" s="112">
        <f t="shared" si="0"/>
        <v>40</v>
      </c>
      <c r="B41" s="7" t="s">
        <v>787</v>
      </c>
      <c r="C41" s="8">
        <v>1.1399999999999999</v>
      </c>
      <c r="D41" s="8">
        <v>1.21</v>
      </c>
      <c r="E41" s="203"/>
      <c r="F41" s="131" t="s">
        <v>792</v>
      </c>
      <c r="G41" s="106"/>
      <c r="H41" s="106"/>
      <c r="I41" s="106"/>
      <c r="J41" s="8"/>
      <c r="K41" s="8"/>
      <c r="N41" s="24"/>
    </row>
    <row r="42" spans="1:14" x14ac:dyDescent="0.2">
      <c r="A42" s="112">
        <f t="shared" si="0"/>
        <v>41</v>
      </c>
      <c r="B42" s="7" t="s">
        <v>788</v>
      </c>
      <c r="C42" s="8">
        <v>1.1299999999999999</v>
      </c>
      <c r="D42" s="8">
        <v>1.21</v>
      </c>
      <c r="E42" s="203"/>
      <c r="F42" s="131" t="s">
        <v>792</v>
      </c>
      <c r="G42" s="106"/>
      <c r="H42" s="106"/>
      <c r="I42" s="106"/>
      <c r="J42" s="8"/>
      <c r="K42" s="8"/>
      <c r="N42" s="24"/>
    </row>
    <row r="43" spans="1:14" x14ac:dyDescent="0.2">
      <c r="A43" s="112">
        <f t="shared" si="0"/>
        <v>42</v>
      </c>
      <c r="B43" s="69" t="s">
        <v>458</v>
      </c>
      <c r="C43" s="16">
        <v>0.67400000000000004</v>
      </c>
      <c r="D43" s="16">
        <v>0.752</v>
      </c>
      <c r="E43" s="203"/>
      <c r="F43" s="134" t="s">
        <v>515</v>
      </c>
      <c r="G43" s="80"/>
      <c r="H43" s="80"/>
      <c r="I43" s="80"/>
      <c r="J43" s="16"/>
      <c r="K43" s="16"/>
    </row>
    <row r="44" spans="1:14" x14ac:dyDescent="0.2">
      <c r="A44" s="112">
        <f t="shared" si="0"/>
        <v>43</v>
      </c>
      <c r="B44" s="69" t="s">
        <v>511</v>
      </c>
      <c r="C44" s="16">
        <v>0.34899999999999998</v>
      </c>
      <c r="D44" s="16">
        <v>0.42699999999999999</v>
      </c>
      <c r="F44" s="247" t="s">
        <v>514</v>
      </c>
      <c r="G44" s="79"/>
      <c r="H44" s="79"/>
      <c r="I44" s="79"/>
      <c r="J44" s="16"/>
      <c r="K44" s="16"/>
      <c r="L44" s="123"/>
      <c r="M44" s="123"/>
      <c r="N44" s="24"/>
    </row>
    <row r="45" spans="1:14" x14ac:dyDescent="0.2">
      <c r="A45" s="112">
        <f t="shared" si="0"/>
        <v>44</v>
      </c>
      <c r="B45" s="69" t="s">
        <v>512</v>
      </c>
      <c r="C45" s="16">
        <v>0.34699999999999998</v>
      </c>
      <c r="D45" s="16">
        <v>0.42499999999999999</v>
      </c>
      <c r="E45" s="205"/>
      <c r="F45" s="247"/>
      <c r="G45" s="80"/>
      <c r="H45" s="80"/>
      <c r="I45" s="80"/>
      <c r="J45" s="16"/>
      <c r="K45" s="16"/>
      <c r="L45" s="123"/>
      <c r="M45" s="123"/>
      <c r="N45" s="24"/>
    </row>
    <row r="46" spans="1:14" x14ac:dyDescent="0.2">
      <c r="A46" s="112">
        <f t="shared" si="0"/>
        <v>45</v>
      </c>
      <c r="B46" s="38" t="s">
        <v>637</v>
      </c>
      <c r="C46" s="35">
        <v>0.75106973528280285</v>
      </c>
      <c r="D46" s="35">
        <v>0.80502707819740738</v>
      </c>
      <c r="F46" s="131" t="s">
        <v>538</v>
      </c>
      <c r="G46" s="106"/>
      <c r="H46" s="106"/>
      <c r="I46" s="106"/>
      <c r="J46" s="35">
        <v>1.0398999597660834</v>
      </c>
      <c r="K46" s="35">
        <v>1.0426534702517858</v>
      </c>
      <c r="N46" s="24"/>
    </row>
    <row r="47" spans="1:14" x14ac:dyDescent="0.2">
      <c r="A47" s="112">
        <f t="shared" si="0"/>
        <v>46</v>
      </c>
      <c r="B47" s="38" t="s">
        <v>638</v>
      </c>
      <c r="C47" s="35">
        <v>0.50890452483158177</v>
      </c>
      <c r="D47" s="35">
        <v>0.56243488892010696</v>
      </c>
      <c r="F47" s="131" t="s">
        <v>538</v>
      </c>
      <c r="G47" s="106"/>
      <c r="H47" s="106"/>
      <c r="I47" s="106"/>
      <c r="J47" s="35">
        <v>0.79946019902665366</v>
      </c>
      <c r="K47" s="35">
        <v>0.80218542414206084</v>
      </c>
      <c r="N47" s="24"/>
    </row>
    <row r="48" spans="1:14" x14ac:dyDescent="0.2">
      <c r="A48" s="112">
        <f t="shared" si="0"/>
        <v>47</v>
      </c>
      <c r="B48" s="38" t="s">
        <v>639</v>
      </c>
      <c r="C48" s="35">
        <v>0.49525009988871288</v>
      </c>
      <c r="D48" s="35">
        <v>0.55425992977555072</v>
      </c>
      <c r="F48" s="131" t="s">
        <v>538</v>
      </c>
      <c r="G48" s="106"/>
      <c r="H48" s="106"/>
      <c r="I48" s="106"/>
      <c r="J48" s="35">
        <v>0.80606286742258182</v>
      </c>
      <c r="K48" s="35">
        <v>0.80906497798192567</v>
      </c>
      <c r="N48" s="24"/>
    </row>
    <row r="49" spans="1:15" x14ac:dyDescent="0.2">
      <c r="A49" s="112">
        <f t="shared" si="0"/>
        <v>48</v>
      </c>
      <c r="B49" s="38" t="s">
        <v>640</v>
      </c>
      <c r="C49" s="35">
        <v>0.70901946606124677</v>
      </c>
      <c r="D49" s="35">
        <v>0.76330913670856326</v>
      </c>
      <c r="F49" s="131" t="s">
        <v>538</v>
      </c>
      <c r="G49" s="106"/>
      <c r="H49" s="106"/>
      <c r="I49" s="106"/>
      <c r="J49" s="35">
        <v>0.99922636438364387</v>
      </c>
      <c r="K49" s="35">
        <v>1.0019893261986224</v>
      </c>
      <c r="N49" s="24"/>
    </row>
    <row r="50" spans="1:15" x14ac:dyDescent="0.2">
      <c r="A50" s="112">
        <f t="shared" si="0"/>
        <v>49</v>
      </c>
      <c r="B50" s="38" t="s">
        <v>641</v>
      </c>
      <c r="C50" s="35">
        <v>0.46449014591985388</v>
      </c>
      <c r="D50" s="35">
        <v>0.51871947804837237</v>
      </c>
      <c r="F50" s="131" t="s">
        <v>538</v>
      </c>
      <c r="G50" s="106"/>
      <c r="H50" s="106"/>
      <c r="I50" s="106"/>
      <c r="J50" s="35">
        <v>0.75771005031337713</v>
      </c>
      <c r="K50" s="35">
        <v>0.76045109819896828</v>
      </c>
      <c r="N50" s="24"/>
    </row>
    <row r="51" spans="1:15" x14ac:dyDescent="0.2">
      <c r="A51" s="112">
        <f t="shared" si="0"/>
        <v>50</v>
      </c>
      <c r="B51" s="38" t="s">
        <v>642</v>
      </c>
      <c r="C51" s="35">
        <v>0.48085992283353357</v>
      </c>
      <c r="D51" s="35">
        <v>0.54068960128673782</v>
      </c>
      <c r="F51" s="131" t="s">
        <v>538</v>
      </c>
      <c r="G51" s="106"/>
      <c r="H51" s="106"/>
      <c r="I51" s="106"/>
      <c r="J51" s="35">
        <v>0.79462683738395301</v>
      </c>
      <c r="K51" s="35">
        <v>0.7976463053356484</v>
      </c>
      <c r="N51" s="24"/>
    </row>
    <row r="52" spans="1:15" x14ac:dyDescent="0.2">
      <c r="A52" s="112">
        <f t="shared" si="0"/>
        <v>51</v>
      </c>
      <c r="B52" s="38" t="s">
        <v>643</v>
      </c>
      <c r="C52" s="35">
        <v>0.70815349138405392</v>
      </c>
      <c r="D52" s="35">
        <v>0.76247916736128096</v>
      </c>
      <c r="F52" s="131" t="s">
        <v>538</v>
      </c>
      <c r="G52" s="106"/>
      <c r="H52" s="106"/>
      <c r="I52" s="106"/>
      <c r="J52" s="35">
        <v>0.99850738977339903</v>
      </c>
      <c r="K52" s="35">
        <v>1.0012713417086772</v>
      </c>
      <c r="N52" s="24"/>
    </row>
    <row r="53" spans="1:15" x14ac:dyDescent="0.2">
      <c r="A53" s="112">
        <f t="shared" si="0"/>
        <v>52</v>
      </c>
      <c r="B53" s="38" t="s">
        <v>644</v>
      </c>
      <c r="C53" s="35">
        <v>0.46335749249199065</v>
      </c>
      <c r="D53" s="35">
        <v>0.51766770004666807</v>
      </c>
      <c r="F53" s="131" t="s">
        <v>538</v>
      </c>
      <c r="G53" s="106"/>
      <c r="H53" s="106"/>
      <c r="I53" s="106"/>
      <c r="J53" s="35">
        <v>0.75687660642673615</v>
      </c>
      <c r="K53" s="35">
        <v>0.75961936168041744</v>
      </c>
      <c r="N53" s="24"/>
    </row>
    <row r="54" spans="1:15" x14ac:dyDescent="0.2">
      <c r="A54" s="112">
        <f t="shared" si="0"/>
        <v>53</v>
      </c>
      <c r="B54" s="38" t="s">
        <v>645</v>
      </c>
      <c r="C54" s="35">
        <v>0.47029644479093147</v>
      </c>
      <c r="D54" s="35">
        <v>0.53018843254457726</v>
      </c>
      <c r="F54" s="131" t="s">
        <v>538</v>
      </c>
      <c r="G54" s="106"/>
      <c r="H54" s="106"/>
      <c r="I54" s="106"/>
      <c r="J54" s="35">
        <v>0.78423411352827765</v>
      </c>
      <c r="K54" s="35">
        <v>0.78725526789499578</v>
      </c>
      <c r="N54" s="24"/>
    </row>
    <row r="55" spans="1:15" x14ac:dyDescent="0.2">
      <c r="A55" s="112">
        <f t="shared" si="0"/>
        <v>54</v>
      </c>
      <c r="B55" s="38" t="s">
        <v>646</v>
      </c>
      <c r="C55" s="40">
        <v>0.46751896625692613</v>
      </c>
      <c r="D55" s="40">
        <v>0.52741077791055591</v>
      </c>
      <c r="F55" s="131" t="s">
        <v>538</v>
      </c>
      <c r="G55" s="106"/>
      <c r="H55" s="106"/>
      <c r="I55" s="106"/>
      <c r="J55" s="35">
        <v>0.78150750606491548</v>
      </c>
      <c r="K55" s="35">
        <v>0.78452825909155766</v>
      </c>
      <c r="N55" s="24"/>
    </row>
    <row r="56" spans="1:15" x14ac:dyDescent="0.2">
      <c r="A56" s="112">
        <f t="shared" si="0"/>
        <v>55</v>
      </c>
      <c r="B56" s="39" t="s">
        <v>647</v>
      </c>
      <c r="C56" s="40">
        <v>0.4778346582096768</v>
      </c>
      <c r="D56" s="40">
        <v>0.53200645068052732</v>
      </c>
      <c r="F56" s="131" t="s">
        <v>538</v>
      </c>
      <c r="G56" s="106"/>
      <c r="H56" s="106"/>
      <c r="I56" s="106"/>
      <c r="J56" s="35">
        <v>0.77083985757867401</v>
      </c>
      <c r="K56" s="35">
        <v>0.77357966598274963</v>
      </c>
      <c r="N56" s="24"/>
    </row>
    <row r="57" spans="1:15" x14ac:dyDescent="0.2">
      <c r="A57" s="112">
        <f t="shared" si="0"/>
        <v>56</v>
      </c>
      <c r="B57" s="38" t="s">
        <v>789</v>
      </c>
      <c r="C57" s="40">
        <v>1.2539240745754905</v>
      </c>
      <c r="D57" s="40">
        <v>1.323802245352379</v>
      </c>
      <c r="F57" s="131" t="s">
        <v>792</v>
      </c>
      <c r="G57" s="106"/>
      <c r="H57" s="106"/>
      <c r="I57" s="106"/>
      <c r="J57" s="35"/>
      <c r="K57" s="35"/>
      <c r="N57" s="24"/>
    </row>
    <row r="58" spans="1:15" x14ac:dyDescent="0.2">
      <c r="A58" s="112">
        <f t="shared" si="0"/>
        <v>57</v>
      </c>
      <c r="B58" s="38" t="s">
        <v>790</v>
      </c>
      <c r="C58" s="40">
        <v>1.2356649335479257</v>
      </c>
      <c r="D58" s="40">
        <v>1.315540583942586</v>
      </c>
      <c r="F58" s="131" t="s">
        <v>792</v>
      </c>
      <c r="G58" s="106"/>
      <c r="H58" s="106"/>
      <c r="I58" s="106"/>
      <c r="J58" s="35"/>
      <c r="K58" s="35"/>
      <c r="N58" s="24"/>
    </row>
    <row r="59" spans="1:15" x14ac:dyDescent="0.2">
      <c r="A59" s="112">
        <f t="shared" si="0"/>
        <v>58</v>
      </c>
      <c r="B59" s="38" t="s">
        <v>791</v>
      </c>
      <c r="C59" s="40">
        <v>1.2929758801307933</v>
      </c>
      <c r="D59" s="40">
        <v>1.362763965842948</v>
      </c>
      <c r="F59" s="131" t="s">
        <v>792</v>
      </c>
      <c r="G59" s="106"/>
      <c r="H59" s="106"/>
      <c r="I59" s="106"/>
      <c r="J59" s="35"/>
      <c r="K59" s="35"/>
      <c r="N59" s="24"/>
    </row>
    <row r="60" spans="1:15" x14ac:dyDescent="0.2">
      <c r="A60" s="112">
        <f t="shared" si="0"/>
        <v>59</v>
      </c>
      <c r="B60" s="38" t="s">
        <v>798</v>
      </c>
      <c r="C60" s="40">
        <v>1.2746453022704001</v>
      </c>
      <c r="D60" s="40">
        <v>1.3544211481662563</v>
      </c>
      <c r="F60" s="131" t="s">
        <v>792</v>
      </c>
      <c r="G60" s="106"/>
      <c r="H60" s="106"/>
      <c r="I60" s="106"/>
      <c r="J60" s="35"/>
      <c r="K60" s="35"/>
      <c r="N60" s="24"/>
    </row>
    <row r="61" spans="1:15" s="53" customFormat="1" ht="20.25" customHeight="1" x14ac:dyDescent="0.2">
      <c r="A61" s="112">
        <f t="shared" si="0"/>
        <v>60</v>
      </c>
      <c r="B61" s="54" t="s">
        <v>614</v>
      </c>
      <c r="C61" s="55"/>
      <c r="D61" s="55"/>
      <c r="E61" s="202"/>
      <c r="F61" s="133"/>
      <c r="J61" s="51"/>
      <c r="K61" s="51"/>
    </row>
    <row r="62" spans="1:15" x14ac:dyDescent="0.2">
      <c r="A62" s="112">
        <f t="shared" si="0"/>
        <v>61</v>
      </c>
      <c r="B62" s="166" t="s">
        <v>254</v>
      </c>
      <c r="C62" s="167">
        <v>6.101</v>
      </c>
      <c r="D62" s="170">
        <v>7.0510000000000002</v>
      </c>
      <c r="E62" s="205"/>
      <c r="F62" s="132" t="s">
        <v>535</v>
      </c>
      <c r="G62" s="79"/>
      <c r="H62" s="79"/>
      <c r="I62" s="79"/>
      <c r="J62" s="167"/>
      <c r="K62" s="170"/>
    </row>
    <row r="63" spans="1:15" x14ac:dyDescent="0.2">
      <c r="A63" s="112">
        <f t="shared" si="0"/>
        <v>62</v>
      </c>
      <c r="B63" s="165" t="s">
        <v>419</v>
      </c>
      <c r="C63" s="74">
        <v>0.29899999999999999</v>
      </c>
      <c r="D63" s="74">
        <v>0.33</v>
      </c>
      <c r="E63" s="205"/>
      <c r="F63" s="132" t="s">
        <v>535</v>
      </c>
      <c r="G63" s="79"/>
      <c r="H63" s="79"/>
      <c r="I63" s="79"/>
      <c r="J63" s="74"/>
      <c r="K63" s="74"/>
    </row>
    <row r="64" spans="1:15" x14ac:dyDescent="0.2">
      <c r="A64" s="112">
        <f t="shared" si="0"/>
        <v>63</v>
      </c>
      <c r="B64" s="166" t="s">
        <v>259</v>
      </c>
      <c r="C64" s="167">
        <v>10.308999999999999</v>
      </c>
      <c r="D64" s="167">
        <v>12.894</v>
      </c>
      <c r="E64" s="205"/>
      <c r="F64" s="132" t="s">
        <v>535</v>
      </c>
      <c r="G64" s="79"/>
      <c r="H64" s="79"/>
      <c r="I64" s="79"/>
      <c r="J64" s="167"/>
      <c r="K64" s="167"/>
      <c r="L64" s="37"/>
      <c r="M64" s="37"/>
      <c r="N64" s="24"/>
      <c r="O64" s="24"/>
    </row>
    <row r="65" spans="1:13" x14ac:dyDescent="0.2">
      <c r="A65" s="112">
        <f t="shared" si="0"/>
        <v>64</v>
      </c>
      <c r="B65" s="166" t="s">
        <v>248</v>
      </c>
      <c r="C65" s="167">
        <v>6.141</v>
      </c>
      <c r="D65" s="167">
        <v>6.81</v>
      </c>
      <c r="E65" s="205"/>
      <c r="F65" s="132" t="s">
        <v>535</v>
      </c>
      <c r="G65" s="79"/>
      <c r="H65" s="79"/>
      <c r="I65" s="79"/>
      <c r="J65" s="167"/>
      <c r="K65" s="167"/>
    </row>
    <row r="66" spans="1:13" x14ac:dyDescent="0.2">
      <c r="A66" s="112">
        <f t="shared" si="0"/>
        <v>65</v>
      </c>
      <c r="B66" s="165" t="s">
        <v>390</v>
      </c>
      <c r="C66" s="74">
        <v>0.30199999999999999</v>
      </c>
      <c r="D66" s="74">
        <v>0.317</v>
      </c>
      <c r="E66" s="205"/>
      <c r="F66" s="132" t="s">
        <v>535</v>
      </c>
      <c r="G66" s="79"/>
      <c r="H66" s="79"/>
      <c r="I66" s="79"/>
      <c r="J66" s="74"/>
      <c r="K66" s="74"/>
    </row>
    <row r="67" spans="1:13" x14ac:dyDescent="0.2">
      <c r="A67" s="112">
        <f t="shared" si="0"/>
        <v>66</v>
      </c>
      <c r="B67" s="166" t="s">
        <v>384</v>
      </c>
      <c r="C67" s="191">
        <f>121.7/1.73/13.839</f>
        <v>5.0832300606437277</v>
      </c>
      <c r="D67" s="191">
        <f>121.7/(2*12.549)</f>
        <v>4.8489919515499249</v>
      </c>
      <c r="E67" s="205"/>
      <c r="F67" s="190" t="s">
        <v>861</v>
      </c>
      <c r="G67" s="79"/>
      <c r="H67" s="79"/>
      <c r="I67" s="79"/>
      <c r="J67" s="167"/>
      <c r="K67" s="167"/>
    </row>
    <row r="68" spans="1:13" x14ac:dyDescent="0.2">
      <c r="A68" s="112">
        <f t="shared" ref="A68:A129" si="1">A67+1</f>
        <v>67</v>
      </c>
      <c r="B68" s="165" t="s">
        <v>385</v>
      </c>
      <c r="C68" s="86">
        <v>0.251</v>
      </c>
      <c r="D68" s="86">
        <v>0.27600000000000002</v>
      </c>
      <c r="E68" s="221"/>
      <c r="F68" s="219" t="s">
        <v>861</v>
      </c>
      <c r="G68" s="220" t="s">
        <v>867</v>
      </c>
      <c r="H68" s="79"/>
      <c r="I68" s="79"/>
      <c r="J68" s="74"/>
      <c r="K68" s="74"/>
    </row>
    <row r="69" spans="1:13" x14ac:dyDescent="0.2">
      <c r="A69" s="112">
        <f t="shared" si="1"/>
        <v>68</v>
      </c>
      <c r="B69" s="7" t="s">
        <v>470</v>
      </c>
      <c r="C69" s="224">
        <v>0.72460823264923946</v>
      </c>
      <c r="D69" s="224">
        <v>0.71786483347477892</v>
      </c>
      <c r="F69" s="225" t="s">
        <v>876</v>
      </c>
      <c r="G69" s="66"/>
      <c r="H69" s="66"/>
      <c r="I69" s="66"/>
      <c r="J69" s="89">
        <v>0.69337912525488943</v>
      </c>
      <c r="K69" s="89">
        <v>0.71279842500610613</v>
      </c>
    </row>
    <row r="70" spans="1:13" x14ac:dyDescent="0.2">
      <c r="A70" s="112">
        <f t="shared" si="1"/>
        <v>69</v>
      </c>
      <c r="B70" s="7" t="s">
        <v>471</v>
      </c>
      <c r="C70" s="224">
        <v>0.72267449361664615</v>
      </c>
      <c r="D70" s="224">
        <v>0.71592128588287796</v>
      </c>
      <c r="F70" s="225" t="s">
        <v>876</v>
      </c>
      <c r="G70" s="66"/>
      <c r="H70" s="66"/>
      <c r="I70" s="66"/>
      <c r="J70" s="89">
        <v>0.69141971967892668</v>
      </c>
      <c r="K70" s="89">
        <v>0.71083766075865418</v>
      </c>
      <c r="M70" s="152"/>
    </row>
    <row r="71" spans="1:13" x14ac:dyDescent="0.2">
      <c r="A71" s="112">
        <f t="shared" si="1"/>
        <v>70</v>
      </c>
      <c r="B71" s="7" t="s">
        <v>249</v>
      </c>
      <c r="C71" s="8">
        <v>0.68014406500558278</v>
      </c>
      <c r="D71" s="8">
        <v>0.69956394424226465</v>
      </c>
      <c r="F71" s="131" t="s">
        <v>538</v>
      </c>
      <c r="G71" s="66"/>
      <c r="H71" s="66"/>
      <c r="I71" s="66"/>
      <c r="J71" s="8">
        <v>0.74412932214233607</v>
      </c>
      <c r="K71" s="8">
        <v>0.80873494514709621</v>
      </c>
    </row>
    <row r="72" spans="1:13" x14ac:dyDescent="0.2">
      <c r="A72" s="112">
        <f t="shared" si="1"/>
        <v>71</v>
      </c>
      <c r="B72" s="7" t="s">
        <v>250</v>
      </c>
      <c r="C72" s="8">
        <v>0.68563129473503359</v>
      </c>
      <c r="D72" s="8">
        <v>0.70505498033097713</v>
      </c>
      <c r="F72" s="131" t="s">
        <v>538</v>
      </c>
      <c r="G72" s="66"/>
      <c r="H72" s="66"/>
      <c r="I72" s="66"/>
      <c r="J72" s="8">
        <v>0.74957710135631328</v>
      </c>
      <c r="K72" s="8">
        <v>0.81419950491006621</v>
      </c>
    </row>
    <row r="73" spans="1:13" x14ac:dyDescent="0.2">
      <c r="A73" s="112">
        <f t="shared" si="1"/>
        <v>72</v>
      </c>
      <c r="B73" s="7" t="s">
        <v>333</v>
      </c>
      <c r="C73" s="8">
        <v>0.86683423410557658</v>
      </c>
      <c r="D73" s="8">
        <v>0.88831367705672615</v>
      </c>
      <c r="F73" s="131" t="s">
        <v>538</v>
      </c>
      <c r="G73" s="66"/>
      <c r="H73" s="66"/>
      <c r="I73" s="66"/>
      <c r="J73" s="8">
        <v>0.93942508686582904</v>
      </c>
      <c r="K73" s="8">
        <v>1.0109471467906868</v>
      </c>
    </row>
    <row r="74" spans="1:13" x14ac:dyDescent="0.2">
      <c r="A74" s="112">
        <f t="shared" si="1"/>
        <v>73</v>
      </c>
      <c r="B74" s="7" t="s">
        <v>334</v>
      </c>
      <c r="C74" s="8">
        <v>0.86371355621953827</v>
      </c>
      <c r="D74" s="8">
        <v>0.88519158962681155</v>
      </c>
      <c r="F74" s="131" t="s">
        <v>538</v>
      </c>
      <c r="G74" s="66"/>
      <c r="H74" s="66"/>
      <c r="I74" s="66"/>
      <c r="J74" s="8">
        <v>0.93632300502170196</v>
      </c>
      <c r="K74" s="8">
        <v>1.0078384715936528</v>
      </c>
    </row>
    <row r="75" spans="1:13" x14ac:dyDescent="0.2">
      <c r="A75" s="112">
        <f t="shared" si="1"/>
        <v>74</v>
      </c>
      <c r="B75" s="7" t="s">
        <v>357</v>
      </c>
      <c r="C75" s="224">
        <v>1.0526585910772714</v>
      </c>
      <c r="D75" s="224">
        <v>1.0452785086153822</v>
      </c>
      <c r="F75" s="225" t="s">
        <v>876</v>
      </c>
      <c r="G75" s="66"/>
      <c r="H75" s="66"/>
      <c r="I75" s="66"/>
      <c r="J75" s="8">
        <v>1.0663986182906411</v>
      </c>
      <c r="K75" s="8">
        <v>1.0875579684851508</v>
      </c>
    </row>
    <row r="76" spans="1:13" x14ac:dyDescent="0.2">
      <c r="A76" s="112">
        <f t="shared" si="1"/>
        <v>75</v>
      </c>
      <c r="B76" s="7" t="s">
        <v>358</v>
      </c>
      <c r="C76" s="224">
        <v>1.0864015404006861</v>
      </c>
      <c r="D76" s="224">
        <v>1.0789968594216812</v>
      </c>
      <c r="F76" s="225" t="s">
        <v>876</v>
      </c>
      <c r="G76" s="66"/>
      <c r="H76" s="66"/>
      <c r="I76" s="66"/>
      <c r="J76" s="8">
        <v>1.1002329719619335</v>
      </c>
      <c r="K76" s="8">
        <v>1.1214236636506063</v>
      </c>
    </row>
    <row r="77" spans="1:13" x14ac:dyDescent="0.2">
      <c r="A77" s="112">
        <f t="shared" si="1"/>
        <v>76</v>
      </c>
      <c r="B77" s="7" t="s">
        <v>351</v>
      </c>
      <c r="C77" s="8">
        <v>1.1848219170927368</v>
      </c>
      <c r="D77" s="8">
        <v>1.2421738885885936</v>
      </c>
      <c r="F77" s="131" t="s">
        <v>538</v>
      </c>
      <c r="G77" s="66"/>
      <c r="H77" s="66"/>
      <c r="I77" s="66"/>
      <c r="J77" s="8">
        <v>1.2010115795560075</v>
      </c>
      <c r="K77" s="8">
        <v>1.2587698870857438</v>
      </c>
    </row>
    <row r="78" spans="1:13" x14ac:dyDescent="0.2">
      <c r="A78" s="112">
        <f t="shared" si="1"/>
        <v>77</v>
      </c>
      <c r="B78" s="7" t="s">
        <v>352</v>
      </c>
      <c r="C78" s="8">
        <v>0.9814300622630775</v>
      </c>
      <c r="D78" s="8">
        <v>1.0387117739496881</v>
      </c>
      <c r="F78" s="131" t="s">
        <v>538</v>
      </c>
      <c r="G78" s="66"/>
      <c r="H78" s="66"/>
      <c r="I78" s="66"/>
      <c r="J78" s="8">
        <v>1.2004053013476808</v>
      </c>
      <c r="K78" s="8">
        <v>1.2581614436684412</v>
      </c>
    </row>
    <row r="79" spans="1:13" x14ac:dyDescent="0.2">
      <c r="A79" s="112">
        <f t="shared" si="1"/>
        <v>78</v>
      </c>
      <c r="B79" s="7" t="s">
        <v>540</v>
      </c>
      <c r="C79" s="8">
        <v>0.63534242746627112</v>
      </c>
      <c r="D79" s="8">
        <v>0.66595572484267618</v>
      </c>
      <c r="F79" s="131" t="s">
        <v>538</v>
      </c>
      <c r="G79" s="66"/>
      <c r="H79" s="66"/>
      <c r="I79" s="66"/>
      <c r="J79" s="8">
        <v>0.77997986119558593</v>
      </c>
      <c r="K79" s="8">
        <v>0.85122543245340432</v>
      </c>
      <c r="L79" s="62"/>
    </row>
    <row r="80" spans="1:13" x14ac:dyDescent="0.2">
      <c r="A80" s="112">
        <f t="shared" si="1"/>
        <v>79</v>
      </c>
      <c r="B80" s="7" t="s">
        <v>541</v>
      </c>
      <c r="C80" s="8">
        <v>0.7321353255181271</v>
      </c>
      <c r="D80" s="8">
        <v>0.76278911011073969</v>
      </c>
      <c r="F80" s="131" t="s">
        <v>538</v>
      </c>
      <c r="G80" s="66"/>
      <c r="H80" s="66"/>
      <c r="I80" s="66"/>
      <c r="J80" s="8">
        <v>0.87556008342745129</v>
      </c>
      <c r="K80" s="8">
        <v>0.94706627793132059</v>
      </c>
      <c r="L80" s="62"/>
    </row>
    <row r="81" spans="1:15" x14ac:dyDescent="0.2">
      <c r="A81" s="112">
        <f t="shared" si="1"/>
        <v>80</v>
      </c>
      <c r="B81" s="7" t="s">
        <v>251</v>
      </c>
      <c r="C81" s="8">
        <v>0.74581199482937666</v>
      </c>
      <c r="D81" s="8">
        <v>0.77656830896925877</v>
      </c>
      <c r="F81" s="131" t="s">
        <v>538</v>
      </c>
      <c r="G81" s="66"/>
      <c r="H81" s="66"/>
      <c r="I81" s="66"/>
      <c r="J81" s="8">
        <v>0.88747227536388418</v>
      </c>
      <c r="K81" s="8">
        <v>0.95943379736385659</v>
      </c>
    </row>
    <row r="82" spans="1:15" x14ac:dyDescent="0.2">
      <c r="A82" s="112">
        <f t="shared" si="1"/>
        <v>81</v>
      </c>
      <c r="B82" s="7" t="s">
        <v>252</v>
      </c>
      <c r="C82" s="8">
        <v>0.75021848200332575</v>
      </c>
      <c r="D82" s="8">
        <v>0.78097506823417517</v>
      </c>
      <c r="F82" s="131" t="s">
        <v>538</v>
      </c>
      <c r="G82" s="66"/>
      <c r="H82" s="66"/>
      <c r="I82" s="66"/>
      <c r="J82" s="8">
        <v>0.89184419780113511</v>
      </c>
      <c r="K82" s="8">
        <v>0.96381122616829396</v>
      </c>
    </row>
    <row r="83" spans="1:15" x14ac:dyDescent="0.2">
      <c r="A83" s="112">
        <f t="shared" si="1"/>
        <v>82</v>
      </c>
      <c r="B83" s="7" t="s">
        <v>335</v>
      </c>
      <c r="C83" s="224">
        <v>0.89041699210680936</v>
      </c>
      <c r="D83" s="224">
        <v>0.88291212921942464</v>
      </c>
      <c r="F83" s="225" t="s">
        <v>876</v>
      </c>
      <c r="G83" s="66"/>
      <c r="H83" s="66"/>
      <c r="I83" s="66"/>
      <c r="J83" s="8">
        <v>0.95798646668666976</v>
      </c>
      <c r="K83" s="8">
        <v>0.97939612378865892</v>
      </c>
    </row>
    <row r="84" spans="1:15" x14ac:dyDescent="0.2">
      <c r="A84" s="112">
        <f t="shared" si="1"/>
        <v>83</v>
      </c>
      <c r="B84" s="7" t="s">
        <v>336</v>
      </c>
      <c r="C84" s="224">
        <v>0.88482171900877848</v>
      </c>
      <c r="D84" s="224">
        <v>0.87730617173020442</v>
      </c>
      <c r="F84" s="225" t="s">
        <v>876</v>
      </c>
      <c r="G84" s="66"/>
      <c r="H84" s="66"/>
      <c r="I84" s="66"/>
      <c r="J84" s="8">
        <v>0.95238801840363874</v>
      </c>
      <c r="K84" s="8">
        <v>0.97379455391383762</v>
      </c>
    </row>
    <row r="85" spans="1:15" x14ac:dyDescent="0.2">
      <c r="A85" s="112">
        <f t="shared" si="1"/>
        <v>84</v>
      </c>
      <c r="B85" s="7" t="s">
        <v>519</v>
      </c>
      <c r="C85" s="8">
        <v>0.73262875706606978</v>
      </c>
      <c r="D85" s="8">
        <v>0.75428687518742776</v>
      </c>
      <c r="F85" s="131" t="s">
        <v>538</v>
      </c>
      <c r="G85" s="66"/>
      <c r="H85" s="66"/>
      <c r="I85" s="66"/>
      <c r="J85" s="8">
        <v>1.1096732088094989</v>
      </c>
      <c r="K85" s="8">
        <v>1.1804521090962263</v>
      </c>
    </row>
    <row r="86" spans="1:15" x14ac:dyDescent="0.2">
      <c r="A86" s="112">
        <f t="shared" si="1"/>
        <v>85</v>
      </c>
      <c r="B86" s="7" t="s">
        <v>740</v>
      </c>
      <c r="C86" s="224">
        <v>0.82586170100090128</v>
      </c>
      <c r="D86" s="224">
        <v>0.81831919529163988</v>
      </c>
      <c r="F86" s="225" t="s">
        <v>876</v>
      </c>
      <c r="G86" s="66"/>
      <c r="H86" s="66"/>
      <c r="I86" s="66"/>
      <c r="J86" s="8">
        <v>0.79816903386340277</v>
      </c>
      <c r="K86" s="8">
        <v>0.82887770020578888</v>
      </c>
    </row>
    <row r="87" spans="1:15" x14ac:dyDescent="0.2">
      <c r="A87" s="112">
        <f t="shared" si="1"/>
        <v>86</v>
      </c>
      <c r="B87" s="7" t="s">
        <v>741</v>
      </c>
      <c r="C87" s="224">
        <v>0.82023841861347835</v>
      </c>
      <c r="D87" s="224">
        <v>0.81268473526693397</v>
      </c>
      <c r="F87" s="225" t="s">
        <v>876</v>
      </c>
      <c r="G87" s="66"/>
      <c r="H87" s="66"/>
      <c r="I87" s="66"/>
      <c r="J87" s="8">
        <v>0.79251277794016539</v>
      </c>
      <c r="K87" s="8">
        <v>0.8232204402700638</v>
      </c>
    </row>
    <row r="88" spans="1:15" x14ac:dyDescent="0.2">
      <c r="A88" s="112">
        <f t="shared" si="1"/>
        <v>87</v>
      </c>
      <c r="B88" s="12" t="s">
        <v>337</v>
      </c>
      <c r="C88" s="224">
        <v>0.93800156447048499</v>
      </c>
      <c r="D88" s="224">
        <v>0.93052321100074764</v>
      </c>
      <c r="F88" s="225" t="s">
        <v>876</v>
      </c>
      <c r="G88" s="66"/>
      <c r="H88" s="66"/>
      <c r="I88" s="66"/>
      <c r="J88" s="8">
        <v>1.0057465319101908</v>
      </c>
      <c r="K88" s="8">
        <v>1.0270850860725105</v>
      </c>
    </row>
    <row r="89" spans="1:15" x14ac:dyDescent="0.2">
      <c r="A89" s="112">
        <f t="shared" si="1"/>
        <v>88</v>
      </c>
      <c r="B89" s="12" t="s">
        <v>338</v>
      </c>
      <c r="C89" s="224">
        <v>0.94298058671588203</v>
      </c>
      <c r="D89" s="224">
        <v>0.93548932321784528</v>
      </c>
      <c r="F89" s="225" t="s">
        <v>876</v>
      </c>
      <c r="G89" s="66"/>
      <c r="H89" s="66"/>
      <c r="I89" s="66"/>
      <c r="J89" s="8">
        <v>1.0107068822885179</v>
      </c>
      <c r="K89" s="8">
        <v>1.0320487292451725</v>
      </c>
    </row>
    <row r="90" spans="1:15" x14ac:dyDescent="0.2">
      <c r="A90" s="112">
        <f t="shared" si="1"/>
        <v>89</v>
      </c>
      <c r="B90" s="38" t="s">
        <v>648</v>
      </c>
      <c r="C90" s="35">
        <v>0.30901114967748333</v>
      </c>
      <c r="D90" s="35">
        <v>0.34001013312105866</v>
      </c>
      <c r="F90" s="131" t="s">
        <v>538</v>
      </c>
      <c r="G90" s="66"/>
      <c r="H90" s="66"/>
      <c r="I90" s="66"/>
      <c r="J90" s="35"/>
      <c r="K90" s="35"/>
      <c r="L90" s="24"/>
      <c r="M90" s="24"/>
      <c r="N90" s="24"/>
      <c r="O90" s="24"/>
    </row>
    <row r="91" spans="1:15" x14ac:dyDescent="0.2">
      <c r="A91" s="112">
        <f t="shared" si="1"/>
        <v>90</v>
      </c>
      <c r="B91" s="38" t="s">
        <v>649</v>
      </c>
      <c r="C91" s="35">
        <v>0.30607196866096709</v>
      </c>
      <c r="D91" s="35">
        <v>0.32105926244230987</v>
      </c>
      <c r="F91" s="131" t="s">
        <v>538</v>
      </c>
      <c r="G91" s="80"/>
      <c r="H91" s="80"/>
      <c r="I91" s="80"/>
      <c r="J91" s="35"/>
      <c r="K91" s="35"/>
      <c r="L91" s="37"/>
      <c r="M91" s="37"/>
      <c r="N91" s="24"/>
      <c r="O91" s="24"/>
    </row>
    <row r="92" spans="1:15" x14ac:dyDescent="0.2">
      <c r="A92" s="112">
        <f t="shared" si="1"/>
        <v>91</v>
      </c>
      <c r="B92" s="38" t="s">
        <v>650</v>
      </c>
      <c r="C92" s="35">
        <v>0.32201042090141241</v>
      </c>
      <c r="D92" s="35">
        <v>0.35294272380062391</v>
      </c>
      <c r="F92" s="131" t="s">
        <v>538</v>
      </c>
      <c r="G92" s="66"/>
      <c r="H92" s="66"/>
      <c r="I92" s="66"/>
      <c r="J92" s="35"/>
      <c r="K92" s="35"/>
      <c r="L92" s="37"/>
      <c r="M92" s="37"/>
      <c r="N92" s="24"/>
      <c r="O92" s="24"/>
    </row>
    <row r="93" spans="1:15" x14ac:dyDescent="0.2">
      <c r="A93" s="112">
        <f t="shared" si="1"/>
        <v>92</v>
      </c>
      <c r="B93" s="38" t="s">
        <v>651</v>
      </c>
      <c r="C93" s="35">
        <v>0.32445457576633363</v>
      </c>
      <c r="D93" s="35">
        <v>0.35536255072655942</v>
      </c>
      <c r="F93" s="131" t="s">
        <v>538</v>
      </c>
      <c r="G93" s="66"/>
      <c r="H93" s="66"/>
      <c r="I93" s="66"/>
      <c r="J93" s="35"/>
      <c r="K93" s="35"/>
      <c r="L93" s="37"/>
      <c r="M93" s="37"/>
      <c r="N93" s="24"/>
      <c r="O93" s="24"/>
    </row>
    <row r="94" spans="1:15" x14ac:dyDescent="0.2">
      <c r="A94" s="112">
        <f t="shared" si="1"/>
        <v>93</v>
      </c>
      <c r="B94" s="38" t="s">
        <v>652</v>
      </c>
      <c r="C94" s="35">
        <v>0.76237916561422603</v>
      </c>
      <c r="D94" s="35">
        <v>0.82702714995538373</v>
      </c>
      <c r="F94" s="131" t="s">
        <v>538</v>
      </c>
      <c r="G94" s="66"/>
      <c r="H94" s="66"/>
      <c r="I94" s="66"/>
      <c r="J94" s="35">
        <v>0.70618457180661742</v>
      </c>
      <c r="K94" s="35">
        <v>0.72560030012572374</v>
      </c>
      <c r="L94" s="37"/>
      <c r="M94" s="37"/>
      <c r="N94" s="24"/>
      <c r="O94" s="24"/>
    </row>
    <row r="95" spans="1:15" x14ac:dyDescent="0.2">
      <c r="A95" s="112">
        <f t="shared" si="1"/>
        <v>94</v>
      </c>
      <c r="B95" s="38" t="s">
        <v>653</v>
      </c>
      <c r="C95" s="35">
        <v>0.76043250511781346</v>
      </c>
      <c r="D95" s="35">
        <v>0.8250746669858583</v>
      </c>
      <c r="F95" s="131" t="s">
        <v>538</v>
      </c>
      <c r="G95" s="66"/>
      <c r="H95" s="66"/>
      <c r="I95" s="66"/>
      <c r="J95" s="35">
        <v>0.70422553752645767</v>
      </c>
      <c r="K95" s="35">
        <v>0.72363988778611621</v>
      </c>
      <c r="L95" s="37"/>
      <c r="M95" s="37"/>
      <c r="N95" s="24"/>
      <c r="O95" s="24"/>
    </row>
    <row r="96" spans="1:15" x14ac:dyDescent="0.2">
      <c r="A96" s="112">
        <f t="shared" si="1"/>
        <v>95</v>
      </c>
      <c r="B96" s="38" t="s">
        <v>654</v>
      </c>
      <c r="C96" s="35">
        <v>0.68303119092523923</v>
      </c>
      <c r="D96" s="35">
        <v>0.70245087315956112</v>
      </c>
      <c r="F96" s="131" t="s">
        <v>538</v>
      </c>
      <c r="G96" s="66"/>
      <c r="H96" s="66"/>
      <c r="I96" s="66"/>
      <c r="J96" s="35">
        <v>0.74701583769526092</v>
      </c>
      <c r="K96" s="35">
        <v>0.81162094205738922</v>
      </c>
      <c r="L96" s="37"/>
      <c r="M96" s="37"/>
      <c r="N96" s="24"/>
      <c r="O96" s="24"/>
    </row>
    <row r="97" spans="1:15" x14ac:dyDescent="0.2">
      <c r="A97" s="112">
        <f t="shared" si="1"/>
        <v>96</v>
      </c>
      <c r="B97" s="38" t="s">
        <v>655</v>
      </c>
      <c r="C97" s="35">
        <v>0.68851836386382048</v>
      </c>
      <c r="D97" s="35">
        <v>0.70794185550525324</v>
      </c>
      <c r="F97" s="131" t="s">
        <v>538</v>
      </c>
      <c r="G97" s="66"/>
      <c r="H97" s="66"/>
      <c r="I97" s="66"/>
      <c r="J97" s="35">
        <v>0.75246356973713024</v>
      </c>
      <c r="K97" s="35">
        <v>0.81708546171381535</v>
      </c>
      <c r="L97" s="37"/>
      <c r="M97" s="37"/>
      <c r="N97" s="24"/>
      <c r="O97" s="24"/>
    </row>
    <row r="98" spans="1:15" x14ac:dyDescent="0.2">
      <c r="A98" s="112">
        <f t="shared" si="1"/>
        <v>97</v>
      </c>
      <c r="B98" s="12" t="s">
        <v>474</v>
      </c>
      <c r="C98" s="224">
        <v>0.84855510166084258</v>
      </c>
      <c r="D98" s="224">
        <v>0.86090545100800564</v>
      </c>
      <c r="F98" s="225" t="s">
        <v>876</v>
      </c>
      <c r="G98" s="66"/>
      <c r="H98" s="66"/>
      <c r="I98" s="66"/>
      <c r="J98" s="8">
        <v>1.5404237795153304</v>
      </c>
      <c r="K98" s="8">
        <v>1.5969279759326322</v>
      </c>
      <c r="L98" s="37"/>
      <c r="M98" s="37"/>
      <c r="N98" s="24"/>
      <c r="O98" s="24"/>
    </row>
    <row r="99" spans="1:15" x14ac:dyDescent="0.2">
      <c r="A99" s="112">
        <f t="shared" si="1"/>
        <v>98</v>
      </c>
      <c r="B99" s="12" t="s">
        <v>475</v>
      </c>
      <c r="C99" s="224">
        <v>0.84843424454962835</v>
      </c>
      <c r="D99" s="224">
        <v>0.85913501550478366</v>
      </c>
      <c r="F99" s="225" t="s">
        <v>876</v>
      </c>
      <c r="G99" s="66"/>
      <c r="H99" s="66"/>
      <c r="I99" s="66"/>
      <c r="J99" s="8">
        <v>1.3411969178671321</v>
      </c>
      <c r="K99" s="8">
        <v>1.3973830408575505</v>
      </c>
      <c r="L99" s="37"/>
      <c r="M99" s="37"/>
      <c r="N99" s="24"/>
      <c r="O99" s="24"/>
    </row>
    <row r="100" spans="1:15" x14ac:dyDescent="0.2">
      <c r="A100" s="112">
        <f t="shared" si="1"/>
        <v>99</v>
      </c>
      <c r="B100" s="7" t="s">
        <v>262</v>
      </c>
      <c r="C100" s="8">
        <v>1.1547351131314774</v>
      </c>
      <c r="D100" s="8">
        <v>1.2121529265892017</v>
      </c>
      <c r="F100" s="131" t="s">
        <v>538</v>
      </c>
      <c r="G100" s="66"/>
      <c r="H100" s="66"/>
      <c r="I100" s="66"/>
      <c r="J100" s="8">
        <v>1.2212124282983539</v>
      </c>
      <c r="K100" s="8">
        <v>1.278952013219371</v>
      </c>
      <c r="L100" s="37"/>
      <c r="M100" s="37"/>
      <c r="N100" s="36"/>
      <c r="O100" s="24"/>
    </row>
    <row r="101" spans="1:15" x14ac:dyDescent="0.2">
      <c r="A101" s="112">
        <f t="shared" si="1"/>
        <v>100</v>
      </c>
      <c r="B101" s="7" t="s">
        <v>263</v>
      </c>
      <c r="C101" s="8">
        <v>0.93094132314274602</v>
      </c>
      <c r="D101" s="8">
        <v>0.98831101776453256</v>
      </c>
      <c r="F101" s="131" t="s">
        <v>538</v>
      </c>
      <c r="G101" s="66"/>
      <c r="H101" s="66"/>
      <c r="I101" s="66"/>
      <c r="J101" s="8">
        <v>1.2012244348273815</v>
      </c>
      <c r="K101" s="8">
        <v>1.2588914337248793</v>
      </c>
      <c r="L101" s="37"/>
      <c r="M101" s="37"/>
      <c r="N101" s="36"/>
    </row>
    <row r="102" spans="1:15" x14ac:dyDescent="0.2">
      <c r="A102" s="112">
        <f t="shared" si="1"/>
        <v>101</v>
      </c>
      <c r="B102" s="38" t="s">
        <v>888</v>
      </c>
      <c r="C102" s="35">
        <v>1.1830733948387566</v>
      </c>
      <c r="D102" s="35">
        <v>1.2404635157093238</v>
      </c>
      <c r="F102" s="131" t="s">
        <v>538</v>
      </c>
      <c r="G102" s="66"/>
      <c r="H102" s="66"/>
      <c r="I102" s="66"/>
      <c r="J102" s="35">
        <v>1.2495188804305259</v>
      </c>
      <c r="K102" s="35">
        <v>1.3072334457973807</v>
      </c>
      <c r="N102" s="24"/>
    </row>
    <row r="103" spans="1:15" x14ac:dyDescent="0.2">
      <c r="A103" s="112">
        <f t="shared" si="1"/>
        <v>102</v>
      </c>
      <c r="B103" s="38" t="s">
        <v>889</v>
      </c>
      <c r="C103" s="35">
        <v>0.95941916998917953</v>
      </c>
      <c r="D103" s="35">
        <v>1.0167472326494635</v>
      </c>
      <c r="F103" s="131" t="s">
        <v>538</v>
      </c>
      <c r="G103" s="66"/>
      <c r="H103" s="66"/>
      <c r="I103" s="66"/>
      <c r="J103" s="35">
        <v>1.2295400955115638</v>
      </c>
      <c r="K103" s="35">
        <v>1.287181304497909</v>
      </c>
      <c r="N103" s="24"/>
    </row>
    <row r="104" spans="1:15" x14ac:dyDescent="0.2">
      <c r="A104" s="112">
        <f t="shared" si="1"/>
        <v>103</v>
      </c>
      <c r="B104" s="38" t="s">
        <v>658</v>
      </c>
      <c r="C104" s="35">
        <v>1.1593319356122838</v>
      </c>
      <c r="D104" s="35">
        <v>1.2167480114342739</v>
      </c>
      <c r="F104" s="131" t="s">
        <v>538</v>
      </c>
      <c r="G104" s="66"/>
      <c r="H104" s="66"/>
      <c r="I104" s="66"/>
      <c r="J104" s="35">
        <v>1.2258072538439486</v>
      </c>
      <c r="K104" s="35">
        <v>1.2835452721577227</v>
      </c>
      <c r="N104" s="24"/>
    </row>
    <row r="105" spans="1:15" x14ac:dyDescent="0.2">
      <c r="A105" s="112">
        <f t="shared" si="1"/>
        <v>104</v>
      </c>
      <c r="B105" s="38" t="s">
        <v>659</v>
      </c>
      <c r="C105" s="35">
        <v>0.93554695403375054</v>
      </c>
      <c r="D105" s="35">
        <v>0.99291401214645914</v>
      </c>
      <c r="F105" s="131" t="s">
        <v>538</v>
      </c>
      <c r="G105" s="66"/>
      <c r="H105" s="66"/>
      <c r="I105" s="66"/>
      <c r="J105" s="35">
        <v>1.2058198376507112</v>
      </c>
      <c r="K105" s="35">
        <v>1.2634852207214191</v>
      </c>
      <c r="N105" s="24"/>
    </row>
    <row r="106" spans="1:15" x14ac:dyDescent="0.2">
      <c r="A106" s="112">
        <f t="shared" si="1"/>
        <v>105</v>
      </c>
      <c r="B106" s="7" t="s">
        <v>472</v>
      </c>
      <c r="C106" s="224">
        <v>0.83890387821190548</v>
      </c>
      <c r="D106" s="224">
        <v>0.85127251777542778</v>
      </c>
      <c r="F106" s="225" t="s">
        <v>876</v>
      </c>
      <c r="G106" s="66"/>
      <c r="H106" s="66"/>
      <c r="I106" s="66"/>
      <c r="J106" s="8">
        <v>1.6833099513286862</v>
      </c>
      <c r="K106" s="8">
        <v>1.7394822939708767</v>
      </c>
      <c r="L106" s="37"/>
      <c r="M106" s="37"/>
      <c r="N106" s="24"/>
      <c r="O106" s="24"/>
    </row>
    <row r="107" spans="1:15" x14ac:dyDescent="0.2">
      <c r="A107" s="112">
        <f t="shared" si="1"/>
        <v>106</v>
      </c>
      <c r="B107" s="7" t="s">
        <v>473</v>
      </c>
      <c r="C107" s="224">
        <v>0.83940864918327351</v>
      </c>
      <c r="D107" s="224">
        <v>0.85012540622815158</v>
      </c>
      <c r="F107" s="225" t="s">
        <v>876</v>
      </c>
      <c r="G107" s="66"/>
      <c r="H107" s="66"/>
      <c r="I107" s="66"/>
      <c r="J107" s="8">
        <v>1.486003188490181</v>
      </c>
      <c r="K107" s="8">
        <v>1.5417979271483615</v>
      </c>
      <c r="L107" s="37"/>
      <c r="M107" s="37"/>
      <c r="N107" s="24"/>
      <c r="O107" s="24"/>
    </row>
    <row r="108" spans="1:15" x14ac:dyDescent="0.2">
      <c r="A108" s="112">
        <f t="shared" si="1"/>
        <v>107</v>
      </c>
      <c r="B108" s="38" t="s">
        <v>890</v>
      </c>
      <c r="C108" s="35">
        <v>0.8169993353505427</v>
      </c>
      <c r="D108" s="35">
        <v>0.87650192734782972</v>
      </c>
      <c r="F108" s="131" t="s">
        <v>538</v>
      </c>
      <c r="G108" s="66"/>
      <c r="H108" s="66"/>
      <c r="I108" s="66"/>
      <c r="J108" s="35">
        <v>1.69075396776759</v>
      </c>
      <c r="K108" s="35">
        <v>1.7469248950624503</v>
      </c>
      <c r="L108" s="37"/>
      <c r="M108" s="37"/>
      <c r="N108" s="24"/>
      <c r="O108" s="24"/>
    </row>
    <row r="109" spans="1:15" x14ac:dyDescent="0.2">
      <c r="A109" s="112">
        <f t="shared" si="1"/>
        <v>108</v>
      </c>
      <c r="B109" s="117" t="s">
        <v>253</v>
      </c>
      <c r="C109" s="118">
        <v>0.55000000000000004</v>
      </c>
      <c r="D109" s="118">
        <v>0.6</v>
      </c>
      <c r="F109" s="131" t="s">
        <v>539</v>
      </c>
      <c r="G109" s="66"/>
      <c r="H109" s="66"/>
      <c r="I109" s="66"/>
      <c r="J109" s="118"/>
      <c r="K109" s="118"/>
    </row>
    <row r="110" spans="1:15" x14ac:dyDescent="0.2">
      <c r="A110" s="112">
        <f t="shared" si="1"/>
        <v>109</v>
      </c>
      <c r="B110" s="117" t="s">
        <v>255</v>
      </c>
      <c r="C110" s="118">
        <v>0.99</v>
      </c>
      <c r="D110" s="118">
        <v>1.04</v>
      </c>
      <c r="F110" s="131" t="s">
        <v>539</v>
      </c>
      <c r="G110" s="66"/>
      <c r="H110" s="66"/>
      <c r="I110" s="66"/>
      <c r="J110" s="118"/>
      <c r="K110" s="118"/>
    </row>
    <row r="111" spans="1:15" x14ac:dyDescent="0.2">
      <c r="A111" s="112">
        <f t="shared" si="1"/>
        <v>110</v>
      </c>
      <c r="B111" s="119" t="s">
        <v>660</v>
      </c>
      <c r="C111" s="120">
        <v>1.022</v>
      </c>
      <c r="D111" s="120">
        <v>1.0820000000000001</v>
      </c>
      <c r="F111" s="131" t="s">
        <v>542</v>
      </c>
      <c r="G111" s="66"/>
      <c r="H111" s="66"/>
      <c r="I111" s="66"/>
      <c r="J111" s="120"/>
      <c r="K111" s="120"/>
      <c r="L111" s="37"/>
      <c r="M111" s="37"/>
      <c r="N111" s="24"/>
      <c r="O111" s="24"/>
    </row>
    <row r="112" spans="1:15" s="53" customFormat="1" ht="18.75" customHeight="1" x14ac:dyDescent="0.2">
      <c r="A112" s="112">
        <f t="shared" si="1"/>
        <v>111</v>
      </c>
      <c r="B112" s="54" t="s">
        <v>613</v>
      </c>
      <c r="C112" s="51"/>
      <c r="D112" s="51"/>
      <c r="E112" s="202"/>
      <c r="F112" s="136"/>
      <c r="J112" s="51"/>
      <c r="K112" s="51"/>
      <c r="L112" s="56"/>
      <c r="M112" s="56"/>
      <c r="N112" s="52"/>
      <c r="O112" s="52"/>
    </row>
    <row r="113" spans="1:15" s="53" customFormat="1" ht="15" customHeight="1" x14ac:dyDescent="0.2">
      <c r="A113" s="112">
        <f t="shared" si="1"/>
        <v>112</v>
      </c>
      <c r="B113" s="171" t="s">
        <v>799</v>
      </c>
      <c r="C113" s="234">
        <v>0.36799999999999999</v>
      </c>
      <c r="D113" s="234">
        <v>0.4</v>
      </c>
      <c r="E113" s="202"/>
      <c r="F113" s="249" t="s">
        <v>901</v>
      </c>
      <c r="J113" s="51"/>
      <c r="K113" s="51"/>
      <c r="L113" s="56"/>
      <c r="M113" s="56"/>
      <c r="N113" s="52"/>
      <c r="O113" s="52"/>
    </row>
    <row r="114" spans="1:15" s="53" customFormat="1" ht="15" customHeight="1" x14ac:dyDescent="0.2">
      <c r="A114" s="112">
        <f t="shared" si="1"/>
        <v>113</v>
      </c>
      <c r="B114" s="171" t="s">
        <v>800</v>
      </c>
      <c r="C114" s="234">
        <v>0.23400000000000001</v>
      </c>
      <c r="D114" s="234">
        <v>0.254</v>
      </c>
      <c r="E114" s="202"/>
      <c r="F114" s="249"/>
      <c r="J114" s="51"/>
      <c r="K114" s="51"/>
      <c r="L114" s="56"/>
      <c r="M114" s="56"/>
      <c r="N114" s="52"/>
      <c r="O114" s="52"/>
    </row>
    <row r="115" spans="1:15" s="24" customFormat="1" ht="15" customHeight="1" x14ac:dyDescent="0.2">
      <c r="A115" s="112">
        <f t="shared" si="1"/>
        <v>114</v>
      </c>
      <c r="B115" s="171" t="s">
        <v>290</v>
      </c>
      <c r="C115" s="167">
        <v>7.4859999999999998</v>
      </c>
      <c r="D115" s="167">
        <v>10.455</v>
      </c>
      <c r="E115" s="204"/>
      <c r="F115" s="246" t="s">
        <v>531</v>
      </c>
      <c r="G115" s="127"/>
      <c r="H115" s="127"/>
      <c r="I115" s="127"/>
      <c r="J115" s="167"/>
      <c r="K115" s="167"/>
      <c r="L115" s="107"/>
      <c r="M115" s="107"/>
    </row>
    <row r="116" spans="1:15" s="24" customFormat="1" ht="15" customHeight="1" x14ac:dyDescent="0.2">
      <c r="A116" s="112">
        <f t="shared" si="1"/>
        <v>115</v>
      </c>
      <c r="B116" s="171" t="s">
        <v>454</v>
      </c>
      <c r="C116" s="167">
        <v>5.9080000000000004</v>
      </c>
      <c r="D116" s="167">
        <v>10.920999999999999</v>
      </c>
      <c r="E116" s="199"/>
      <c r="F116" s="246"/>
      <c r="G116" s="127"/>
      <c r="H116" s="127"/>
      <c r="I116" s="127"/>
      <c r="J116" s="167"/>
      <c r="K116" s="167"/>
      <c r="L116" s="107"/>
      <c r="M116" s="107"/>
    </row>
    <row r="117" spans="1:15" s="24" customFormat="1" ht="15" customHeight="1" x14ac:dyDescent="0.2">
      <c r="A117" s="112">
        <f t="shared" si="1"/>
        <v>116</v>
      </c>
      <c r="B117" s="171" t="s">
        <v>455</v>
      </c>
      <c r="C117" s="167">
        <v>3.9569999999999999</v>
      </c>
      <c r="D117" s="167">
        <v>7.4859999999999998</v>
      </c>
      <c r="E117" s="199"/>
      <c r="F117" s="246"/>
      <c r="G117" s="127"/>
      <c r="H117" s="127"/>
      <c r="I117" s="127"/>
      <c r="J117" s="167">
        <v>11.78</v>
      </c>
      <c r="K117" s="167">
        <v>11.88</v>
      </c>
      <c r="L117" s="107"/>
      <c r="M117" s="107"/>
    </row>
    <row r="118" spans="1:15" s="24" customFormat="1" ht="12.75" customHeight="1" x14ac:dyDescent="0.2">
      <c r="A118" s="112">
        <f t="shared" si="1"/>
        <v>117</v>
      </c>
      <c r="B118" s="171" t="s">
        <v>904</v>
      </c>
      <c r="C118" s="234">
        <v>8.31</v>
      </c>
      <c r="D118" s="234">
        <v>8.35</v>
      </c>
      <c r="E118" s="199"/>
      <c r="F118" s="244" t="s">
        <v>902</v>
      </c>
      <c r="G118" s="127"/>
      <c r="H118" s="127"/>
      <c r="I118" s="127"/>
      <c r="J118" s="167"/>
      <c r="K118" s="167"/>
      <c r="L118" s="107"/>
      <c r="M118" s="107"/>
    </row>
    <row r="119" spans="1:15" s="24" customFormat="1" x14ac:dyDescent="0.2">
      <c r="A119" s="112">
        <f t="shared" si="1"/>
        <v>118</v>
      </c>
      <c r="B119" s="171" t="s">
        <v>903</v>
      </c>
      <c r="C119" s="234">
        <v>8.25</v>
      </c>
      <c r="D119" s="234">
        <v>8.27</v>
      </c>
      <c r="E119" s="200"/>
      <c r="F119" s="244"/>
      <c r="G119" s="127"/>
      <c r="H119" s="127"/>
      <c r="I119" s="127"/>
      <c r="J119" s="167"/>
      <c r="K119" s="167"/>
      <c r="L119" s="107"/>
      <c r="M119" s="107"/>
    </row>
    <row r="120" spans="1:15" x14ac:dyDescent="0.2">
      <c r="A120" s="112">
        <f t="shared" si="1"/>
        <v>119</v>
      </c>
      <c r="B120" s="15" t="s">
        <v>803</v>
      </c>
      <c r="C120" s="234">
        <v>0.55200000000000005</v>
      </c>
      <c r="D120" s="234">
        <v>0.58399999999999996</v>
      </c>
      <c r="F120" s="244"/>
      <c r="G120" s="228"/>
      <c r="H120" s="228"/>
      <c r="I120" s="128"/>
      <c r="J120" s="16"/>
      <c r="K120" s="16"/>
    </row>
    <row r="121" spans="1:15" x14ac:dyDescent="0.2">
      <c r="A121" s="112">
        <f t="shared" si="1"/>
        <v>120</v>
      </c>
      <c r="B121" s="15" t="s">
        <v>804</v>
      </c>
      <c r="C121" s="234">
        <v>0.41899999999999998</v>
      </c>
      <c r="D121" s="234">
        <v>0.439</v>
      </c>
      <c r="F121" s="244"/>
      <c r="G121" s="228"/>
      <c r="H121" s="228"/>
      <c r="I121" s="128"/>
      <c r="J121" s="16"/>
      <c r="K121" s="16"/>
    </row>
    <row r="122" spans="1:15" s="24" customFormat="1" x14ac:dyDescent="0.2">
      <c r="A122" s="112">
        <f t="shared" si="1"/>
        <v>121</v>
      </c>
      <c r="B122" s="164" t="s">
        <v>520</v>
      </c>
      <c r="C122" s="89">
        <v>0.61815337880392096</v>
      </c>
      <c r="D122" s="89">
        <v>0.73064308785681653</v>
      </c>
      <c r="E122" s="204"/>
      <c r="F122" s="131" t="s">
        <v>543</v>
      </c>
      <c r="G122" s="124"/>
      <c r="H122" s="124"/>
      <c r="I122" s="124"/>
      <c r="J122" s="89">
        <v>0.86720727444844681</v>
      </c>
      <c r="K122" s="89">
        <v>0.87137868822613729</v>
      </c>
    </row>
    <row r="123" spans="1:15" s="24" customFormat="1" x14ac:dyDescent="0.2">
      <c r="A123" s="112">
        <f t="shared" si="1"/>
        <v>122</v>
      </c>
      <c r="B123" s="164" t="s">
        <v>452</v>
      </c>
      <c r="C123" s="89">
        <v>0.82781612203946775</v>
      </c>
      <c r="D123" s="89">
        <v>0.94041793476550772</v>
      </c>
      <c r="E123" s="204"/>
      <c r="F123" s="131" t="s">
        <v>543</v>
      </c>
      <c r="G123" s="124"/>
      <c r="H123" s="124"/>
      <c r="I123" s="124"/>
      <c r="J123" s="89">
        <v>1.0769604608427845</v>
      </c>
      <c r="K123" s="89">
        <v>1.0811297730242668</v>
      </c>
      <c r="L123" s="107"/>
      <c r="M123" s="107"/>
    </row>
    <row r="124" spans="1:15" s="24" customFormat="1" x14ac:dyDescent="0.2">
      <c r="A124" s="112">
        <f t="shared" si="1"/>
        <v>123</v>
      </c>
      <c r="B124" s="164" t="s">
        <v>453</v>
      </c>
      <c r="C124" s="89">
        <v>1.0704843564816515</v>
      </c>
      <c r="D124" s="89">
        <v>1.2268289538178074</v>
      </c>
      <c r="E124" s="204"/>
      <c r="F124" s="131" t="s">
        <v>543</v>
      </c>
      <c r="G124" s="124"/>
      <c r="H124" s="124"/>
      <c r="I124" s="124"/>
      <c r="J124" s="89">
        <v>1.1813371954263523</v>
      </c>
      <c r="K124" s="89">
        <v>1.2736049542488599</v>
      </c>
      <c r="L124" s="107"/>
      <c r="M124" s="107"/>
    </row>
    <row r="125" spans="1:15" s="24" customFormat="1" ht="12.75" customHeight="1" x14ac:dyDescent="0.2">
      <c r="A125" s="112">
        <f t="shared" si="1"/>
        <v>124</v>
      </c>
      <c r="B125" s="232" t="s">
        <v>895</v>
      </c>
      <c r="C125" s="229">
        <v>2.4063874874314091</v>
      </c>
      <c r="D125" s="229">
        <v>2.5520802020017364</v>
      </c>
      <c r="E125" s="204"/>
      <c r="F125" s="231" t="s">
        <v>893</v>
      </c>
      <c r="G125" s="126"/>
      <c r="H125" s="126"/>
      <c r="I125" s="126"/>
      <c r="J125" s="116">
        <v>2.5095555936854055</v>
      </c>
      <c r="K125" s="116">
        <v>2.5959101949205108</v>
      </c>
      <c r="L125" s="107"/>
      <c r="M125" s="107"/>
    </row>
    <row r="126" spans="1:15" ht="12.75" customHeight="1" x14ac:dyDescent="0.2">
      <c r="A126" s="112">
        <f t="shared" si="1"/>
        <v>125</v>
      </c>
      <c r="B126" s="15" t="s">
        <v>611</v>
      </c>
      <c r="C126" s="16">
        <v>0.63870432059264204</v>
      </c>
      <c r="D126" s="16">
        <v>0.75110852746038115</v>
      </c>
      <c r="F126" s="131" t="s">
        <v>543</v>
      </c>
      <c r="G126" s="126"/>
      <c r="H126" s="126"/>
      <c r="I126" s="126"/>
      <c r="J126" s="16">
        <v>0.88759802835701684</v>
      </c>
      <c r="K126" s="16">
        <v>0.89176752075651433</v>
      </c>
    </row>
    <row r="127" spans="1:15" ht="12.75" customHeight="1" x14ac:dyDescent="0.2">
      <c r="A127" s="112">
        <f t="shared" si="1"/>
        <v>126</v>
      </c>
      <c r="B127" s="38" t="s">
        <v>795</v>
      </c>
      <c r="C127" s="234">
        <v>0.82699999999999996</v>
      </c>
      <c r="D127" s="234">
        <v>0.82799999999999996</v>
      </c>
      <c r="E127" s="206"/>
      <c r="F127" s="244" t="s">
        <v>902</v>
      </c>
      <c r="G127" s="126"/>
      <c r="H127" s="126"/>
      <c r="I127" s="126"/>
      <c r="J127" s="16"/>
      <c r="K127" s="16"/>
    </row>
    <row r="128" spans="1:15" ht="12.75" customHeight="1" x14ac:dyDescent="0.2">
      <c r="A128" s="112">
        <f t="shared" si="1"/>
        <v>127</v>
      </c>
      <c r="B128" s="186" t="s">
        <v>796</v>
      </c>
      <c r="C128" s="234">
        <v>0.82499999999999996</v>
      </c>
      <c r="D128" s="234">
        <v>0.82599999999999996</v>
      </c>
      <c r="E128" s="206"/>
      <c r="F128" s="244"/>
      <c r="G128" s="126"/>
      <c r="H128" s="126"/>
      <c r="I128" s="126"/>
      <c r="J128" s="16"/>
      <c r="K128" s="16"/>
    </row>
    <row r="129" spans="1:19" ht="12.75" customHeight="1" x14ac:dyDescent="0.2">
      <c r="A129" s="112">
        <f t="shared" si="1"/>
        <v>128</v>
      </c>
      <c r="B129" s="38" t="s">
        <v>797</v>
      </c>
      <c r="C129" s="234">
        <v>1.054</v>
      </c>
      <c r="D129" s="234">
        <v>1.0549999999999999</v>
      </c>
      <c r="F129" s="244"/>
      <c r="G129" s="126"/>
      <c r="H129" s="126"/>
      <c r="I129" s="126"/>
      <c r="J129" s="16"/>
      <c r="K129" s="16"/>
    </row>
    <row r="130" spans="1:19" ht="12.75" customHeight="1" x14ac:dyDescent="0.2">
      <c r="A130" s="112">
        <f t="shared" ref="A130:A193" si="2">A129+1</f>
        <v>129</v>
      </c>
      <c r="B130" s="38" t="s">
        <v>891</v>
      </c>
      <c r="C130" s="234">
        <v>1.1659999999999999</v>
      </c>
      <c r="D130" s="234">
        <v>1.167</v>
      </c>
      <c r="F130" s="244"/>
      <c r="G130" s="126"/>
      <c r="H130" s="126"/>
      <c r="I130" s="126"/>
      <c r="J130" s="16"/>
      <c r="K130" s="16"/>
    </row>
    <row r="131" spans="1:19" ht="12.75" customHeight="1" x14ac:dyDescent="0.2">
      <c r="A131" s="112">
        <f t="shared" si="2"/>
        <v>130</v>
      </c>
      <c r="B131" s="38" t="s">
        <v>892</v>
      </c>
      <c r="C131" s="234">
        <v>1.163</v>
      </c>
      <c r="D131" s="234">
        <v>1.1639999999999999</v>
      </c>
      <c r="F131" s="244"/>
      <c r="G131" s="126"/>
      <c r="H131" s="126"/>
      <c r="I131" s="126"/>
      <c r="J131" s="16"/>
      <c r="K131" s="16"/>
    </row>
    <row r="132" spans="1:19" ht="12.75" customHeight="1" x14ac:dyDescent="0.2">
      <c r="A132" s="112">
        <f>A131+1</f>
        <v>131</v>
      </c>
      <c r="B132" s="233" t="s">
        <v>801</v>
      </c>
      <c r="C132" s="229">
        <v>0.38800000000000001</v>
      </c>
      <c r="D132" s="229">
        <v>0.42199999999999999</v>
      </c>
      <c r="F132" s="230" t="s">
        <v>894</v>
      </c>
      <c r="G132" s="126"/>
      <c r="H132" s="126"/>
      <c r="I132" s="126"/>
      <c r="J132" s="16"/>
      <c r="K132" s="16"/>
    </row>
    <row r="133" spans="1:19" ht="12.75" customHeight="1" x14ac:dyDescent="0.2">
      <c r="A133" s="112">
        <f t="shared" si="2"/>
        <v>132</v>
      </c>
      <c r="B133" s="232" t="s">
        <v>802</v>
      </c>
      <c r="C133" s="229">
        <v>0.25</v>
      </c>
      <c r="D133" s="229">
        <v>0.27100000000000002</v>
      </c>
      <c r="F133" s="230" t="s">
        <v>894</v>
      </c>
      <c r="G133" s="126"/>
      <c r="H133" s="126"/>
      <c r="I133" s="126"/>
      <c r="J133" s="16"/>
      <c r="K133" s="16"/>
    </row>
    <row r="134" spans="1:19" s="53" customFormat="1" ht="21" customHeight="1" x14ac:dyDescent="0.2">
      <c r="A134" s="112">
        <f t="shared" si="2"/>
        <v>133</v>
      </c>
      <c r="B134" s="54" t="s">
        <v>612</v>
      </c>
      <c r="C134" s="51"/>
      <c r="D134" s="51" t="s">
        <v>23</v>
      </c>
      <c r="E134" s="202"/>
      <c r="F134" s="133"/>
      <c r="J134" s="51"/>
      <c r="K134" s="51" t="s">
        <v>23</v>
      </c>
    </row>
    <row r="135" spans="1:19" x14ac:dyDescent="0.2">
      <c r="A135" s="112">
        <f t="shared" si="2"/>
        <v>134</v>
      </c>
      <c r="B135" s="166" t="s">
        <v>256</v>
      </c>
      <c r="C135" s="167">
        <v>4.3529999999999998</v>
      </c>
      <c r="D135" s="167">
        <v>4.79</v>
      </c>
      <c r="F135" s="132" t="s">
        <v>535</v>
      </c>
      <c r="G135" s="124"/>
      <c r="H135" s="124"/>
      <c r="I135" s="124"/>
      <c r="J135" s="167"/>
      <c r="K135" s="167"/>
    </row>
    <row r="136" spans="1:19" x14ac:dyDescent="0.2">
      <c r="A136" s="112">
        <f t="shared" si="2"/>
        <v>135</v>
      </c>
      <c r="B136" s="166" t="s">
        <v>483</v>
      </c>
      <c r="C136" s="167">
        <v>4.13</v>
      </c>
      <c r="D136" s="167">
        <v>6.96</v>
      </c>
      <c r="F136" s="132" t="s">
        <v>535</v>
      </c>
      <c r="G136" s="124"/>
      <c r="H136" s="124"/>
      <c r="I136" s="124"/>
      <c r="J136" s="167"/>
      <c r="K136" s="167"/>
      <c r="O136" s="43"/>
      <c r="P136" s="43"/>
      <c r="Q136" s="43"/>
      <c r="R136" s="43"/>
      <c r="S136" s="43"/>
    </row>
    <row r="137" spans="1:19" x14ac:dyDescent="0.2">
      <c r="A137" s="112">
        <f t="shared" si="2"/>
        <v>136</v>
      </c>
      <c r="B137" s="12" t="s">
        <v>347</v>
      </c>
      <c r="C137" s="81">
        <v>0.66261332251082428</v>
      </c>
      <c r="D137" s="81">
        <v>0.75428376719695722</v>
      </c>
      <c r="F137" s="131" t="s">
        <v>538</v>
      </c>
      <c r="G137" s="66"/>
      <c r="H137" s="66"/>
      <c r="I137" s="66"/>
      <c r="J137" s="81">
        <v>0.80591334478704979</v>
      </c>
      <c r="K137" s="81">
        <v>0.81999085317752785</v>
      </c>
      <c r="O137" s="43"/>
      <c r="P137" s="43"/>
      <c r="Q137" s="43"/>
      <c r="R137" s="43"/>
      <c r="S137" s="43"/>
    </row>
    <row r="138" spans="1:19" x14ac:dyDescent="0.2">
      <c r="A138" s="112">
        <f t="shared" si="2"/>
        <v>137</v>
      </c>
      <c r="B138" s="12" t="s">
        <v>841</v>
      </c>
      <c r="C138" s="81">
        <v>0.73251156601878298</v>
      </c>
      <c r="D138" s="81">
        <v>0.74663156062160263</v>
      </c>
      <c r="F138" s="131" t="s">
        <v>538</v>
      </c>
      <c r="G138" s="66"/>
      <c r="H138" s="66"/>
      <c r="I138" s="66"/>
      <c r="J138" s="81">
        <v>0.67286151087550361</v>
      </c>
      <c r="K138" s="81">
        <v>0.76445594125081251</v>
      </c>
    </row>
    <row r="139" spans="1:19" x14ac:dyDescent="0.2">
      <c r="A139" s="112">
        <f t="shared" si="2"/>
        <v>138</v>
      </c>
      <c r="B139" s="12" t="s">
        <v>842</v>
      </c>
      <c r="C139" s="81">
        <v>0.73251156601878298</v>
      </c>
      <c r="D139" s="81">
        <v>0.74663156062160263</v>
      </c>
      <c r="F139" s="131" t="s">
        <v>830</v>
      </c>
      <c r="G139" s="66"/>
      <c r="H139" s="66"/>
      <c r="I139" s="66"/>
      <c r="J139" s="81">
        <v>0.67286151087550361</v>
      </c>
      <c r="K139" s="81">
        <v>0.76445594125081251</v>
      </c>
    </row>
    <row r="140" spans="1:19" x14ac:dyDescent="0.2">
      <c r="A140" s="112">
        <f t="shared" si="2"/>
        <v>139</v>
      </c>
      <c r="B140" s="7" t="s">
        <v>484</v>
      </c>
      <c r="C140" s="81">
        <v>0.64537600967427633</v>
      </c>
      <c r="D140" s="81">
        <v>0.65953410532045387</v>
      </c>
      <c r="F140" s="131" t="s">
        <v>538</v>
      </c>
      <c r="G140" s="66"/>
      <c r="H140" s="66"/>
      <c r="I140" s="66"/>
      <c r="J140" s="81">
        <v>0.97970022915718979</v>
      </c>
      <c r="K140" s="81">
        <v>1.007484633961516</v>
      </c>
    </row>
    <row r="141" spans="1:19" x14ac:dyDescent="0.2">
      <c r="A141" s="112">
        <f t="shared" si="2"/>
        <v>140</v>
      </c>
      <c r="B141" s="7" t="s">
        <v>485</v>
      </c>
      <c r="C141" s="81">
        <v>0.64915581862530625</v>
      </c>
      <c r="D141" s="81">
        <v>0.66331392236319853</v>
      </c>
      <c r="F141" s="131" t="s">
        <v>538</v>
      </c>
      <c r="G141" s="66"/>
      <c r="H141" s="66"/>
      <c r="I141" s="66"/>
      <c r="J141" s="81">
        <v>0.98343357176916113</v>
      </c>
      <c r="K141" s="81">
        <v>1.0112205249759174</v>
      </c>
    </row>
    <row r="142" spans="1:19" x14ac:dyDescent="0.2">
      <c r="A142" s="112">
        <f t="shared" si="2"/>
        <v>141</v>
      </c>
      <c r="B142" s="7" t="s">
        <v>831</v>
      </c>
      <c r="C142" s="81">
        <v>0.51064743574119231</v>
      </c>
      <c r="D142" s="81">
        <v>0.59360029627677557</v>
      </c>
      <c r="F142" s="131" t="s">
        <v>538</v>
      </c>
      <c r="G142" s="66"/>
      <c r="H142" s="66"/>
      <c r="I142" s="66"/>
      <c r="J142" s="81">
        <v>0.60284693099671016</v>
      </c>
      <c r="K142" s="81">
        <v>0.61557508017806462</v>
      </c>
    </row>
    <row r="143" spans="1:19" x14ac:dyDescent="0.2">
      <c r="A143" s="112">
        <f t="shared" si="2"/>
        <v>142</v>
      </c>
      <c r="B143" s="7" t="s">
        <v>832</v>
      </c>
      <c r="C143" s="81">
        <v>0.50510767999928019</v>
      </c>
      <c r="D143" s="81">
        <v>0.58805613774968435</v>
      </c>
      <c r="F143" s="131" t="s">
        <v>538</v>
      </c>
      <c r="G143" s="66"/>
      <c r="H143" s="66"/>
      <c r="I143" s="66"/>
      <c r="J143" s="81">
        <v>0.59734130210571579</v>
      </c>
      <c r="K143" s="81">
        <v>0.61006734679167229</v>
      </c>
    </row>
    <row r="144" spans="1:19" x14ac:dyDescent="0.2">
      <c r="A144" s="112">
        <f t="shared" si="2"/>
        <v>143</v>
      </c>
      <c r="B144" s="7" t="s">
        <v>833</v>
      </c>
      <c r="C144" s="81">
        <v>0.74856975078785171</v>
      </c>
      <c r="D144" s="81">
        <v>0.84063437255217355</v>
      </c>
      <c r="F144" s="131" t="s">
        <v>830</v>
      </c>
      <c r="G144" s="66"/>
      <c r="H144" s="66"/>
      <c r="I144" s="66"/>
      <c r="J144" s="81">
        <v>0.60284693099671016</v>
      </c>
      <c r="K144" s="81">
        <v>0.61557508017806462</v>
      </c>
    </row>
    <row r="145" spans="1:11" x14ac:dyDescent="0.2">
      <c r="A145" s="112">
        <f t="shared" si="2"/>
        <v>144</v>
      </c>
      <c r="B145" s="7" t="s">
        <v>834</v>
      </c>
      <c r="C145" s="81">
        <v>0.56858775981507426</v>
      </c>
      <c r="D145" s="81">
        <v>0.65159009361466846</v>
      </c>
      <c r="F145" s="131" t="s">
        <v>830</v>
      </c>
      <c r="G145" s="66"/>
      <c r="H145" s="66"/>
      <c r="I145" s="66"/>
      <c r="J145" s="81">
        <v>0.59734130210571579</v>
      </c>
      <c r="K145" s="81">
        <v>0.61006734679167229</v>
      </c>
    </row>
    <row r="146" spans="1:11" x14ac:dyDescent="0.2">
      <c r="A146" s="112">
        <f t="shared" si="2"/>
        <v>145</v>
      </c>
      <c r="B146" s="7" t="s">
        <v>257</v>
      </c>
      <c r="C146" s="81">
        <v>0.85380335903093063</v>
      </c>
      <c r="D146" s="81">
        <v>0.86794520330517411</v>
      </c>
      <c r="F146" s="131" t="s">
        <v>538</v>
      </c>
      <c r="G146" s="66"/>
      <c r="H146" s="66"/>
      <c r="I146" s="66"/>
      <c r="J146" s="81">
        <v>1.1938313037648673</v>
      </c>
      <c r="K146" s="81">
        <v>1.2215952027229164</v>
      </c>
    </row>
    <row r="147" spans="1:11" x14ac:dyDescent="0.2">
      <c r="A147" s="112">
        <f t="shared" si="2"/>
        <v>146</v>
      </c>
      <c r="B147" s="7" t="s">
        <v>486</v>
      </c>
      <c r="C147" s="81">
        <v>0.81452915431938344</v>
      </c>
      <c r="D147" s="81">
        <v>0.82867658441928349</v>
      </c>
      <c r="F147" s="131" t="s">
        <v>538</v>
      </c>
      <c r="G147" s="66"/>
      <c r="H147" s="66"/>
      <c r="I147" s="66"/>
      <c r="J147" s="81">
        <v>1.1650043000355024</v>
      </c>
      <c r="K147" s="81">
        <v>1.1927664650808767</v>
      </c>
    </row>
    <row r="148" spans="1:11" x14ac:dyDescent="0.2">
      <c r="A148" s="112">
        <f t="shared" si="2"/>
        <v>147</v>
      </c>
      <c r="B148" s="7" t="s">
        <v>487</v>
      </c>
      <c r="C148" s="81">
        <v>0.81155484518229715</v>
      </c>
      <c r="D148" s="81">
        <v>0.82570219247112486</v>
      </c>
      <c r="F148" s="131" t="s">
        <v>538</v>
      </c>
      <c r="G148" s="66"/>
      <c r="H148" s="66"/>
      <c r="I148" s="66"/>
      <c r="J148" s="81">
        <v>1.1620667805736566</v>
      </c>
      <c r="K148" s="81">
        <v>1.1898271270070886</v>
      </c>
    </row>
    <row r="149" spans="1:11" x14ac:dyDescent="0.2">
      <c r="A149" s="112">
        <f t="shared" si="2"/>
        <v>148</v>
      </c>
      <c r="B149" s="7" t="s">
        <v>835</v>
      </c>
      <c r="C149" s="81">
        <v>0.84953672641117328</v>
      </c>
      <c r="D149" s="81">
        <v>0.94100888080368972</v>
      </c>
      <c r="F149" s="131" t="s">
        <v>538</v>
      </c>
      <c r="G149" s="66"/>
      <c r="H149" s="66"/>
      <c r="I149" s="66"/>
      <c r="J149" s="81">
        <v>0.9506996732726366</v>
      </c>
      <c r="K149" s="81">
        <v>0.96476862862359802</v>
      </c>
    </row>
    <row r="150" spans="1:11" x14ac:dyDescent="0.2">
      <c r="A150" s="112">
        <f t="shared" si="2"/>
        <v>149</v>
      </c>
      <c r="B150" s="7" t="s">
        <v>836</v>
      </c>
      <c r="C150" s="81">
        <v>0.87823804663747074</v>
      </c>
      <c r="D150" s="81">
        <v>0.9697236983994979</v>
      </c>
      <c r="F150" s="131" t="s">
        <v>538</v>
      </c>
      <c r="G150" s="66"/>
      <c r="H150" s="66"/>
      <c r="I150" s="66"/>
      <c r="J150" s="81">
        <v>0.97929504660724476</v>
      </c>
      <c r="K150" s="81">
        <v>0.99336915210028831</v>
      </c>
    </row>
    <row r="151" spans="1:11" x14ac:dyDescent="0.2">
      <c r="A151" s="112">
        <f t="shared" si="2"/>
        <v>150</v>
      </c>
      <c r="B151" s="7" t="s">
        <v>837</v>
      </c>
      <c r="C151" s="81">
        <v>0.91857431886575369</v>
      </c>
      <c r="D151" s="81">
        <v>1.0106790411635551</v>
      </c>
      <c r="F151" s="131" t="s">
        <v>830</v>
      </c>
      <c r="G151" s="66"/>
      <c r="H151" s="66"/>
      <c r="I151" s="66"/>
      <c r="J151" s="81">
        <v>0.9506996732726366</v>
      </c>
      <c r="K151" s="81">
        <v>0.96476862862359802</v>
      </c>
    </row>
    <row r="152" spans="1:11" x14ac:dyDescent="0.2">
      <c r="A152" s="112">
        <f t="shared" si="2"/>
        <v>151</v>
      </c>
      <c r="B152" s="7" t="s">
        <v>838</v>
      </c>
      <c r="C152" s="81">
        <v>0.94581433538599868</v>
      </c>
      <c r="D152" s="81">
        <v>1.0379520607897355</v>
      </c>
      <c r="F152" s="131" t="s">
        <v>830</v>
      </c>
      <c r="G152" s="66"/>
      <c r="H152" s="66"/>
      <c r="I152" s="66"/>
      <c r="J152" s="81">
        <v>0.97929504660724476</v>
      </c>
      <c r="K152" s="81">
        <v>0.99336915210028831</v>
      </c>
    </row>
    <row r="153" spans="1:11" x14ac:dyDescent="0.2">
      <c r="A153" s="112">
        <f t="shared" si="2"/>
        <v>152</v>
      </c>
      <c r="B153" s="7" t="s">
        <v>468</v>
      </c>
      <c r="C153" s="81">
        <v>0.90461829768868363</v>
      </c>
      <c r="D153" s="81">
        <v>0.91867545071158385</v>
      </c>
      <c r="F153" s="131" t="s">
        <v>538</v>
      </c>
      <c r="G153" s="66"/>
      <c r="H153" s="66"/>
      <c r="I153" s="66"/>
      <c r="J153" s="81">
        <v>1.2021730049914181</v>
      </c>
      <c r="K153" s="81">
        <v>1.2297610922923266</v>
      </c>
    </row>
    <row r="154" spans="1:11" x14ac:dyDescent="0.2">
      <c r="A154" s="112">
        <f t="shared" si="2"/>
        <v>153</v>
      </c>
      <c r="B154" s="7" t="s">
        <v>469</v>
      </c>
      <c r="C154" s="81">
        <v>0.92530703148300142</v>
      </c>
      <c r="D154" s="81">
        <v>0.93936866173480804</v>
      </c>
      <c r="F154" s="131" t="s">
        <v>538</v>
      </c>
      <c r="G154" s="66"/>
      <c r="H154" s="66"/>
      <c r="I154" s="66"/>
      <c r="J154" s="81">
        <v>1.2226114350462327</v>
      </c>
      <c r="K154" s="81">
        <v>1.2502172417584589</v>
      </c>
    </row>
    <row r="155" spans="1:11" x14ac:dyDescent="0.2">
      <c r="A155" s="112">
        <f t="shared" si="2"/>
        <v>154</v>
      </c>
      <c r="B155" s="7" t="s">
        <v>839</v>
      </c>
      <c r="C155" s="81">
        <v>0.70250335569535882</v>
      </c>
      <c r="D155" s="81">
        <v>0.79366740484616094</v>
      </c>
      <c r="F155" s="131" t="s">
        <v>538</v>
      </c>
      <c r="G155" s="66"/>
      <c r="H155" s="66"/>
      <c r="I155" s="66"/>
      <c r="J155" s="81">
        <v>0.8051263522201243</v>
      </c>
      <c r="K155" s="81">
        <v>0.81911409281652792</v>
      </c>
    </row>
    <row r="156" spans="1:11" x14ac:dyDescent="0.2">
      <c r="A156" s="112">
        <f t="shared" si="2"/>
        <v>155</v>
      </c>
      <c r="B156" s="7" t="s">
        <v>840</v>
      </c>
      <c r="C156" s="81">
        <v>0.77735010109314118</v>
      </c>
      <c r="D156" s="81">
        <v>0.86871939329516357</v>
      </c>
      <c r="F156" s="131" t="s">
        <v>830</v>
      </c>
      <c r="G156" s="66"/>
      <c r="H156" s="66"/>
      <c r="I156" s="66"/>
      <c r="J156" s="81">
        <v>0.8051263522201243</v>
      </c>
      <c r="K156" s="81">
        <v>0.81911409281652792</v>
      </c>
    </row>
    <row r="157" spans="1:11" x14ac:dyDescent="0.2">
      <c r="A157" s="112">
        <f t="shared" si="2"/>
        <v>156</v>
      </c>
      <c r="B157" s="7" t="s">
        <v>488</v>
      </c>
      <c r="C157" s="81">
        <v>0.65392631143998603</v>
      </c>
      <c r="D157" s="81">
        <v>0.74561335414644081</v>
      </c>
      <c r="F157" s="131" t="s">
        <v>538</v>
      </c>
      <c r="G157" s="66"/>
      <c r="H157" s="66"/>
      <c r="I157" s="66"/>
      <c r="J157" s="81">
        <v>0.73796991685135882</v>
      </c>
      <c r="K157" s="81">
        <v>0.83036605345739034</v>
      </c>
    </row>
    <row r="158" spans="1:11" x14ac:dyDescent="0.2">
      <c r="A158" s="112">
        <f t="shared" si="2"/>
        <v>157</v>
      </c>
      <c r="B158" s="7" t="s">
        <v>489</v>
      </c>
      <c r="C158" s="81">
        <v>0.65833604140553137</v>
      </c>
      <c r="D158" s="81">
        <v>0.75002314627050393</v>
      </c>
      <c r="F158" s="131" t="s">
        <v>538</v>
      </c>
      <c r="G158" s="66"/>
      <c r="H158" s="66"/>
      <c r="I158" s="66"/>
      <c r="J158" s="81">
        <v>0.74234850883773007</v>
      </c>
      <c r="K158" s="81">
        <v>0.83475124875042939</v>
      </c>
    </row>
    <row r="159" spans="1:11" x14ac:dyDescent="0.2">
      <c r="A159" s="112">
        <f t="shared" si="2"/>
        <v>158</v>
      </c>
      <c r="B159" s="7" t="s">
        <v>331</v>
      </c>
      <c r="C159" s="81">
        <v>1.0271866243861609</v>
      </c>
      <c r="D159" s="81">
        <v>1.0551341733344417</v>
      </c>
      <c r="F159" s="131" t="s">
        <v>538</v>
      </c>
      <c r="G159" s="66"/>
      <c r="H159" s="66"/>
      <c r="I159" s="66"/>
      <c r="J159" s="81">
        <v>0.84181572925153692</v>
      </c>
      <c r="K159" s="81">
        <v>0.85596000965328789</v>
      </c>
    </row>
    <row r="160" spans="1:11" x14ac:dyDescent="0.2">
      <c r="A160" s="112">
        <f t="shared" si="2"/>
        <v>159</v>
      </c>
      <c r="B160" s="7" t="s">
        <v>332</v>
      </c>
      <c r="C160" s="81">
        <v>1.0350740816308928</v>
      </c>
      <c r="D160" s="81">
        <v>1.0630242710340889</v>
      </c>
      <c r="F160" s="131" t="s">
        <v>538</v>
      </c>
      <c r="G160" s="66"/>
      <c r="H160" s="66"/>
      <c r="I160" s="66"/>
      <c r="J160" s="81">
        <v>0.84974552941071546</v>
      </c>
      <c r="K160" s="81">
        <v>0.8638900774824636</v>
      </c>
    </row>
    <row r="161" spans="1:14" x14ac:dyDescent="0.2">
      <c r="A161" s="112">
        <f t="shared" si="2"/>
        <v>160</v>
      </c>
      <c r="B161" s="12" t="s">
        <v>826</v>
      </c>
      <c r="C161" s="81">
        <v>0.66808958869607415</v>
      </c>
      <c r="D161" s="81">
        <v>0.75970536345354933</v>
      </c>
      <c r="F161" s="131" t="s">
        <v>538</v>
      </c>
      <c r="G161" s="66"/>
      <c r="H161" s="66"/>
      <c r="I161" s="66"/>
      <c r="J161" s="81">
        <v>0.74116727734670662</v>
      </c>
      <c r="K161" s="81">
        <v>0.75528236063507392</v>
      </c>
    </row>
    <row r="162" spans="1:14" x14ac:dyDescent="0.2">
      <c r="A162" s="112">
        <f t="shared" si="2"/>
        <v>161</v>
      </c>
      <c r="B162" s="12" t="s">
        <v>827</v>
      </c>
      <c r="C162" s="81">
        <v>0.66620138050298994</v>
      </c>
      <c r="D162" s="81">
        <v>0.75781674853495384</v>
      </c>
      <c r="F162" s="131" t="s">
        <v>538</v>
      </c>
      <c r="G162" s="66"/>
      <c r="H162" s="66"/>
      <c r="I162" s="66"/>
      <c r="J162" s="81">
        <v>0.73928323939714058</v>
      </c>
      <c r="K162" s="81">
        <v>0.75339810131595764</v>
      </c>
    </row>
    <row r="163" spans="1:14" x14ac:dyDescent="0.2">
      <c r="A163" s="112">
        <f t="shared" si="2"/>
        <v>162</v>
      </c>
      <c r="B163" s="12" t="s">
        <v>828</v>
      </c>
      <c r="C163" s="81">
        <v>0.74343741653741335</v>
      </c>
      <c r="D163" s="81">
        <v>0.83555672398073799</v>
      </c>
      <c r="F163" s="131" t="s">
        <v>830</v>
      </c>
      <c r="G163" s="66"/>
      <c r="H163" s="66"/>
      <c r="I163" s="66"/>
      <c r="J163" s="81">
        <v>0.74116727734670662</v>
      </c>
      <c r="K163" s="81">
        <v>0.75528236063507392</v>
      </c>
    </row>
    <row r="164" spans="1:14" x14ac:dyDescent="0.2">
      <c r="A164" s="112">
        <f t="shared" si="2"/>
        <v>163</v>
      </c>
      <c r="B164" s="12" t="s">
        <v>829</v>
      </c>
      <c r="C164" s="81">
        <v>0.74033120925724061</v>
      </c>
      <c r="D164" s="81">
        <v>0.83242388484250518</v>
      </c>
      <c r="F164" s="131" t="s">
        <v>830</v>
      </c>
      <c r="G164" s="66"/>
      <c r="H164" s="66"/>
      <c r="I164" s="66"/>
      <c r="J164" s="81">
        <v>0.73928323939714058</v>
      </c>
      <c r="K164" s="81">
        <v>0.75339810131595764</v>
      </c>
    </row>
    <row r="165" spans="1:14" x14ac:dyDescent="0.2">
      <c r="A165" s="112">
        <f t="shared" si="2"/>
        <v>164</v>
      </c>
      <c r="B165" s="12" t="s">
        <v>258</v>
      </c>
      <c r="C165" s="81">
        <v>0.85395597835548065</v>
      </c>
      <c r="D165" s="81">
        <v>0.86809203354427</v>
      </c>
      <c r="F165" s="131" t="s">
        <v>538</v>
      </c>
      <c r="G165" s="66"/>
      <c r="H165" s="66"/>
      <c r="I165" s="66"/>
      <c r="J165" s="81">
        <v>1.1947242224930659</v>
      </c>
      <c r="K165" s="81">
        <v>1.2224631836510991</v>
      </c>
    </row>
    <row r="166" spans="1:14" x14ac:dyDescent="0.2">
      <c r="A166" s="112">
        <f t="shared" si="2"/>
        <v>165</v>
      </c>
      <c r="B166" s="73" t="s">
        <v>661</v>
      </c>
      <c r="C166" s="82">
        <v>0.20300000000000001</v>
      </c>
      <c r="D166" s="82">
        <v>0.215</v>
      </c>
      <c r="F166" s="132" t="s">
        <v>535</v>
      </c>
      <c r="G166" s="124"/>
      <c r="H166" s="124"/>
      <c r="I166" s="124"/>
      <c r="J166" s="82"/>
      <c r="K166" s="82"/>
    </row>
    <row r="167" spans="1:14" x14ac:dyDescent="0.2">
      <c r="A167" s="112">
        <f t="shared" si="2"/>
        <v>166</v>
      </c>
      <c r="B167" s="38" t="s">
        <v>662</v>
      </c>
      <c r="C167" s="83">
        <v>0.64791198619245338</v>
      </c>
      <c r="D167" s="83">
        <v>0.6620697401872907</v>
      </c>
      <c r="E167" s="201"/>
      <c r="F167" s="131" t="s">
        <v>538</v>
      </c>
      <c r="G167" s="66"/>
      <c r="H167" s="66"/>
      <c r="I167" s="66"/>
      <c r="J167" s="83">
        <v>0.9822307677249793</v>
      </c>
      <c r="K167" s="83">
        <v>1.0100148826248732</v>
      </c>
    </row>
    <row r="168" spans="1:14" x14ac:dyDescent="0.2">
      <c r="A168" s="112">
        <f t="shared" si="2"/>
        <v>167</v>
      </c>
      <c r="B168" s="38" t="s">
        <v>663</v>
      </c>
      <c r="C168" s="83">
        <v>0.65205655335283097</v>
      </c>
      <c r="D168" s="83">
        <v>0.66621421644517864</v>
      </c>
      <c r="E168" s="201"/>
      <c r="F168" s="131" t="s">
        <v>538</v>
      </c>
      <c r="G168" s="66"/>
      <c r="H168" s="66"/>
      <c r="I168" s="66"/>
      <c r="J168" s="83">
        <v>0.98632727928210528</v>
      </c>
      <c r="K168" s="83">
        <v>1.01411385689992</v>
      </c>
    </row>
    <row r="169" spans="1:14" x14ac:dyDescent="0.2">
      <c r="A169" s="112">
        <f t="shared" si="2"/>
        <v>168</v>
      </c>
      <c r="B169" s="38" t="s">
        <v>664</v>
      </c>
      <c r="C169" s="83">
        <v>0.68351675172962967</v>
      </c>
      <c r="D169" s="83">
        <v>0.7751217473931109</v>
      </c>
      <c r="E169" s="201"/>
      <c r="F169" s="131" t="s">
        <v>538</v>
      </c>
      <c r="G169" s="66"/>
      <c r="H169" s="66"/>
      <c r="I169" s="66"/>
      <c r="J169" s="83">
        <v>0.82672085067372236</v>
      </c>
      <c r="K169" s="83">
        <v>0.84079069899656678</v>
      </c>
    </row>
    <row r="170" spans="1:14" x14ac:dyDescent="0.2">
      <c r="A170" s="112">
        <f t="shared" si="2"/>
        <v>169</v>
      </c>
      <c r="B170" s="38" t="s">
        <v>718</v>
      </c>
      <c r="C170" s="83">
        <v>0.73454543900208313</v>
      </c>
      <c r="D170" s="83">
        <v>0.7486638517403349</v>
      </c>
      <c r="E170" s="201"/>
      <c r="F170" s="131" t="s">
        <v>538</v>
      </c>
      <c r="G170" s="66"/>
      <c r="H170" s="66"/>
      <c r="I170" s="66"/>
      <c r="J170" s="83">
        <v>0.67490279686046639</v>
      </c>
      <c r="K170" s="83">
        <v>0.76648631871974326</v>
      </c>
    </row>
    <row r="171" spans="1:14" x14ac:dyDescent="0.2">
      <c r="A171" s="112">
        <f t="shared" si="2"/>
        <v>170</v>
      </c>
      <c r="B171" s="38" t="s">
        <v>665</v>
      </c>
      <c r="C171" s="59">
        <v>0.51465710470188331</v>
      </c>
      <c r="D171" s="59">
        <v>0.59760307076385388</v>
      </c>
      <c r="E171" s="201"/>
      <c r="F171" s="131" t="s">
        <v>538</v>
      </c>
      <c r="G171" s="66"/>
      <c r="H171" s="66"/>
      <c r="I171" s="66"/>
      <c r="J171" s="59">
        <v>0.63571946690334624</v>
      </c>
      <c r="K171" s="59">
        <v>0.64973798894484869</v>
      </c>
    </row>
    <row r="172" spans="1:14" x14ac:dyDescent="0.2">
      <c r="A172" s="112">
        <f t="shared" si="2"/>
        <v>171</v>
      </c>
      <c r="B172" s="38" t="s">
        <v>666</v>
      </c>
      <c r="C172" s="59">
        <v>0.50911788941251068</v>
      </c>
      <c r="D172" s="59">
        <v>0.59205931278551238</v>
      </c>
      <c r="E172" s="201"/>
      <c r="F172" s="131" t="s">
        <v>538</v>
      </c>
      <c r="G172" s="66"/>
      <c r="H172" s="66"/>
      <c r="I172" s="66"/>
      <c r="J172" s="59">
        <v>0.63021964322925184</v>
      </c>
      <c r="K172" s="59">
        <v>0.64423570488272652</v>
      </c>
    </row>
    <row r="173" spans="1:14" x14ac:dyDescent="0.2">
      <c r="A173" s="112">
        <f t="shared" si="2"/>
        <v>172</v>
      </c>
      <c r="B173" s="38" t="s">
        <v>667</v>
      </c>
      <c r="C173" s="59">
        <v>0.72965384847080705</v>
      </c>
      <c r="D173" s="59">
        <v>0.82067900002758154</v>
      </c>
      <c r="E173" s="201"/>
      <c r="F173" s="131" t="s">
        <v>538</v>
      </c>
      <c r="G173" s="66"/>
      <c r="H173" s="66"/>
      <c r="I173" s="66"/>
      <c r="J173" s="59">
        <v>0.83212264005030301</v>
      </c>
      <c r="K173" s="59">
        <v>0.84609225682459699</v>
      </c>
    </row>
    <row r="174" spans="1:14" x14ac:dyDescent="0.2">
      <c r="A174" s="112">
        <f t="shared" si="2"/>
        <v>173</v>
      </c>
      <c r="B174" s="38" t="s">
        <v>651</v>
      </c>
      <c r="C174" s="59">
        <v>0.67396181711471892</v>
      </c>
      <c r="D174" s="59">
        <v>0.7656025085438305</v>
      </c>
      <c r="E174" s="201"/>
      <c r="F174" s="131" t="s">
        <v>538</v>
      </c>
      <c r="G174" s="66"/>
      <c r="H174" s="66"/>
      <c r="I174" s="66"/>
      <c r="J174" s="59">
        <v>0.81721826678074361</v>
      </c>
      <c r="K174" s="59">
        <v>0.83129230492971073</v>
      </c>
    </row>
    <row r="175" spans="1:14" x14ac:dyDescent="0.2">
      <c r="A175" s="112">
        <f t="shared" si="2"/>
        <v>174</v>
      </c>
      <c r="B175" s="38" t="s">
        <v>668</v>
      </c>
      <c r="C175" s="59">
        <v>0.85112169993944797</v>
      </c>
      <c r="D175" s="59">
        <v>0.94259143082224139</v>
      </c>
      <c r="E175" s="201"/>
      <c r="F175" s="131" t="s">
        <v>538</v>
      </c>
      <c r="G175" s="66"/>
      <c r="H175" s="66"/>
      <c r="I175" s="66"/>
      <c r="J175" s="59">
        <v>0.95228199381344425</v>
      </c>
      <c r="K175" s="59">
        <v>0.96635062420301854</v>
      </c>
    </row>
    <row r="176" spans="1:14" s="53" customFormat="1" ht="21" customHeight="1" x14ac:dyDescent="0.2">
      <c r="A176" s="112">
        <f t="shared" si="2"/>
        <v>175</v>
      </c>
      <c r="B176" s="50" t="s">
        <v>717</v>
      </c>
      <c r="C176" s="55"/>
      <c r="D176" s="55"/>
      <c r="E176" s="216"/>
      <c r="F176" s="136"/>
      <c r="J176" s="51"/>
      <c r="K176" s="51"/>
      <c r="L176" s="56"/>
      <c r="M176" s="56"/>
      <c r="N176" s="52"/>
    </row>
    <row r="177" spans="1:19" x14ac:dyDescent="0.2">
      <c r="A177" s="112">
        <f t="shared" si="2"/>
        <v>176</v>
      </c>
      <c r="B177" s="172" t="s">
        <v>264</v>
      </c>
      <c r="C177" s="173">
        <v>3.9750000000000001</v>
      </c>
      <c r="D177" s="173">
        <v>5.0359999999999996</v>
      </c>
      <c r="F177" s="132" t="s">
        <v>535</v>
      </c>
      <c r="G177" s="79"/>
      <c r="H177" s="79"/>
      <c r="I177" s="79"/>
      <c r="J177" s="167"/>
      <c r="K177" s="167"/>
      <c r="L177" s="37"/>
      <c r="M177" s="37"/>
      <c r="N177" s="24"/>
    </row>
    <row r="178" spans="1:19" x14ac:dyDescent="0.2">
      <c r="A178" s="112">
        <f t="shared" si="2"/>
        <v>177</v>
      </c>
      <c r="B178" s="166" t="s">
        <v>265</v>
      </c>
      <c r="C178" s="218">
        <v>5.7030000000000003</v>
      </c>
      <c r="D178" s="218">
        <v>7.1189999999999998</v>
      </c>
      <c r="F178" s="190" t="s">
        <v>862</v>
      </c>
      <c r="G178" s="194" t="s">
        <v>874</v>
      </c>
      <c r="H178" s="79"/>
      <c r="I178" s="79"/>
      <c r="J178" s="167"/>
      <c r="K178" s="167"/>
      <c r="L178" s="37"/>
      <c r="M178" s="37"/>
      <c r="N178" s="24"/>
    </row>
    <row r="179" spans="1:19" x14ac:dyDescent="0.2">
      <c r="A179" s="112">
        <f t="shared" si="2"/>
        <v>178</v>
      </c>
      <c r="B179" s="166" t="s">
        <v>266</v>
      </c>
      <c r="C179" s="174">
        <v>4.2770000000000001</v>
      </c>
      <c r="D179" s="174">
        <v>6.3559999999999999</v>
      </c>
      <c r="F179" s="132" t="s">
        <v>535</v>
      </c>
      <c r="G179" s="79"/>
      <c r="H179" s="79"/>
      <c r="I179" s="79"/>
      <c r="J179" s="167"/>
      <c r="K179" s="167"/>
      <c r="L179" s="37"/>
      <c r="M179" s="37"/>
      <c r="N179" s="24"/>
    </row>
    <row r="180" spans="1:19" x14ac:dyDescent="0.2">
      <c r="A180" s="112">
        <f t="shared" si="2"/>
        <v>179</v>
      </c>
      <c r="B180" s="166" t="s">
        <v>267</v>
      </c>
      <c r="C180" s="174">
        <v>6.5380000000000003</v>
      </c>
      <c r="D180" s="174">
        <v>7.4059999999999997</v>
      </c>
      <c r="F180" s="132" t="s">
        <v>535</v>
      </c>
      <c r="G180" s="79"/>
      <c r="H180" s="79"/>
      <c r="I180" s="79"/>
      <c r="J180" s="167"/>
      <c r="K180" s="167"/>
      <c r="L180" s="37"/>
      <c r="M180" s="37"/>
      <c r="N180" s="24"/>
    </row>
    <row r="181" spans="1:19" x14ac:dyDescent="0.2">
      <c r="A181" s="112">
        <f t="shared" si="2"/>
        <v>180</v>
      </c>
      <c r="B181" s="172" t="s">
        <v>509</v>
      </c>
      <c r="C181" s="174">
        <v>0.188</v>
      </c>
      <c r="D181" s="174">
        <v>0.219</v>
      </c>
      <c r="F181" s="132" t="s">
        <v>535</v>
      </c>
      <c r="G181" s="79"/>
      <c r="H181" s="79"/>
      <c r="I181" s="79"/>
      <c r="J181" s="167"/>
      <c r="K181" s="167"/>
      <c r="O181" s="43"/>
      <c r="P181" s="43"/>
      <c r="Q181" s="43"/>
      <c r="R181" s="43"/>
      <c r="S181" s="43"/>
    </row>
    <row r="182" spans="1:19" x14ac:dyDescent="0.2">
      <c r="A182" s="112">
        <f t="shared" si="2"/>
        <v>181</v>
      </c>
      <c r="B182" s="7" t="s">
        <v>268</v>
      </c>
      <c r="C182" s="8">
        <v>0.7910238164590504</v>
      </c>
      <c r="D182" s="8">
        <v>0.81907571833974024</v>
      </c>
      <c r="F182" s="131" t="s">
        <v>538</v>
      </c>
      <c r="G182" s="66"/>
      <c r="H182" s="66"/>
      <c r="I182" s="66"/>
      <c r="J182" s="8">
        <v>0.89677250575415746</v>
      </c>
      <c r="K182" s="8">
        <v>0.91073339884905413</v>
      </c>
      <c r="L182" s="37"/>
      <c r="M182" s="37"/>
      <c r="N182" s="24"/>
    </row>
    <row r="183" spans="1:19" x14ac:dyDescent="0.2">
      <c r="A183" s="112">
        <f t="shared" si="2"/>
        <v>182</v>
      </c>
      <c r="B183" s="7" t="s">
        <v>269</v>
      </c>
      <c r="C183" s="8">
        <v>1.0006467977954343</v>
      </c>
      <c r="D183" s="8">
        <v>1.0285757562051405</v>
      </c>
      <c r="F183" s="131" t="s">
        <v>538</v>
      </c>
      <c r="G183" s="66"/>
      <c r="H183" s="66"/>
      <c r="I183" s="66"/>
      <c r="J183" s="8"/>
      <c r="K183" s="8"/>
      <c r="L183" s="37"/>
      <c r="M183" s="37"/>
      <c r="N183" s="24"/>
    </row>
    <row r="184" spans="1:19" x14ac:dyDescent="0.2">
      <c r="A184" s="112">
        <f t="shared" si="2"/>
        <v>183</v>
      </c>
      <c r="B184" s="12" t="s">
        <v>501</v>
      </c>
      <c r="C184" s="8">
        <v>0.45528525746231485</v>
      </c>
      <c r="D184" s="8">
        <v>0.48966162534644919</v>
      </c>
      <c r="F184" s="131" t="s">
        <v>538</v>
      </c>
      <c r="G184" s="66"/>
      <c r="H184" s="66"/>
      <c r="I184" s="66"/>
      <c r="J184" s="8"/>
      <c r="K184" s="8"/>
      <c r="L184" s="37"/>
      <c r="M184" s="37"/>
      <c r="N184" s="24"/>
    </row>
    <row r="185" spans="1:19" x14ac:dyDescent="0.2">
      <c r="A185" s="112">
        <f t="shared" si="2"/>
        <v>184</v>
      </c>
      <c r="B185" s="12" t="s">
        <v>502</v>
      </c>
      <c r="C185" s="8">
        <v>0.45250696027103987</v>
      </c>
      <c r="D185" s="8">
        <v>0.48688332777360172</v>
      </c>
      <c r="F185" s="131" t="s">
        <v>538</v>
      </c>
      <c r="G185" s="66"/>
      <c r="H185" s="66"/>
      <c r="I185" s="66"/>
      <c r="J185" s="8"/>
      <c r="K185" s="8"/>
      <c r="L185" s="37"/>
      <c r="M185" s="37"/>
      <c r="N185" s="24"/>
    </row>
    <row r="186" spans="1:19" x14ac:dyDescent="0.2">
      <c r="A186" s="112">
        <f t="shared" si="2"/>
        <v>185</v>
      </c>
      <c r="B186" s="7" t="s">
        <v>274</v>
      </c>
      <c r="C186" s="8">
        <v>0.38609972893436395</v>
      </c>
      <c r="D186" s="8">
        <v>0.42047537850174921</v>
      </c>
      <c r="F186" s="131" t="s">
        <v>538</v>
      </c>
      <c r="G186" s="66"/>
      <c r="H186" s="66"/>
      <c r="I186" s="66"/>
      <c r="J186" s="8"/>
      <c r="K186" s="8"/>
      <c r="L186" s="37"/>
      <c r="M186" s="37"/>
      <c r="N186" s="24"/>
    </row>
    <row r="187" spans="1:19" x14ac:dyDescent="0.2">
      <c r="A187" s="112">
        <f t="shared" si="2"/>
        <v>186</v>
      </c>
      <c r="B187" s="7" t="s">
        <v>503</v>
      </c>
      <c r="C187" s="8">
        <v>0.39588244845413856</v>
      </c>
      <c r="D187" s="8">
        <v>0.46324101627330422</v>
      </c>
      <c r="F187" s="131" t="s">
        <v>538</v>
      </c>
      <c r="G187" s="66"/>
      <c r="H187" s="66"/>
      <c r="I187" s="66"/>
      <c r="J187" s="8">
        <v>0.50069876238831013</v>
      </c>
      <c r="K187" s="8">
        <v>0.53148158197204298</v>
      </c>
      <c r="L187" s="37"/>
      <c r="M187" s="37"/>
      <c r="N187" s="24"/>
    </row>
    <row r="188" spans="1:19" x14ac:dyDescent="0.2">
      <c r="A188" s="112">
        <f t="shared" si="2"/>
        <v>187</v>
      </c>
      <c r="B188" s="7" t="s">
        <v>504</v>
      </c>
      <c r="C188" s="8">
        <v>0.39340186821397638</v>
      </c>
      <c r="D188" s="8">
        <v>0.46076042393268418</v>
      </c>
      <c r="F188" s="131" t="s">
        <v>538</v>
      </c>
      <c r="G188" s="66"/>
      <c r="H188" s="66"/>
      <c r="I188" s="66"/>
      <c r="J188" s="8">
        <v>0.49822899253394376</v>
      </c>
      <c r="K188" s="8">
        <v>0.52901058596847439</v>
      </c>
      <c r="L188" s="37"/>
      <c r="M188" s="37"/>
      <c r="N188" s="24"/>
    </row>
    <row r="189" spans="1:19" x14ac:dyDescent="0.2">
      <c r="A189" s="112">
        <f t="shared" si="2"/>
        <v>188</v>
      </c>
      <c r="B189" s="195" t="s">
        <v>877</v>
      </c>
      <c r="C189" s="224">
        <v>0.73134844372320951</v>
      </c>
      <c r="D189" s="224">
        <v>0.77721172803184735</v>
      </c>
      <c r="F189" s="225" t="s">
        <v>876</v>
      </c>
      <c r="G189" s="66"/>
      <c r="H189" s="66"/>
      <c r="I189" s="66"/>
      <c r="J189" s="8">
        <v>0.66942909236154835</v>
      </c>
      <c r="K189" s="8">
        <v>0.73676251812502402</v>
      </c>
      <c r="L189" s="37"/>
      <c r="M189" s="37"/>
      <c r="N189" s="24"/>
    </row>
    <row r="190" spans="1:19" x14ac:dyDescent="0.2">
      <c r="A190" s="112">
        <f t="shared" si="2"/>
        <v>189</v>
      </c>
      <c r="B190" s="195" t="s">
        <v>878</v>
      </c>
      <c r="C190" s="224">
        <v>0.70994213378424864</v>
      </c>
      <c r="D190" s="224">
        <v>0.75580382810774993</v>
      </c>
      <c r="F190" s="225" t="s">
        <v>876</v>
      </c>
      <c r="G190" s="66"/>
      <c r="H190" s="66"/>
      <c r="I190" s="66"/>
      <c r="J190" s="8">
        <v>0.64801855571272515</v>
      </c>
      <c r="K190" s="8">
        <v>0.71535030698108049</v>
      </c>
      <c r="L190" s="37"/>
      <c r="M190" s="37"/>
      <c r="N190" s="24"/>
    </row>
    <row r="191" spans="1:19" x14ac:dyDescent="0.2">
      <c r="A191" s="112">
        <f t="shared" si="2"/>
        <v>190</v>
      </c>
      <c r="B191" s="212" t="s">
        <v>879</v>
      </c>
      <c r="C191" s="226">
        <v>0.72140581657402358</v>
      </c>
      <c r="D191" s="226">
        <v>0.76728529851648808</v>
      </c>
      <c r="F191" s="225" t="s">
        <v>876</v>
      </c>
      <c r="G191" s="66"/>
      <c r="H191" s="66"/>
      <c r="I191" s="66"/>
      <c r="J191" s="14">
        <v>0.74232855420247024</v>
      </c>
      <c r="K191" s="14">
        <v>0.80958800525492591</v>
      </c>
      <c r="L191" s="37"/>
      <c r="M191" s="37"/>
      <c r="N191" s="24"/>
    </row>
    <row r="192" spans="1:19" x14ac:dyDescent="0.2">
      <c r="A192" s="112">
        <f t="shared" si="2"/>
        <v>191</v>
      </c>
      <c r="B192" s="212" t="s">
        <v>880</v>
      </c>
      <c r="C192" s="226">
        <v>0.72959382843786935</v>
      </c>
      <c r="D192" s="226">
        <v>0.77547353987640821</v>
      </c>
      <c r="F192" s="225" t="s">
        <v>876</v>
      </c>
      <c r="G192" s="66"/>
      <c r="H192" s="66"/>
      <c r="I192" s="66"/>
      <c r="J192" s="14">
        <v>0.7505054181738664</v>
      </c>
      <c r="K192" s="14">
        <v>0.81776695263666033</v>
      </c>
      <c r="L192" s="37"/>
      <c r="M192" s="37"/>
      <c r="N192" s="24"/>
    </row>
    <row r="193" spans="1:14" x14ac:dyDescent="0.2">
      <c r="A193" s="112">
        <f t="shared" si="2"/>
        <v>192</v>
      </c>
      <c r="B193" s="12" t="s">
        <v>270</v>
      </c>
      <c r="C193" s="8">
        <v>0.93568086113856375</v>
      </c>
      <c r="D193" s="8">
        <v>0.96375285256819043</v>
      </c>
      <c r="F193" s="131" t="s">
        <v>538</v>
      </c>
      <c r="G193" s="66"/>
      <c r="H193" s="66"/>
      <c r="I193" s="66"/>
      <c r="J193" s="8">
        <v>1.0399779523033903</v>
      </c>
      <c r="K193" s="8">
        <v>1.0539895579324841</v>
      </c>
      <c r="L193" s="37"/>
      <c r="M193" s="37"/>
      <c r="N193" s="24"/>
    </row>
    <row r="194" spans="1:14" x14ac:dyDescent="0.2">
      <c r="A194" s="112">
        <f t="shared" ref="A194:A257" si="3">A193+1</f>
        <v>193</v>
      </c>
      <c r="B194" s="7" t="s">
        <v>271</v>
      </c>
      <c r="C194" s="8">
        <v>0.81215952716958795</v>
      </c>
      <c r="D194" s="8">
        <v>0.8794899028903792</v>
      </c>
      <c r="F194" s="131" t="s">
        <v>538</v>
      </c>
      <c r="G194" s="66"/>
      <c r="H194" s="66"/>
      <c r="I194" s="66"/>
      <c r="J194" s="8">
        <v>1.1110660413360363</v>
      </c>
      <c r="K194" s="8">
        <v>1.1415394556510654</v>
      </c>
      <c r="L194" s="37"/>
      <c r="M194" s="37"/>
      <c r="N194" s="24"/>
    </row>
    <row r="195" spans="1:14" x14ac:dyDescent="0.2">
      <c r="A195" s="112">
        <f t="shared" si="3"/>
        <v>194</v>
      </c>
      <c r="B195" s="211" t="s">
        <v>881</v>
      </c>
      <c r="C195" s="224">
        <v>0.77054922817992777</v>
      </c>
      <c r="D195" s="224">
        <v>0.81627434369669671</v>
      </c>
      <c r="F195" s="225" t="s">
        <v>876</v>
      </c>
      <c r="G195" s="66"/>
      <c r="H195" s="66"/>
      <c r="I195" s="66"/>
      <c r="J195" s="8">
        <v>0.8062765251851387</v>
      </c>
      <c r="K195" s="8">
        <v>0.87309839084793972</v>
      </c>
      <c r="L195" s="37"/>
      <c r="M195" s="37"/>
      <c r="N195" s="24"/>
    </row>
    <row r="196" spans="1:14" x14ac:dyDescent="0.2">
      <c r="A196" s="112">
        <f t="shared" si="3"/>
        <v>195</v>
      </c>
      <c r="B196" s="196" t="s">
        <v>882</v>
      </c>
      <c r="C196" s="224">
        <v>0.84438331635673647</v>
      </c>
      <c r="D196" s="224">
        <v>0.89002532655146938</v>
      </c>
      <c r="F196" s="225" t="s">
        <v>876</v>
      </c>
      <c r="G196" s="66"/>
      <c r="H196" s="66"/>
      <c r="I196" s="66"/>
      <c r="J196" s="8">
        <v>0.82131560028652639</v>
      </c>
      <c r="K196" s="8">
        <v>0.85542060731685488</v>
      </c>
      <c r="L196" s="37"/>
      <c r="M196" s="37"/>
      <c r="N196" s="24"/>
    </row>
    <row r="197" spans="1:14" x14ac:dyDescent="0.2">
      <c r="A197" s="112">
        <f t="shared" si="3"/>
        <v>196</v>
      </c>
      <c r="B197" s="196" t="s">
        <v>883</v>
      </c>
      <c r="C197" s="224">
        <v>0.84751791194660808</v>
      </c>
      <c r="D197" s="224">
        <v>0.89315923124707242</v>
      </c>
      <c r="F197" s="225" t="s">
        <v>876</v>
      </c>
      <c r="G197" s="66"/>
      <c r="H197" s="66"/>
      <c r="I197" s="66"/>
      <c r="J197" s="8">
        <v>0.82143527093473179</v>
      </c>
      <c r="K197" s="8">
        <v>0.85554751347927827</v>
      </c>
      <c r="L197" s="37"/>
      <c r="M197" s="37"/>
      <c r="N197" s="24"/>
    </row>
    <row r="198" spans="1:14" x14ac:dyDescent="0.2">
      <c r="A198" s="112">
        <f t="shared" si="3"/>
        <v>197</v>
      </c>
      <c r="B198" s="7" t="s">
        <v>339</v>
      </c>
      <c r="C198" s="8">
        <v>0.6774578748995348</v>
      </c>
      <c r="D198" s="8">
        <v>0.71181762942295401</v>
      </c>
      <c r="F198" s="131" t="s">
        <v>538</v>
      </c>
      <c r="G198" s="66"/>
      <c r="H198" s="66"/>
      <c r="I198" s="66"/>
      <c r="J198" s="8">
        <v>0.67514233103131938</v>
      </c>
      <c r="K198" s="8">
        <v>0.70603892308455884</v>
      </c>
      <c r="L198" s="37"/>
      <c r="M198" s="37"/>
      <c r="N198" s="24"/>
    </row>
    <row r="199" spans="1:14" x14ac:dyDescent="0.2">
      <c r="A199" s="112">
        <f t="shared" si="3"/>
        <v>198</v>
      </c>
      <c r="B199" s="7" t="s">
        <v>340</v>
      </c>
      <c r="C199" s="8">
        <v>0.62563721014339968</v>
      </c>
      <c r="D199" s="8">
        <v>0.65999540066447171</v>
      </c>
      <c r="F199" s="131" t="s">
        <v>538</v>
      </c>
      <c r="G199" s="66"/>
      <c r="H199" s="66"/>
      <c r="I199" s="66"/>
      <c r="J199" s="8">
        <v>0.62331949268930009</v>
      </c>
      <c r="K199" s="8">
        <v>0.65421492385524693</v>
      </c>
      <c r="L199" s="37"/>
      <c r="M199" s="37"/>
      <c r="N199" s="24"/>
    </row>
    <row r="200" spans="1:14" x14ac:dyDescent="0.2">
      <c r="A200" s="112">
        <f t="shared" si="3"/>
        <v>199</v>
      </c>
      <c r="B200" s="7" t="s">
        <v>354</v>
      </c>
      <c r="C200" s="8">
        <v>0.68795244357441909</v>
      </c>
      <c r="D200" s="8">
        <v>0.72222725598482806</v>
      </c>
      <c r="F200" s="131" t="s">
        <v>538</v>
      </c>
      <c r="G200" s="66"/>
      <c r="H200" s="66"/>
      <c r="I200" s="66"/>
      <c r="J200" s="8">
        <v>0.76176815263208497</v>
      </c>
      <c r="K200" s="8">
        <v>0.79247793232943697</v>
      </c>
      <c r="L200" s="37"/>
      <c r="M200" s="37"/>
      <c r="N200" s="24"/>
    </row>
    <row r="201" spans="1:14" x14ac:dyDescent="0.2">
      <c r="A201" s="112">
        <f t="shared" si="3"/>
        <v>200</v>
      </c>
      <c r="B201" s="7" t="s">
        <v>355</v>
      </c>
      <c r="C201" s="8">
        <v>0.68606832362383163</v>
      </c>
      <c r="D201" s="8">
        <v>0.72034258971365461</v>
      </c>
      <c r="F201" s="131" t="s">
        <v>538</v>
      </c>
      <c r="G201" s="66"/>
      <c r="H201" s="66"/>
      <c r="I201" s="66"/>
      <c r="J201" s="8">
        <v>0.75689835778611148</v>
      </c>
      <c r="K201" s="8">
        <v>0.78761194867327433</v>
      </c>
      <c r="L201" s="37"/>
      <c r="M201" s="37"/>
      <c r="N201" s="24"/>
    </row>
    <row r="202" spans="1:14" x14ac:dyDescent="0.2">
      <c r="A202" s="112">
        <f t="shared" si="3"/>
        <v>201</v>
      </c>
      <c r="B202" s="7" t="s">
        <v>341</v>
      </c>
      <c r="C202" s="8">
        <v>0.97131248549724847</v>
      </c>
      <c r="D202" s="8">
        <v>1.0382650982579367</v>
      </c>
      <c r="F202" s="131" t="s">
        <v>538</v>
      </c>
      <c r="G202" s="66"/>
      <c r="H202" s="66"/>
      <c r="I202" s="66"/>
      <c r="J202" s="8">
        <v>0.98142085453159389</v>
      </c>
      <c r="K202" s="8">
        <v>1.0121151241935298</v>
      </c>
      <c r="L202" s="37"/>
      <c r="M202" s="37"/>
      <c r="N202" s="24"/>
    </row>
    <row r="203" spans="1:14" x14ac:dyDescent="0.2">
      <c r="A203" s="112">
        <f t="shared" si="3"/>
        <v>202</v>
      </c>
      <c r="B203" s="7" t="s">
        <v>342</v>
      </c>
      <c r="C203" s="8">
        <v>0.96244045621320395</v>
      </c>
      <c r="D203" s="8">
        <v>1.0293857515031963</v>
      </c>
      <c r="F203" s="131" t="s">
        <v>538</v>
      </c>
      <c r="G203" s="66"/>
      <c r="H203" s="66"/>
      <c r="I203" s="66"/>
      <c r="J203" s="8">
        <v>0.97255535630881262</v>
      </c>
      <c r="K203" s="8">
        <v>1.0032457281672928</v>
      </c>
      <c r="L203" s="37"/>
      <c r="M203" s="37"/>
      <c r="N203" s="24"/>
    </row>
    <row r="204" spans="1:14" x14ac:dyDescent="0.2">
      <c r="A204" s="112">
        <f t="shared" si="3"/>
        <v>203</v>
      </c>
      <c r="B204" s="7" t="s">
        <v>505</v>
      </c>
      <c r="C204" s="8">
        <v>0.84899884952810534</v>
      </c>
      <c r="D204" s="8">
        <v>0.91580652925930073</v>
      </c>
      <c r="F204" s="131" t="s">
        <v>538</v>
      </c>
      <c r="G204" s="66"/>
      <c r="H204" s="66"/>
      <c r="I204" s="66"/>
      <c r="J204" s="8">
        <v>0.85922479953361586</v>
      </c>
      <c r="K204" s="8">
        <v>0.88984263694573673</v>
      </c>
      <c r="N204" s="24"/>
    </row>
    <row r="205" spans="1:14" x14ac:dyDescent="0.2">
      <c r="A205" s="112">
        <f t="shared" si="3"/>
        <v>204</v>
      </c>
      <c r="B205" s="7" t="s">
        <v>506</v>
      </c>
      <c r="C205" s="8">
        <v>0.83900903335544996</v>
      </c>
      <c r="D205" s="8">
        <v>0.90580391975855701</v>
      </c>
      <c r="F205" s="131" t="s">
        <v>538</v>
      </c>
      <c r="G205" s="66"/>
      <c r="H205" s="66"/>
      <c r="I205" s="66"/>
      <c r="J205" s="8">
        <v>0.84924451761173148</v>
      </c>
      <c r="K205" s="8">
        <v>0.87985554243326924</v>
      </c>
      <c r="N205" s="24"/>
    </row>
    <row r="206" spans="1:14" x14ac:dyDescent="0.2">
      <c r="A206" s="112">
        <f t="shared" si="3"/>
        <v>205</v>
      </c>
      <c r="B206" s="7" t="s">
        <v>720</v>
      </c>
      <c r="C206" s="8">
        <v>0.8775260563344246</v>
      </c>
      <c r="D206" s="8">
        <v>0.94418137189085005</v>
      </c>
      <c r="F206" s="131" t="s">
        <v>538</v>
      </c>
      <c r="G206" s="66"/>
      <c r="H206" s="66"/>
      <c r="I206" s="66"/>
      <c r="J206" s="8">
        <v>0.85922479953361586</v>
      </c>
      <c r="K206" s="8">
        <v>0.88984263694573673</v>
      </c>
      <c r="N206" s="24"/>
    </row>
    <row r="207" spans="1:14" x14ac:dyDescent="0.2">
      <c r="A207" s="112">
        <f t="shared" si="3"/>
        <v>206</v>
      </c>
      <c r="B207" s="7" t="s">
        <v>721</v>
      </c>
      <c r="C207" s="8">
        <v>0.8806407324021801</v>
      </c>
      <c r="D207" s="8">
        <v>0.94730087539582053</v>
      </c>
      <c r="F207" s="131" t="s">
        <v>538</v>
      </c>
      <c r="G207" s="66"/>
      <c r="H207" s="66"/>
      <c r="I207" s="66"/>
      <c r="J207" s="8">
        <v>0.84924451761173148</v>
      </c>
      <c r="K207" s="8">
        <v>0.87985554243326924</v>
      </c>
      <c r="N207" s="24"/>
    </row>
    <row r="208" spans="1:14" x14ac:dyDescent="0.2">
      <c r="A208" s="112">
        <f t="shared" si="3"/>
        <v>207</v>
      </c>
      <c r="B208" s="7" t="s">
        <v>272</v>
      </c>
      <c r="C208" s="8">
        <v>0.67624432682141411</v>
      </c>
      <c r="D208" s="8">
        <v>0.74338356106434555</v>
      </c>
      <c r="F208" s="131" t="s">
        <v>538</v>
      </c>
      <c r="G208" s="66"/>
      <c r="H208" s="66"/>
      <c r="I208" s="66"/>
      <c r="J208" s="8">
        <v>0.75914885466960869</v>
      </c>
      <c r="K208" s="8">
        <v>0.7896858806993694</v>
      </c>
      <c r="N208" s="24"/>
    </row>
    <row r="209" spans="1:14" x14ac:dyDescent="0.2">
      <c r="A209" s="112">
        <f t="shared" si="3"/>
        <v>208</v>
      </c>
      <c r="B209" s="7" t="s">
        <v>507</v>
      </c>
      <c r="C209" s="8">
        <v>0.68465802284371313</v>
      </c>
      <c r="D209" s="8">
        <v>0.71900571658541235</v>
      </c>
      <c r="F209" s="131" t="s">
        <v>538</v>
      </c>
      <c r="G209" s="66"/>
      <c r="H209" s="66"/>
      <c r="I209" s="66"/>
      <c r="J209" s="8"/>
      <c r="K209" s="8"/>
      <c r="N209" s="24"/>
    </row>
    <row r="210" spans="1:14" x14ac:dyDescent="0.2">
      <c r="A210" s="112">
        <f t="shared" si="3"/>
        <v>209</v>
      </c>
      <c r="B210" s="7" t="s">
        <v>508</v>
      </c>
      <c r="C210" s="8">
        <v>0.68214024096241566</v>
      </c>
      <c r="D210" s="8">
        <v>0.71648772740536337</v>
      </c>
      <c r="F210" s="131" t="s">
        <v>538</v>
      </c>
      <c r="G210" s="66"/>
      <c r="H210" s="66"/>
      <c r="I210" s="66"/>
      <c r="J210" s="8"/>
      <c r="K210" s="8"/>
      <c r="N210" s="24"/>
    </row>
    <row r="211" spans="1:14" x14ac:dyDescent="0.2">
      <c r="A211" s="112">
        <f t="shared" si="3"/>
        <v>210</v>
      </c>
      <c r="B211" s="197" t="s">
        <v>884</v>
      </c>
      <c r="C211" s="198">
        <v>0.75772398251268913</v>
      </c>
      <c r="D211" s="198">
        <v>0.79209997098058915</v>
      </c>
      <c r="F211" s="131"/>
      <c r="G211" s="66"/>
      <c r="H211" s="66"/>
      <c r="I211" s="66"/>
      <c r="J211" s="8">
        <v>0.82345750408845775</v>
      </c>
      <c r="K211" s="8">
        <v>0.85433562457024603</v>
      </c>
      <c r="N211" s="24"/>
    </row>
    <row r="212" spans="1:14" x14ac:dyDescent="0.2">
      <c r="A212" s="112">
        <f t="shared" si="3"/>
        <v>211</v>
      </c>
      <c r="B212" s="197" t="s">
        <v>885</v>
      </c>
      <c r="C212" s="213">
        <v>0.75177055760759881</v>
      </c>
      <c r="D212" s="213">
        <v>0.78614653967526948</v>
      </c>
      <c r="F212" s="131"/>
      <c r="G212" s="66"/>
      <c r="H212" s="66"/>
      <c r="I212" s="66"/>
      <c r="J212" s="8">
        <v>0.82649406380427781</v>
      </c>
      <c r="K212" s="8">
        <v>0.85737466581309107</v>
      </c>
      <c r="N212" s="24"/>
    </row>
    <row r="213" spans="1:14" x14ac:dyDescent="0.2">
      <c r="A213" s="112">
        <f t="shared" si="3"/>
        <v>212</v>
      </c>
      <c r="B213" s="214" t="s">
        <v>886</v>
      </c>
      <c r="C213" s="215">
        <v>0.77501063213287602</v>
      </c>
      <c r="D213" s="215">
        <v>0.84236969780019977</v>
      </c>
      <c r="F213" s="131" t="s">
        <v>538</v>
      </c>
      <c r="G213" s="66"/>
      <c r="H213" s="66"/>
      <c r="I213" s="66"/>
      <c r="J213" s="8">
        <v>1.0800805534496745</v>
      </c>
      <c r="K213" s="8">
        <v>1.1106115416516409</v>
      </c>
      <c r="N213" s="24"/>
    </row>
    <row r="214" spans="1:14" x14ac:dyDescent="0.2">
      <c r="A214" s="112">
        <f t="shared" si="3"/>
        <v>213</v>
      </c>
      <c r="B214" s="175" t="s">
        <v>875</v>
      </c>
      <c r="C214" s="169">
        <v>0.18890725855826718</v>
      </c>
      <c r="D214" s="169">
        <v>0.21990623532769599</v>
      </c>
      <c r="E214" s="203"/>
      <c r="F214" s="131" t="s">
        <v>538</v>
      </c>
      <c r="G214" s="80"/>
      <c r="H214" s="80"/>
      <c r="I214" s="80"/>
      <c r="J214" s="169"/>
      <c r="K214" s="169"/>
      <c r="N214" s="24"/>
    </row>
    <row r="215" spans="1:14" x14ac:dyDescent="0.2">
      <c r="A215" s="112">
        <f t="shared" si="3"/>
        <v>214</v>
      </c>
      <c r="B215" s="175" t="s">
        <v>669</v>
      </c>
      <c r="C215" s="169">
        <v>0.313</v>
      </c>
      <c r="D215" s="169">
        <v>0.34200000000000003</v>
      </c>
      <c r="F215" s="132" t="s">
        <v>535</v>
      </c>
      <c r="G215" s="79"/>
      <c r="H215" s="79"/>
      <c r="I215" s="79"/>
      <c r="J215" s="169"/>
      <c r="K215" s="169"/>
      <c r="N215" s="24"/>
    </row>
    <row r="216" spans="1:14" x14ac:dyDescent="0.2">
      <c r="A216" s="112">
        <f t="shared" si="3"/>
        <v>215</v>
      </c>
      <c r="B216" s="175" t="s">
        <v>670</v>
      </c>
      <c r="C216" s="169">
        <v>0.20499999999999999</v>
      </c>
      <c r="D216" s="169">
        <v>0.26600000000000001</v>
      </c>
      <c r="F216" s="132" t="s">
        <v>535</v>
      </c>
      <c r="G216" s="79"/>
      <c r="H216" s="79"/>
      <c r="I216" s="79"/>
      <c r="J216" s="169"/>
      <c r="K216" s="169"/>
      <c r="N216" s="24"/>
    </row>
    <row r="217" spans="1:14" x14ac:dyDescent="0.2">
      <c r="A217" s="112">
        <f t="shared" si="3"/>
        <v>216</v>
      </c>
      <c r="B217" s="175" t="s">
        <v>671</v>
      </c>
      <c r="C217" s="176">
        <v>0.20100358205763399</v>
      </c>
      <c r="D217" s="176">
        <v>0.22900314408321995</v>
      </c>
      <c r="E217" s="207"/>
      <c r="F217" s="131" t="s">
        <v>538</v>
      </c>
      <c r="G217" s="80"/>
      <c r="H217" s="80"/>
      <c r="I217" s="80"/>
      <c r="J217" s="169"/>
      <c r="K217" s="169"/>
      <c r="N217" s="24"/>
    </row>
    <row r="218" spans="1:14" x14ac:dyDescent="0.2">
      <c r="A218" s="112">
        <f t="shared" si="3"/>
        <v>217</v>
      </c>
      <c r="B218" s="175" t="s">
        <v>672</v>
      </c>
      <c r="C218" s="176">
        <v>0.20500790228671675</v>
      </c>
      <c r="D218" s="176">
        <v>0.23300695268596602</v>
      </c>
      <c r="E218" s="203"/>
      <c r="F218" s="131" t="s">
        <v>538</v>
      </c>
      <c r="G218" s="80"/>
      <c r="H218" s="80"/>
      <c r="I218" s="80"/>
      <c r="J218" s="169"/>
      <c r="K218" s="169"/>
      <c r="N218" s="24"/>
    </row>
    <row r="219" spans="1:14" x14ac:dyDescent="0.2">
      <c r="A219" s="112">
        <f t="shared" si="3"/>
        <v>218</v>
      </c>
      <c r="B219" s="39" t="s">
        <v>673</v>
      </c>
      <c r="C219" s="40">
        <v>0.19494486798731389</v>
      </c>
      <c r="D219" s="40">
        <v>0.225905754169687</v>
      </c>
      <c r="F219" s="131" t="s">
        <v>538</v>
      </c>
      <c r="G219" s="80"/>
      <c r="H219" s="80"/>
      <c r="I219" s="80"/>
      <c r="J219" s="35"/>
      <c r="K219" s="35"/>
      <c r="N219" s="24"/>
    </row>
    <row r="220" spans="1:14" x14ac:dyDescent="0.2">
      <c r="A220" s="112">
        <f t="shared" si="3"/>
        <v>219</v>
      </c>
      <c r="B220" s="39" t="s">
        <v>674</v>
      </c>
      <c r="C220" s="40">
        <v>0.5427908631070667</v>
      </c>
      <c r="D220" s="40">
        <v>0.57378748413737979</v>
      </c>
      <c r="F220" s="131" t="s">
        <v>538</v>
      </c>
      <c r="G220" s="80"/>
      <c r="H220" s="80"/>
      <c r="I220" s="80"/>
      <c r="J220" s="35"/>
      <c r="K220" s="35"/>
      <c r="N220" s="24"/>
    </row>
    <row r="221" spans="1:14" x14ac:dyDescent="0.2">
      <c r="A221" s="112">
        <f t="shared" si="3"/>
        <v>220</v>
      </c>
      <c r="B221" s="39" t="s">
        <v>675</v>
      </c>
      <c r="C221" s="40">
        <v>0.20101120055511107</v>
      </c>
      <c r="D221" s="40">
        <v>0.2316620022947791</v>
      </c>
      <c r="F221" s="131" t="s">
        <v>538</v>
      </c>
      <c r="G221" s="80"/>
      <c r="H221" s="80"/>
      <c r="I221" s="80"/>
      <c r="J221" s="35"/>
      <c r="K221" s="35"/>
      <c r="N221" s="24"/>
    </row>
    <row r="222" spans="1:14" x14ac:dyDescent="0.2">
      <c r="A222" s="112">
        <f t="shared" si="3"/>
        <v>221</v>
      </c>
      <c r="B222" s="39" t="s">
        <v>651</v>
      </c>
      <c r="C222" s="40">
        <v>0.3282155998730103</v>
      </c>
      <c r="D222" s="40">
        <v>0.35713314043924854</v>
      </c>
      <c r="F222" s="131" t="s">
        <v>538</v>
      </c>
      <c r="G222" s="80"/>
      <c r="H222" s="80"/>
      <c r="I222" s="80"/>
      <c r="J222" s="35"/>
      <c r="K222" s="35"/>
      <c r="N222" s="24"/>
    </row>
    <row r="223" spans="1:14" x14ac:dyDescent="0.2">
      <c r="A223" s="112">
        <f t="shared" si="3"/>
        <v>222</v>
      </c>
      <c r="B223" s="39" t="s">
        <v>676</v>
      </c>
      <c r="C223" s="40">
        <v>1.2032962220923127</v>
      </c>
      <c r="D223" s="40">
        <v>1.2696170357608056</v>
      </c>
      <c r="F223" s="131" t="s">
        <v>538</v>
      </c>
      <c r="G223" s="80"/>
      <c r="H223" s="80"/>
      <c r="I223" s="80"/>
      <c r="J223" s="35">
        <v>1.2133047554936167</v>
      </c>
      <c r="K223" s="35">
        <v>1.2437057687678534</v>
      </c>
      <c r="N223" s="24"/>
    </row>
    <row r="224" spans="1:14" x14ac:dyDescent="0.2">
      <c r="A224" s="112">
        <f t="shared" si="3"/>
        <v>223</v>
      </c>
      <c r="B224" s="39" t="s">
        <v>677</v>
      </c>
      <c r="C224" s="40">
        <v>1.0863770529825496</v>
      </c>
      <c r="D224" s="40">
        <v>1.1530938234847012</v>
      </c>
      <c r="F224" s="131" t="s">
        <v>538</v>
      </c>
      <c r="G224" s="80"/>
      <c r="H224" s="80"/>
      <c r="I224" s="80"/>
      <c r="J224" s="35">
        <v>1.0964556382266801</v>
      </c>
      <c r="K224" s="35">
        <v>1.1270398066821208</v>
      </c>
      <c r="L224" s="37"/>
      <c r="M224" s="37"/>
      <c r="N224" s="24"/>
    </row>
    <row r="225" spans="1:11" x14ac:dyDescent="0.2">
      <c r="A225" s="112">
        <f t="shared" si="3"/>
        <v>224</v>
      </c>
      <c r="B225" s="38" t="s">
        <v>678</v>
      </c>
      <c r="C225" s="49">
        <v>0.79318937687827396</v>
      </c>
      <c r="D225" s="35">
        <v>0.82124108882653291</v>
      </c>
      <c r="F225" s="131" t="s">
        <v>538</v>
      </c>
      <c r="G225" s="80"/>
      <c r="H225" s="80"/>
      <c r="I225" s="80"/>
      <c r="J225" s="35">
        <v>0.89893741206017697</v>
      </c>
      <c r="K225" s="35">
        <v>0.91289823012325877</v>
      </c>
    </row>
    <row r="226" spans="1:11" s="53" customFormat="1" ht="20.25" customHeight="1" x14ac:dyDescent="0.2">
      <c r="A226" s="112">
        <f t="shared" si="3"/>
        <v>225</v>
      </c>
      <c r="B226" s="57" t="s">
        <v>616</v>
      </c>
      <c r="C226" s="58"/>
      <c r="D226" s="58"/>
      <c r="E226" s="202"/>
      <c r="F226" s="133"/>
      <c r="J226" s="51"/>
      <c r="K226" s="51"/>
    </row>
    <row r="227" spans="1:11" x14ac:dyDescent="0.2">
      <c r="A227" s="112">
        <f t="shared" si="3"/>
        <v>226</v>
      </c>
      <c r="B227" s="166" t="s">
        <v>275</v>
      </c>
      <c r="C227" s="167">
        <v>5.835</v>
      </c>
      <c r="D227" s="167">
        <v>7.0460000000000003</v>
      </c>
      <c r="F227" s="132" t="s">
        <v>535</v>
      </c>
      <c r="G227" s="79"/>
      <c r="H227" s="79"/>
      <c r="I227" s="79"/>
      <c r="J227" s="167"/>
      <c r="K227" s="167"/>
    </row>
    <row r="228" spans="1:11" x14ac:dyDescent="0.2">
      <c r="A228" s="112">
        <f t="shared" si="3"/>
        <v>227</v>
      </c>
      <c r="B228" s="165" t="s">
        <v>296</v>
      </c>
      <c r="C228" s="74">
        <v>0.27900000000000003</v>
      </c>
      <c r="D228" s="74">
        <v>0.32300000000000001</v>
      </c>
      <c r="F228" s="132" t="s">
        <v>535</v>
      </c>
      <c r="G228" s="79"/>
      <c r="H228" s="79"/>
      <c r="I228" s="79"/>
      <c r="J228" s="74"/>
      <c r="K228" s="74"/>
    </row>
    <row r="229" spans="1:11" x14ac:dyDescent="0.2">
      <c r="A229" s="112">
        <f t="shared" si="3"/>
        <v>228</v>
      </c>
      <c r="B229" s="166" t="s">
        <v>863</v>
      </c>
      <c r="C229" s="191">
        <f>121.2/1.73/8.454</f>
        <v>8.2869415032183689</v>
      </c>
      <c r="D229" s="191">
        <f>121.2/(2*6.667)</f>
        <v>9.0895455227238635</v>
      </c>
      <c r="F229" s="190" t="s">
        <v>861</v>
      </c>
      <c r="G229" s="79"/>
      <c r="H229" s="79"/>
      <c r="I229" s="79"/>
      <c r="J229" s="167"/>
      <c r="K229" s="167"/>
    </row>
    <row r="230" spans="1:11" x14ac:dyDescent="0.2">
      <c r="A230" s="112">
        <f t="shared" si="3"/>
        <v>229</v>
      </c>
      <c r="B230" s="166" t="s">
        <v>864</v>
      </c>
      <c r="C230" s="191">
        <f>121.2/1.73/8.444</f>
        <v>8.2967555031037516</v>
      </c>
      <c r="D230" s="191">
        <f>121.2/(2*6.657)</f>
        <v>9.1031996394772428</v>
      </c>
      <c r="F230" s="190" t="s">
        <v>861</v>
      </c>
      <c r="G230" s="79"/>
      <c r="H230" s="79"/>
      <c r="I230" s="79"/>
      <c r="J230" s="167"/>
      <c r="K230" s="167"/>
    </row>
    <row r="231" spans="1:11" x14ac:dyDescent="0.2">
      <c r="A231" s="112">
        <f t="shared" si="3"/>
        <v>230</v>
      </c>
      <c r="B231" s="165" t="s">
        <v>865</v>
      </c>
      <c r="C231" s="227">
        <v>0.99634698199896621</v>
      </c>
      <c r="D231" s="227">
        <v>1.0223110005456468</v>
      </c>
      <c r="F231" s="135" t="s">
        <v>861</v>
      </c>
      <c r="G231" s="79"/>
      <c r="H231" s="79"/>
      <c r="I231" s="79"/>
      <c r="J231" s="74"/>
      <c r="K231" s="74"/>
    </row>
    <row r="232" spans="1:11" x14ac:dyDescent="0.2">
      <c r="A232" s="112">
        <f t="shared" si="3"/>
        <v>231</v>
      </c>
      <c r="B232" s="165" t="s">
        <v>866</v>
      </c>
      <c r="C232" s="227">
        <v>0.97813505938930156</v>
      </c>
      <c r="D232" s="227">
        <v>1.0042241955186995</v>
      </c>
      <c r="F232" s="135" t="s">
        <v>861</v>
      </c>
      <c r="G232" s="79"/>
      <c r="H232" s="79"/>
      <c r="I232" s="79"/>
      <c r="J232" s="74"/>
      <c r="K232" s="74"/>
    </row>
    <row r="233" spans="1:11" x14ac:dyDescent="0.2">
      <c r="A233" s="112">
        <f t="shared" si="3"/>
        <v>232</v>
      </c>
      <c r="B233" s="166" t="s">
        <v>868</v>
      </c>
      <c r="C233" s="191">
        <v>4.6390000000000002</v>
      </c>
      <c r="D233" s="191">
        <v>5.7839999999999998</v>
      </c>
      <c r="F233" s="192" t="s">
        <v>861</v>
      </c>
      <c r="G233" s="79"/>
      <c r="H233" s="79"/>
      <c r="I233" s="79"/>
      <c r="J233" s="167"/>
      <c r="K233" s="167"/>
    </row>
    <row r="234" spans="1:11" x14ac:dyDescent="0.2">
      <c r="A234" s="112">
        <f t="shared" si="3"/>
        <v>233</v>
      </c>
      <c r="B234" s="166" t="s">
        <v>869</v>
      </c>
      <c r="C234" s="191">
        <v>4.6360000000000001</v>
      </c>
      <c r="D234" s="191">
        <v>5.7240000000000002</v>
      </c>
      <c r="F234" s="192" t="s">
        <v>861</v>
      </c>
      <c r="G234" s="79"/>
      <c r="H234" s="79"/>
      <c r="I234" s="79"/>
      <c r="J234" s="167"/>
      <c r="K234" s="167"/>
    </row>
    <row r="235" spans="1:11" x14ac:dyDescent="0.2">
      <c r="A235" s="112">
        <f t="shared" si="3"/>
        <v>234</v>
      </c>
      <c r="B235" s="9" t="s">
        <v>276</v>
      </c>
      <c r="C235" s="224">
        <v>0.98434535605805296</v>
      </c>
      <c r="D235" s="224">
        <v>1.0103094158994337</v>
      </c>
      <c r="F235" s="225" t="s">
        <v>876</v>
      </c>
      <c r="G235" s="66"/>
      <c r="H235" s="66"/>
      <c r="I235" s="66"/>
      <c r="J235" s="8">
        <v>1.0887920977634225</v>
      </c>
      <c r="K235" s="8">
        <v>1.1276047384408396</v>
      </c>
    </row>
    <row r="236" spans="1:11" x14ac:dyDescent="0.2">
      <c r="A236" s="112">
        <f t="shared" si="3"/>
        <v>235</v>
      </c>
      <c r="B236" s="9" t="s">
        <v>277</v>
      </c>
      <c r="C236" s="224">
        <v>0.9661334031749006</v>
      </c>
      <c r="D236" s="224">
        <v>0.99222258233181493</v>
      </c>
      <c r="F236" s="225" t="s">
        <v>876</v>
      </c>
      <c r="G236" s="66"/>
      <c r="H236" s="66"/>
      <c r="I236" s="66"/>
      <c r="J236" s="8">
        <v>1.0730963196191079</v>
      </c>
      <c r="K236" s="8">
        <v>1.1118966188497177</v>
      </c>
    </row>
    <row r="237" spans="1:11" x14ac:dyDescent="0.2">
      <c r="A237" s="112">
        <f t="shared" si="3"/>
        <v>236</v>
      </c>
      <c r="B237" s="7" t="s">
        <v>725</v>
      </c>
      <c r="C237" s="8">
        <v>0.92359760677678693</v>
      </c>
      <c r="D237" s="8">
        <v>0.9624850988544853</v>
      </c>
      <c r="F237" s="131" t="s">
        <v>543</v>
      </c>
      <c r="G237" s="66"/>
      <c r="H237" s="66"/>
      <c r="I237" s="66"/>
      <c r="J237" s="8">
        <v>0.8928463028693584</v>
      </c>
      <c r="K237" s="8">
        <v>0.9518439767586081</v>
      </c>
    </row>
    <row r="238" spans="1:11" x14ac:dyDescent="0.2">
      <c r="A238" s="112">
        <f t="shared" si="3"/>
        <v>237</v>
      </c>
      <c r="B238" s="7" t="s">
        <v>726</v>
      </c>
      <c r="C238" s="8">
        <v>0.92638559401331533</v>
      </c>
      <c r="D238" s="8">
        <v>0.96526612732765227</v>
      </c>
      <c r="F238" s="131" t="s">
        <v>543</v>
      </c>
      <c r="G238" s="66"/>
      <c r="H238" s="66"/>
      <c r="I238" s="66"/>
      <c r="J238" s="8">
        <v>0.91268686217534756</v>
      </c>
      <c r="K238" s="8">
        <v>0.97172280942851297</v>
      </c>
    </row>
    <row r="239" spans="1:11" x14ac:dyDescent="0.2">
      <c r="A239" s="112">
        <f t="shared" si="3"/>
        <v>238</v>
      </c>
      <c r="B239" s="7" t="s">
        <v>278</v>
      </c>
      <c r="C239" s="8">
        <v>0.82605567997492491</v>
      </c>
      <c r="D239" s="8">
        <v>0.86485858136356364</v>
      </c>
      <c r="F239" s="131" t="s">
        <v>543</v>
      </c>
      <c r="G239" s="66"/>
      <c r="H239" s="66"/>
      <c r="I239" s="66"/>
      <c r="J239" s="8">
        <v>0.65231975212351856</v>
      </c>
      <c r="K239" s="8">
        <v>0.65539702628688246</v>
      </c>
    </row>
    <row r="240" spans="1:11" x14ac:dyDescent="0.2">
      <c r="A240" s="112">
        <f t="shared" si="3"/>
        <v>239</v>
      </c>
      <c r="B240" s="7" t="s">
        <v>279</v>
      </c>
      <c r="C240" s="8">
        <v>0.84256254513731632</v>
      </c>
      <c r="D240" s="8">
        <v>0.88137112291771413</v>
      </c>
      <c r="F240" s="131" t="s">
        <v>543</v>
      </c>
      <c r="G240" s="66"/>
      <c r="H240" s="66"/>
      <c r="I240" s="66"/>
      <c r="J240" s="8">
        <v>0.66617653662860898</v>
      </c>
      <c r="K240" s="8">
        <v>0.6692538406088443</v>
      </c>
    </row>
    <row r="241" spans="1:11" x14ac:dyDescent="0.2">
      <c r="A241" s="112">
        <f t="shared" si="3"/>
        <v>240</v>
      </c>
      <c r="B241" s="12" t="s">
        <v>604</v>
      </c>
      <c r="C241" s="224">
        <v>0.89810810296605492</v>
      </c>
      <c r="D241" s="224">
        <v>0.92398239052953135</v>
      </c>
      <c r="F241" s="225" t="s">
        <v>876</v>
      </c>
      <c r="G241" s="66"/>
      <c r="H241" s="66"/>
      <c r="I241" s="66"/>
      <c r="J241" s="8">
        <v>1.0069572235643796</v>
      </c>
      <c r="K241" s="8">
        <v>1.0454568155231683</v>
      </c>
    </row>
    <row r="242" spans="1:11" x14ac:dyDescent="0.2">
      <c r="A242" s="112">
        <f t="shared" si="3"/>
        <v>241</v>
      </c>
      <c r="B242" s="12" t="s">
        <v>605</v>
      </c>
      <c r="C242" s="224">
        <v>0.89568334264433425</v>
      </c>
      <c r="D242" s="224">
        <v>0.92168537449992194</v>
      </c>
      <c r="F242" s="225" t="s">
        <v>876</v>
      </c>
      <c r="G242" s="66"/>
      <c r="H242" s="66"/>
      <c r="I242" s="66"/>
      <c r="J242" s="8">
        <v>1.0069572235643796</v>
      </c>
      <c r="K242" s="8">
        <v>1.0454568155231683</v>
      </c>
    </row>
    <row r="243" spans="1:11" x14ac:dyDescent="0.2">
      <c r="A243" s="112">
        <f t="shared" si="3"/>
        <v>242</v>
      </c>
      <c r="B243" s="7" t="s">
        <v>517</v>
      </c>
      <c r="C243" s="224">
        <v>0.95560260598411151</v>
      </c>
      <c r="D243" s="224">
        <v>0.98157996759236543</v>
      </c>
      <c r="F243" s="225" t="s">
        <v>876</v>
      </c>
      <c r="H243" s="66"/>
      <c r="I243" s="66"/>
      <c r="J243" s="8">
        <v>1.059238077933899</v>
      </c>
      <c r="K243" s="8">
        <v>1.0980878347523848</v>
      </c>
    </row>
    <row r="244" spans="1:11" x14ac:dyDescent="0.2">
      <c r="A244" s="112">
        <f t="shared" si="3"/>
        <v>243</v>
      </c>
      <c r="B244" s="7" t="s">
        <v>518</v>
      </c>
      <c r="C244" s="224">
        <v>0.96480321967801896</v>
      </c>
      <c r="D244" s="224">
        <v>0.99090958641326798</v>
      </c>
      <c r="F244" s="225" t="s">
        <v>876</v>
      </c>
      <c r="H244" s="66"/>
      <c r="I244" s="66"/>
      <c r="J244" s="8">
        <v>1.0704815244076835</v>
      </c>
      <c r="K244" s="8">
        <v>1.1093493583399587</v>
      </c>
    </row>
    <row r="245" spans="1:11" x14ac:dyDescent="0.2">
      <c r="A245" s="112">
        <f t="shared" si="3"/>
        <v>244</v>
      </c>
      <c r="B245" s="7" t="s">
        <v>280</v>
      </c>
      <c r="C245" s="224">
        <v>1.1140924762441911</v>
      </c>
      <c r="D245" s="224">
        <v>1.140049453780029</v>
      </c>
      <c r="F245" s="225" t="s">
        <v>876</v>
      </c>
      <c r="H245" s="66"/>
      <c r="I245" s="66"/>
      <c r="J245" s="8">
        <v>1.218466653322511</v>
      </c>
      <c r="K245" s="8">
        <v>1.2573092979873806</v>
      </c>
    </row>
    <row r="246" spans="1:11" x14ac:dyDescent="0.2">
      <c r="A246" s="112">
        <f t="shared" si="3"/>
        <v>245</v>
      </c>
      <c r="B246" s="7" t="s">
        <v>281</v>
      </c>
      <c r="C246" s="224">
        <v>1.1533279619642676</v>
      </c>
      <c r="D246" s="224">
        <v>1.1794143768635106</v>
      </c>
      <c r="F246" s="225" t="s">
        <v>876</v>
      </c>
      <c r="H246" s="66"/>
      <c r="I246" s="66"/>
      <c r="J246" s="8">
        <v>1.259723735908874</v>
      </c>
      <c r="K246" s="8">
        <v>1.2985915027684303</v>
      </c>
    </row>
    <row r="247" spans="1:11" x14ac:dyDescent="0.2">
      <c r="A247" s="112">
        <f t="shared" si="3"/>
        <v>246</v>
      </c>
      <c r="B247" s="7" t="s">
        <v>343</v>
      </c>
      <c r="C247" s="224">
        <v>0.77131855515106684</v>
      </c>
      <c r="D247" s="224">
        <v>0.78368894435846448</v>
      </c>
      <c r="F247" s="225" t="s">
        <v>876</v>
      </c>
      <c r="H247" s="66"/>
      <c r="I247" s="66"/>
      <c r="J247" s="8">
        <v>0.85114713881379267</v>
      </c>
      <c r="K247" s="8">
        <v>0.86539200845790665</v>
      </c>
    </row>
    <row r="248" spans="1:11" x14ac:dyDescent="0.2">
      <c r="A248" s="112">
        <f t="shared" si="3"/>
        <v>247</v>
      </c>
      <c r="B248" s="7" t="s">
        <v>344</v>
      </c>
      <c r="C248" s="224">
        <v>0.80387695686388405</v>
      </c>
      <c r="D248" s="224">
        <v>0.81459944166975307</v>
      </c>
      <c r="F248" s="225" t="s">
        <v>876</v>
      </c>
      <c r="H248" s="66"/>
      <c r="I248" s="66"/>
      <c r="J248" s="8">
        <v>0.85126697807421214</v>
      </c>
      <c r="K248" s="8">
        <v>0.86551047102222001</v>
      </c>
    </row>
    <row r="249" spans="1:11" x14ac:dyDescent="0.2">
      <c r="A249" s="112">
        <f t="shared" si="3"/>
        <v>248</v>
      </c>
      <c r="B249" s="34" t="s">
        <v>359</v>
      </c>
      <c r="C249" s="224">
        <v>0.9606356150623524</v>
      </c>
      <c r="D249" s="224">
        <v>0.97286583765045265</v>
      </c>
      <c r="F249" s="225" t="s">
        <v>876</v>
      </c>
      <c r="H249" s="66"/>
      <c r="I249" s="66"/>
      <c r="J249" s="8">
        <v>1.121023423868005</v>
      </c>
      <c r="K249" s="8">
        <v>1.135158099905528</v>
      </c>
    </row>
    <row r="250" spans="1:11" x14ac:dyDescent="0.2">
      <c r="A250" s="112">
        <f t="shared" si="3"/>
        <v>249</v>
      </c>
      <c r="B250" s="34" t="s">
        <v>360</v>
      </c>
      <c r="C250" s="224">
        <v>0.96670386393232877</v>
      </c>
      <c r="D250" s="224">
        <v>0.97730281806421648</v>
      </c>
      <c r="F250" s="225" t="s">
        <v>876</v>
      </c>
      <c r="G250" s="66"/>
      <c r="H250" s="66"/>
      <c r="I250" s="66"/>
      <c r="J250" s="8">
        <v>1.1327753438636916</v>
      </c>
      <c r="K250" s="8">
        <v>1.1469138634252745</v>
      </c>
    </row>
    <row r="251" spans="1:11" x14ac:dyDescent="0.2">
      <c r="A251" s="112">
        <f t="shared" si="3"/>
        <v>250</v>
      </c>
      <c r="B251" s="7" t="s">
        <v>346</v>
      </c>
      <c r="C251" s="8">
        <v>0.78600000000000003</v>
      </c>
      <c r="D251" s="8">
        <v>0.79700000000000004</v>
      </c>
      <c r="F251" s="131"/>
      <c r="G251" s="66"/>
      <c r="H251" s="66"/>
      <c r="I251" s="66"/>
      <c r="J251" s="8"/>
      <c r="K251" s="8"/>
    </row>
    <row r="252" spans="1:11" x14ac:dyDescent="0.2">
      <c r="A252" s="112">
        <f t="shared" si="3"/>
        <v>251</v>
      </c>
      <c r="B252" s="7" t="s">
        <v>872</v>
      </c>
      <c r="C252" s="224">
        <v>0.98684224003562726</v>
      </c>
      <c r="D252" s="224">
        <v>0.99907300320888648</v>
      </c>
      <c r="F252" s="225" t="s">
        <v>876</v>
      </c>
      <c r="G252" s="66"/>
      <c r="H252" s="66"/>
      <c r="I252" s="66"/>
      <c r="J252" s="8"/>
      <c r="K252" s="8"/>
    </row>
    <row r="253" spans="1:11" x14ac:dyDescent="0.2">
      <c r="A253" s="112">
        <f t="shared" si="3"/>
        <v>252</v>
      </c>
      <c r="B253" s="7" t="s">
        <v>873</v>
      </c>
      <c r="C253" s="224">
        <v>0.98672256599933728</v>
      </c>
      <c r="D253" s="224">
        <v>0.99731955237251946</v>
      </c>
      <c r="F253" s="225" t="s">
        <v>876</v>
      </c>
      <c r="G253" s="66"/>
      <c r="H253" s="66"/>
      <c r="I253" s="66"/>
      <c r="J253" s="8">
        <v>1.0336002511414337</v>
      </c>
      <c r="K253" s="8">
        <v>1.0476905349465073</v>
      </c>
    </row>
    <row r="254" spans="1:11" x14ac:dyDescent="0.2">
      <c r="A254" s="112">
        <f t="shared" si="3"/>
        <v>253</v>
      </c>
      <c r="B254" s="187" t="s">
        <v>859</v>
      </c>
      <c r="C254" s="8">
        <v>1.1884085689016184</v>
      </c>
      <c r="D254" s="8">
        <v>1.2437781222624742</v>
      </c>
      <c r="F254" s="131" t="s">
        <v>807</v>
      </c>
      <c r="G254" s="66"/>
      <c r="H254" s="66"/>
      <c r="I254" s="66"/>
      <c r="J254" s="8"/>
      <c r="K254" s="8"/>
    </row>
    <row r="255" spans="1:11" x14ac:dyDescent="0.2">
      <c r="A255" s="112">
        <f t="shared" si="3"/>
        <v>254</v>
      </c>
      <c r="B255" s="188" t="s">
        <v>808</v>
      </c>
      <c r="C255" s="86">
        <v>1.1698856027015045</v>
      </c>
      <c r="D255" s="86">
        <v>1.2252567688895915</v>
      </c>
      <c r="F255" s="131" t="s">
        <v>807</v>
      </c>
      <c r="G255" s="248" t="s">
        <v>815</v>
      </c>
      <c r="H255" s="66"/>
      <c r="I255" s="66"/>
      <c r="J255" s="8"/>
      <c r="K255" s="8"/>
    </row>
    <row r="256" spans="1:11" x14ac:dyDescent="0.2">
      <c r="A256" s="112">
        <f t="shared" si="3"/>
        <v>255</v>
      </c>
      <c r="B256" s="189" t="s">
        <v>809</v>
      </c>
      <c r="C256" s="86">
        <v>1.1015834919200598</v>
      </c>
      <c r="D256" s="86">
        <v>1.1568304443097788</v>
      </c>
      <c r="F256" s="131" t="s">
        <v>807</v>
      </c>
      <c r="G256" s="248"/>
      <c r="H256" s="66"/>
      <c r="I256" s="66"/>
      <c r="J256" s="8"/>
      <c r="K256" s="8"/>
    </row>
    <row r="257" spans="1:11" x14ac:dyDescent="0.2">
      <c r="A257" s="112">
        <f t="shared" si="3"/>
        <v>256</v>
      </c>
      <c r="B257" s="189" t="s">
        <v>810</v>
      </c>
      <c r="C257" s="86">
        <v>1.0988679417481027</v>
      </c>
      <c r="D257" s="86">
        <v>1.1541204032714607</v>
      </c>
      <c r="F257" s="131" t="s">
        <v>807</v>
      </c>
      <c r="G257" s="248"/>
      <c r="H257" s="66"/>
      <c r="I257" s="66"/>
      <c r="J257" s="8"/>
      <c r="K257" s="8"/>
    </row>
    <row r="258" spans="1:11" x14ac:dyDescent="0.2">
      <c r="A258" s="112">
        <f t="shared" ref="A258:A321" si="4">A257+1</f>
        <v>257</v>
      </c>
      <c r="B258" s="88" t="s">
        <v>811</v>
      </c>
      <c r="C258" s="86">
        <v>1.1597554613294769</v>
      </c>
      <c r="D258" s="86">
        <v>1.2151444979268022</v>
      </c>
      <c r="F258" s="131" t="s">
        <v>807</v>
      </c>
      <c r="G258" s="248"/>
      <c r="H258" s="66"/>
      <c r="I258" s="66"/>
      <c r="J258" s="8"/>
      <c r="K258" s="8"/>
    </row>
    <row r="259" spans="1:11" x14ac:dyDescent="0.2">
      <c r="A259" s="112">
        <f t="shared" si="4"/>
        <v>258</v>
      </c>
      <c r="B259" s="88" t="s">
        <v>812</v>
      </c>
      <c r="C259" s="86">
        <v>1.1686692658656952</v>
      </c>
      <c r="D259" s="86">
        <v>1.2240648278210811</v>
      </c>
      <c r="F259" s="131" t="s">
        <v>807</v>
      </c>
      <c r="G259" s="248"/>
      <c r="H259" s="66"/>
      <c r="I259" s="66"/>
      <c r="J259" s="8"/>
      <c r="K259" s="8"/>
    </row>
    <row r="260" spans="1:11" x14ac:dyDescent="0.2">
      <c r="A260" s="112">
        <f t="shared" si="4"/>
        <v>259</v>
      </c>
      <c r="B260" s="88" t="s">
        <v>813</v>
      </c>
      <c r="C260" s="86">
        <v>1.3181028823048777</v>
      </c>
      <c r="D260" s="86">
        <v>1.3734593772131169</v>
      </c>
      <c r="F260" s="131" t="s">
        <v>807</v>
      </c>
      <c r="G260" s="248"/>
      <c r="H260" s="66"/>
      <c r="I260" s="66"/>
      <c r="J260" s="8"/>
      <c r="K260" s="8"/>
    </row>
    <row r="261" spans="1:11" x14ac:dyDescent="0.2">
      <c r="A261" s="112">
        <f t="shared" si="4"/>
        <v>260</v>
      </c>
      <c r="B261" s="88" t="s">
        <v>814</v>
      </c>
      <c r="C261" s="86">
        <v>1.3570549212912189</v>
      </c>
      <c r="D261" s="86">
        <v>1.4124184898504246</v>
      </c>
      <c r="F261" s="131" t="s">
        <v>807</v>
      </c>
      <c r="G261" s="248"/>
      <c r="H261" s="66"/>
      <c r="I261" s="66"/>
      <c r="J261" s="8"/>
      <c r="K261" s="8"/>
    </row>
    <row r="262" spans="1:11" x14ac:dyDescent="0.2">
      <c r="A262" s="112">
        <f t="shared" si="4"/>
        <v>261</v>
      </c>
      <c r="B262" s="38" t="s">
        <v>679</v>
      </c>
      <c r="C262" s="35">
        <v>0.96630565571684146</v>
      </c>
      <c r="D262" s="35">
        <v>1.0251343798230184</v>
      </c>
      <c r="F262" s="131" t="s">
        <v>543</v>
      </c>
      <c r="G262" s="66"/>
      <c r="H262" s="66"/>
      <c r="I262" s="66"/>
      <c r="J262" s="35">
        <v>1.0427268799547562</v>
      </c>
      <c r="K262" s="35">
        <v>1.0568154754475994</v>
      </c>
    </row>
    <row r="263" spans="1:11" x14ac:dyDescent="0.2">
      <c r="A263" s="112">
        <f t="shared" si="4"/>
        <v>262</v>
      </c>
      <c r="B263" s="38" t="s">
        <v>680</v>
      </c>
      <c r="C263" s="35">
        <v>0.995</v>
      </c>
      <c r="D263" s="35">
        <v>1.0349999999999999</v>
      </c>
      <c r="F263" s="131" t="s">
        <v>543</v>
      </c>
      <c r="G263" s="66"/>
      <c r="H263" s="66"/>
      <c r="I263" s="66"/>
      <c r="J263" s="35"/>
      <c r="K263" s="35"/>
    </row>
    <row r="264" spans="1:11" x14ac:dyDescent="0.2">
      <c r="A264" s="112">
        <f t="shared" si="4"/>
        <v>263</v>
      </c>
      <c r="B264" s="38" t="s">
        <v>681</v>
      </c>
      <c r="C264" s="35">
        <v>1.0049999999999999</v>
      </c>
      <c r="D264" s="35">
        <v>1.0449999999999999</v>
      </c>
      <c r="F264" s="131" t="s">
        <v>543</v>
      </c>
      <c r="G264" s="66"/>
      <c r="H264" s="66"/>
      <c r="I264" s="66"/>
      <c r="J264" s="35"/>
      <c r="K264" s="35"/>
    </row>
    <row r="265" spans="1:11" x14ac:dyDescent="0.2">
      <c r="A265" s="112">
        <f t="shared" si="4"/>
        <v>264</v>
      </c>
      <c r="B265" s="38" t="s">
        <v>682</v>
      </c>
      <c r="C265" s="35">
        <v>0.83362498192080614</v>
      </c>
      <c r="D265" s="35">
        <v>0.87242035324857969</v>
      </c>
      <c r="F265" s="131" t="s">
        <v>543</v>
      </c>
      <c r="G265" s="66"/>
      <c r="H265" s="66"/>
      <c r="I265" s="66"/>
      <c r="J265" s="35">
        <v>0.65993362646702336</v>
      </c>
      <c r="K265" s="35">
        <v>0.66300990796121162</v>
      </c>
    </row>
    <row r="266" spans="1:11" x14ac:dyDescent="0.2">
      <c r="A266" s="112">
        <f t="shared" si="4"/>
        <v>265</v>
      </c>
      <c r="B266" s="38" t="s">
        <v>683</v>
      </c>
      <c r="C266" s="35">
        <v>0.8501285597698176</v>
      </c>
      <c r="D266" s="35">
        <v>0.88892988977332421</v>
      </c>
      <c r="F266" s="131" t="s">
        <v>543</v>
      </c>
      <c r="G266" s="66"/>
      <c r="H266" s="66"/>
      <c r="I266" s="66"/>
      <c r="J266" s="35">
        <v>0.67378601254151294</v>
      </c>
      <c r="K266" s="35">
        <v>0.67686236415588896</v>
      </c>
    </row>
    <row r="267" spans="1:11" x14ac:dyDescent="0.2">
      <c r="A267" s="112">
        <f t="shared" si="4"/>
        <v>266</v>
      </c>
      <c r="B267" s="38" t="s">
        <v>684</v>
      </c>
      <c r="C267" s="83">
        <v>0.86561911260289193</v>
      </c>
      <c r="D267" s="83">
        <v>0.90427941574240589</v>
      </c>
      <c r="F267" s="131" t="s">
        <v>543</v>
      </c>
      <c r="G267" s="66"/>
      <c r="H267" s="66"/>
      <c r="I267" s="66"/>
      <c r="J267" s="83">
        <v>0.69271721549590581</v>
      </c>
      <c r="K267" s="83">
        <v>0.695776102299412</v>
      </c>
    </row>
    <row r="268" spans="1:11" x14ac:dyDescent="0.2">
      <c r="A268" s="112">
        <f t="shared" si="4"/>
        <v>267</v>
      </c>
      <c r="B268" s="38" t="s">
        <v>685</v>
      </c>
      <c r="C268" s="83">
        <v>0.88206378552790887</v>
      </c>
      <c r="D268" s="83">
        <v>0.92073491369791571</v>
      </c>
      <c r="F268" s="131" t="s">
        <v>543</v>
      </c>
      <c r="G268" s="66"/>
      <c r="H268" s="66"/>
      <c r="I268" s="66"/>
      <c r="J268" s="83">
        <v>0.70649246233015828</v>
      </c>
      <c r="K268" s="83">
        <v>0.70955208937541525</v>
      </c>
    </row>
    <row r="269" spans="1:11" x14ac:dyDescent="0.2">
      <c r="A269" s="112">
        <f t="shared" si="4"/>
        <v>268</v>
      </c>
      <c r="B269" s="38" t="s">
        <v>686</v>
      </c>
      <c r="C269" s="83">
        <v>0.83405481399872905</v>
      </c>
      <c r="D269" s="83">
        <v>0.87283997169866256</v>
      </c>
      <c r="F269" s="131" t="s">
        <v>543</v>
      </c>
      <c r="G269" s="66"/>
      <c r="H269" s="66"/>
      <c r="I269" s="66"/>
      <c r="J269" s="83">
        <v>0.66042389360377196</v>
      </c>
      <c r="K269" s="83">
        <v>0.66349882958845463</v>
      </c>
    </row>
    <row r="270" spans="1:11" x14ac:dyDescent="0.2">
      <c r="A270" s="112">
        <f t="shared" si="4"/>
        <v>269</v>
      </c>
      <c r="B270" s="38" t="s">
        <v>687</v>
      </c>
      <c r="C270" s="83">
        <v>0.84971986683009282</v>
      </c>
      <c r="D270" s="83">
        <v>0.88851458472821176</v>
      </c>
      <c r="F270" s="131" t="s">
        <v>543</v>
      </c>
      <c r="G270" s="66"/>
      <c r="H270" s="66"/>
      <c r="I270" s="66"/>
      <c r="J270" s="83">
        <v>0.67341697853229665</v>
      </c>
      <c r="K270" s="83">
        <v>0.67649246094041382</v>
      </c>
    </row>
    <row r="271" spans="1:11" x14ac:dyDescent="0.2">
      <c r="A271" s="112">
        <f t="shared" si="4"/>
        <v>270</v>
      </c>
      <c r="B271" s="38" t="s">
        <v>688</v>
      </c>
      <c r="C271" s="35">
        <v>1.2629144722167349</v>
      </c>
      <c r="D271" s="35">
        <v>1.3205412403657022</v>
      </c>
      <c r="F271" s="131" t="s">
        <v>543</v>
      </c>
      <c r="G271" s="66"/>
      <c r="H271" s="66"/>
      <c r="I271" s="66"/>
      <c r="J271" s="35">
        <v>1.3377682518285883</v>
      </c>
      <c r="K271" s="35">
        <v>1.3515899159860003</v>
      </c>
    </row>
    <row r="272" spans="1:11" x14ac:dyDescent="0.2">
      <c r="A272" s="112">
        <f t="shared" si="4"/>
        <v>271</v>
      </c>
      <c r="B272" s="38" t="s">
        <v>689</v>
      </c>
      <c r="C272" s="35">
        <v>1.2615311889123881</v>
      </c>
      <c r="D272" s="35">
        <v>1.3192178029057093</v>
      </c>
      <c r="F272" s="131" t="s">
        <v>543</v>
      </c>
      <c r="G272" s="66"/>
      <c r="H272" s="66"/>
      <c r="I272" s="66"/>
      <c r="J272" s="35">
        <v>1.3364620587662139</v>
      </c>
      <c r="K272" s="35">
        <v>1.3502970198198121</v>
      </c>
    </row>
    <row r="273" spans="1:12" s="53" customFormat="1" ht="20.25" customHeight="1" x14ac:dyDescent="0.2">
      <c r="A273" s="112">
        <f t="shared" si="4"/>
        <v>272</v>
      </c>
      <c r="B273" s="50" t="s">
        <v>617</v>
      </c>
      <c r="C273" s="51"/>
      <c r="D273" s="51"/>
      <c r="E273" s="202"/>
      <c r="F273" s="133"/>
      <c r="J273" s="51"/>
      <c r="K273" s="51"/>
    </row>
    <row r="274" spans="1:12" x14ac:dyDescent="0.2">
      <c r="A274" s="112">
        <f t="shared" si="4"/>
        <v>273</v>
      </c>
      <c r="B274" s="166" t="s">
        <v>282</v>
      </c>
      <c r="C274" s="167">
        <v>6.0369999999999999</v>
      </c>
      <c r="D274" s="167">
        <v>10.763</v>
      </c>
      <c r="F274" s="132" t="s">
        <v>535</v>
      </c>
      <c r="G274" s="80"/>
      <c r="H274" s="80"/>
      <c r="I274" s="80"/>
      <c r="J274" s="167"/>
      <c r="K274" s="167"/>
    </row>
    <row r="275" spans="1:12" x14ac:dyDescent="0.2">
      <c r="A275" s="112">
        <f t="shared" si="4"/>
        <v>274</v>
      </c>
      <c r="B275" s="7" t="s">
        <v>283</v>
      </c>
      <c r="C275" s="8">
        <v>0.96510164903557716</v>
      </c>
      <c r="D275" s="8">
        <v>1.1181903835451235</v>
      </c>
      <c r="F275" s="131" t="s">
        <v>543</v>
      </c>
      <c r="G275" s="66"/>
      <c r="H275" s="66"/>
      <c r="I275" s="66"/>
      <c r="J275" s="8"/>
      <c r="K275" s="8"/>
    </row>
    <row r="276" spans="1:12" x14ac:dyDescent="0.2">
      <c r="A276" s="112">
        <f t="shared" si="4"/>
        <v>275</v>
      </c>
      <c r="B276" s="7" t="s">
        <v>284</v>
      </c>
      <c r="C276" s="8">
        <v>0.8722022774098348</v>
      </c>
      <c r="D276" s="8">
        <v>1.0252898465429676</v>
      </c>
      <c r="F276" s="131" t="s">
        <v>543</v>
      </c>
      <c r="G276" s="66"/>
      <c r="H276" s="66"/>
      <c r="I276" s="66"/>
      <c r="J276" s="8"/>
      <c r="K276" s="8"/>
    </row>
    <row r="277" spans="1:12" x14ac:dyDescent="0.2">
      <c r="A277" s="112">
        <f t="shared" si="4"/>
        <v>276</v>
      </c>
      <c r="B277" s="7" t="s">
        <v>495</v>
      </c>
      <c r="C277" s="8">
        <v>0.70333529529605265</v>
      </c>
      <c r="D277" s="8">
        <v>0.85616935563729768</v>
      </c>
      <c r="F277" s="131" t="s">
        <v>543</v>
      </c>
      <c r="G277" s="66"/>
      <c r="H277" s="66"/>
      <c r="I277" s="66"/>
      <c r="J277" s="8"/>
      <c r="K277" s="8"/>
    </row>
    <row r="278" spans="1:12" x14ac:dyDescent="0.2">
      <c r="A278" s="112">
        <f t="shared" si="4"/>
        <v>277</v>
      </c>
      <c r="B278" s="7" t="s">
        <v>496</v>
      </c>
      <c r="C278" s="8">
        <v>0.70064150973528705</v>
      </c>
      <c r="D278" s="8">
        <v>0.85349292121595388</v>
      </c>
      <c r="F278" s="131" t="s">
        <v>543</v>
      </c>
      <c r="G278" s="66"/>
      <c r="H278" s="66"/>
      <c r="I278" s="66"/>
      <c r="J278" s="8"/>
      <c r="K278" s="8"/>
    </row>
    <row r="279" spans="1:12" x14ac:dyDescent="0.2">
      <c r="A279" s="112">
        <f t="shared" si="4"/>
        <v>278</v>
      </c>
      <c r="B279" s="7" t="s">
        <v>468</v>
      </c>
      <c r="C279" s="8">
        <v>0.82190576289576756</v>
      </c>
      <c r="D279" s="8">
        <v>0.97432734322201675</v>
      </c>
      <c r="F279" s="131" t="s">
        <v>543</v>
      </c>
      <c r="G279" s="66"/>
      <c r="H279" s="66"/>
      <c r="I279" s="66"/>
      <c r="J279" s="8">
        <v>0.7744441199590606</v>
      </c>
      <c r="K279" s="8">
        <v>0.85881559706632782</v>
      </c>
      <c r="L279" t="s">
        <v>537</v>
      </c>
    </row>
    <row r="280" spans="1:12" x14ac:dyDescent="0.2">
      <c r="A280" s="112">
        <f t="shared" si="4"/>
        <v>279</v>
      </c>
      <c r="B280" s="7" t="s">
        <v>469</v>
      </c>
      <c r="C280" s="8">
        <v>0.81540100994607645</v>
      </c>
      <c r="D280" s="8">
        <v>0.9678388831950705</v>
      </c>
      <c r="F280" s="131" t="s">
        <v>543</v>
      </c>
      <c r="G280" s="66"/>
      <c r="H280" s="66"/>
      <c r="I280" s="66"/>
      <c r="J280" s="8"/>
      <c r="K280" s="8"/>
    </row>
    <row r="281" spans="1:12" x14ac:dyDescent="0.2">
      <c r="A281" s="112">
        <f t="shared" si="4"/>
        <v>280</v>
      </c>
      <c r="B281" s="41" t="s">
        <v>285</v>
      </c>
      <c r="C281" s="42">
        <v>0.51838442777936289</v>
      </c>
      <c r="D281" s="42">
        <v>0.67150668462803664</v>
      </c>
      <c r="F281" s="131" t="s">
        <v>543</v>
      </c>
      <c r="G281" s="66"/>
      <c r="H281" s="66"/>
      <c r="I281" s="66"/>
      <c r="J281" s="8">
        <v>0.47598480471100202</v>
      </c>
      <c r="K281" s="8">
        <v>0.56280367657343111</v>
      </c>
      <c r="L281" t="s">
        <v>537</v>
      </c>
    </row>
    <row r="282" spans="1:12" x14ac:dyDescent="0.2">
      <c r="A282" s="112">
        <f t="shared" si="4"/>
        <v>281</v>
      </c>
      <c r="B282" s="7" t="s">
        <v>497</v>
      </c>
      <c r="C282" s="8">
        <v>1.0245624323780489</v>
      </c>
      <c r="D282" s="8">
        <v>1.1765825111049477</v>
      </c>
      <c r="F282" s="131" t="s">
        <v>543</v>
      </c>
      <c r="G282" s="66"/>
      <c r="H282" s="66"/>
      <c r="I282" s="66"/>
      <c r="J282" s="8"/>
      <c r="K282" s="8"/>
    </row>
    <row r="283" spans="1:12" x14ac:dyDescent="0.2">
      <c r="A283" s="112">
        <f t="shared" si="4"/>
        <v>282</v>
      </c>
      <c r="B283" s="7" t="s">
        <v>498</v>
      </c>
      <c r="C283" s="8">
        <v>1.0301208631183314</v>
      </c>
      <c r="D283" s="8">
        <v>1.1820976242563286</v>
      </c>
      <c r="F283" s="131" t="s">
        <v>543</v>
      </c>
      <c r="G283" s="66"/>
      <c r="H283" s="66"/>
      <c r="I283" s="66"/>
      <c r="J283" s="8"/>
      <c r="K283" s="8"/>
    </row>
    <row r="284" spans="1:12" x14ac:dyDescent="0.2">
      <c r="A284" s="112">
        <f t="shared" si="4"/>
        <v>283</v>
      </c>
      <c r="B284" s="7" t="s">
        <v>499</v>
      </c>
      <c r="C284" s="89">
        <v>1.0210970451660075</v>
      </c>
      <c r="D284" s="89">
        <v>1.1740606100334818</v>
      </c>
      <c r="F284" s="131" t="s">
        <v>543</v>
      </c>
      <c r="G284" s="66"/>
      <c r="H284" s="66"/>
      <c r="I284" s="66"/>
      <c r="J284" s="89"/>
      <c r="K284" s="89"/>
    </row>
    <row r="285" spans="1:12" x14ac:dyDescent="0.2">
      <c r="A285" s="112">
        <f t="shared" si="4"/>
        <v>284</v>
      </c>
      <c r="B285" s="7" t="s">
        <v>500</v>
      </c>
      <c r="C285" s="89">
        <v>1.0184304351753708</v>
      </c>
      <c r="D285" s="89">
        <v>1.171403391302644</v>
      </c>
      <c r="F285" s="131" t="s">
        <v>543</v>
      </c>
      <c r="G285" s="66"/>
      <c r="H285" s="66"/>
      <c r="I285" s="66"/>
      <c r="J285" s="89"/>
      <c r="K285" s="89"/>
    </row>
    <row r="286" spans="1:12" x14ac:dyDescent="0.2">
      <c r="A286" s="112">
        <f t="shared" si="4"/>
        <v>285</v>
      </c>
      <c r="B286" s="7" t="s">
        <v>462</v>
      </c>
      <c r="C286" s="89">
        <v>0.90458148266115357</v>
      </c>
      <c r="D286" s="89">
        <v>1.0565403381425147</v>
      </c>
      <c r="F286" s="131" t="s">
        <v>543</v>
      </c>
      <c r="G286" s="66"/>
      <c r="H286" s="66"/>
      <c r="I286" s="66"/>
      <c r="J286" s="89"/>
      <c r="K286" s="89"/>
    </row>
    <row r="287" spans="1:12" x14ac:dyDescent="0.2">
      <c r="A287" s="112">
        <f t="shared" si="4"/>
        <v>286</v>
      </c>
      <c r="B287" s="7" t="s">
        <v>463</v>
      </c>
      <c r="C287" s="89">
        <v>0.85246179041186765</v>
      </c>
      <c r="D287" s="89">
        <v>1.0043588427509598</v>
      </c>
      <c r="F287" s="131" t="s">
        <v>543</v>
      </c>
      <c r="G287" s="66"/>
      <c r="H287" s="66"/>
      <c r="I287" s="66"/>
      <c r="J287" s="89"/>
      <c r="K287" s="89"/>
    </row>
    <row r="288" spans="1:12" x14ac:dyDescent="0.2">
      <c r="A288" s="112">
        <f t="shared" si="4"/>
        <v>287</v>
      </c>
      <c r="B288" s="7" t="s">
        <v>778</v>
      </c>
      <c r="C288" s="89">
        <v>1.1308000882566245</v>
      </c>
      <c r="D288" s="89">
        <v>1.2801237056358412</v>
      </c>
      <c r="F288" s="131" t="s">
        <v>780</v>
      </c>
      <c r="G288" s="66"/>
      <c r="H288" s="66"/>
      <c r="I288" s="66"/>
      <c r="J288" s="89"/>
      <c r="K288" s="89"/>
    </row>
    <row r="289" spans="1:11" x14ac:dyDescent="0.2">
      <c r="A289" s="112">
        <f t="shared" si="4"/>
        <v>288</v>
      </c>
      <c r="B289" s="7" t="s">
        <v>779</v>
      </c>
      <c r="C289" s="89">
        <v>1.1261425413113497</v>
      </c>
      <c r="D289" s="89">
        <v>1.2754429838620871</v>
      </c>
      <c r="F289" s="131" t="s">
        <v>780</v>
      </c>
      <c r="G289" s="66"/>
      <c r="H289" s="66"/>
      <c r="I289" s="66"/>
      <c r="J289" s="89"/>
      <c r="K289" s="89"/>
    </row>
    <row r="290" spans="1:11" x14ac:dyDescent="0.2">
      <c r="A290" s="112">
        <f t="shared" si="4"/>
        <v>289</v>
      </c>
      <c r="B290" s="175" t="s">
        <v>690</v>
      </c>
      <c r="C290" s="169">
        <v>0.33500859690461676</v>
      </c>
      <c r="D290" s="169">
        <v>0.44800642852530587</v>
      </c>
      <c r="F290" s="131" t="s">
        <v>543</v>
      </c>
      <c r="G290" s="80"/>
      <c r="H290" s="80"/>
      <c r="I290" s="80"/>
      <c r="J290" s="169"/>
      <c r="K290" s="169"/>
    </row>
    <row r="291" spans="1:11" x14ac:dyDescent="0.2">
      <c r="A291" s="112">
        <f t="shared" si="4"/>
        <v>290</v>
      </c>
      <c r="B291" s="38" t="s">
        <v>691</v>
      </c>
      <c r="C291" s="35">
        <v>0.53427305049755669</v>
      </c>
      <c r="D291" s="35">
        <v>0.68733546709588422</v>
      </c>
      <c r="F291" s="131" t="s">
        <v>543</v>
      </c>
      <c r="G291" s="66"/>
      <c r="H291" s="66"/>
      <c r="I291" s="66"/>
      <c r="J291" s="35"/>
      <c r="K291" s="35"/>
    </row>
    <row r="292" spans="1:11" x14ac:dyDescent="0.2">
      <c r="A292" s="112">
        <f t="shared" si="4"/>
        <v>291</v>
      </c>
      <c r="B292" s="38" t="s">
        <v>559</v>
      </c>
      <c r="C292" s="35">
        <v>0.4</v>
      </c>
      <c r="D292" s="35">
        <v>0.99</v>
      </c>
      <c r="F292" s="131" t="s">
        <v>516</v>
      </c>
      <c r="G292" s="66"/>
      <c r="H292" s="66"/>
      <c r="I292" s="66"/>
      <c r="J292" s="35"/>
      <c r="K292" s="35"/>
    </row>
    <row r="293" spans="1:11" s="53" customFormat="1" ht="21" customHeight="1" x14ac:dyDescent="0.2">
      <c r="A293" s="112">
        <f t="shared" si="4"/>
        <v>292</v>
      </c>
      <c r="B293" s="50" t="s">
        <v>618</v>
      </c>
      <c r="C293" s="51"/>
      <c r="D293" s="51"/>
      <c r="E293" s="202"/>
      <c r="F293" s="133"/>
      <c r="J293" s="51"/>
      <c r="K293" s="51"/>
    </row>
    <row r="294" spans="1:11" x14ac:dyDescent="0.2">
      <c r="A294" s="112">
        <f t="shared" si="4"/>
        <v>293</v>
      </c>
      <c r="B294" s="166" t="s">
        <v>282</v>
      </c>
      <c r="C294" s="167">
        <v>6.0369999999999999</v>
      </c>
      <c r="D294" s="167">
        <v>10.763</v>
      </c>
      <c r="F294" s="132" t="s">
        <v>535</v>
      </c>
      <c r="G294" s="80"/>
      <c r="H294" s="80"/>
      <c r="I294" s="80"/>
      <c r="J294" s="167"/>
      <c r="K294" s="167"/>
    </row>
    <row r="295" spans="1:11" x14ac:dyDescent="0.2">
      <c r="A295" s="112">
        <f t="shared" si="4"/>
        <v>294</v>
      </c>
      <c r="B295" s="166" t="s">
        <v>259</v>
      </c>
      <c r="C295" s="167">
        <v>10.308999999999999</v>
      </c>
      <c r="D295" s="167">
        <v>12.894</v>
      </c>
      <c r="F295" s="132" t="s">
        <v>535</v>
      </c>
      <c r="G295" s="80"/>
      <c r="H295" s="80"/>
      <c r="I295" s="80"/>
      <c r="J295" s="167"/>
      <c r="K295" s="167"/>
    </row>
    <row r="296" spans="1:11" x14ac:dyDescent="0.2">
      <c r="A296" s="112">
        <f t="shared" si="4"/>
        <v>295</v>
      </c>
      <c r="B296" s="168" t="s">
        <v>259</v>
      </c>
      <c r="C296" s="169">
        <v>0.47499999999999998</v>
      </c>
      <c r="D296" s="169">
        <v>0.55000000000000004</v>
      </c>
      <c r="F296" s="132" t="s">
        <v>535</v>
      </c>
      <c r="G296" s="80"/>
      <c r="H296" s="80"/>
      <c r="I296" s="80"/>
      <c r="J296" s="167"/>
      <c r="K296" s="167"/>
    </row>
    <row r="297" spans="1:11" x14ac:dyDescent="0.2">
      <c r="A297" s="112">
        <f t="shared" si="4"/>
        <v>296</v>
      </c>
      <c r="B297" s="166" t="s">
        <v>286</v>
      </c>
      <c r="C297" s="167">
        <v>7.585</v>
      </c>
      <c r="D297" s="167">
        <v>8.1340000000000003</v>
      </c>
      <c r="F297" s="132" t="s">
        <v>535</v>
      </c>
      <c r="G297" s="80"/>
      <c r="H297" s="80"/>
      <c r="I297" s="80"/>
      <c r="J297" s="167"/>
      <c r="K297" s="167"/>
    </row>
    <row r="298" spans="1:11" x14ac:dyDescent="0.2">
      <c r="A298" s="112">
        <f t="shared" si="4"/>
        <v>297</v>
      </c>
      <c r="B298" s="168" t="s">
        <v>494</v>
      </c>
      <c r="C298" s="169">
        <v>0.34399999999999997</v>
      </c>
      <c r="D298" s="169">
        <v>0.36499999999999999</v>
      </c>
      <c r="F298" s="132" t="s">
        <v>860</v>
      </c>
      <c r="G298" s="80"/>
      <c r="H298" s="80"/>
      <c r="I298" s="80"/>
      <c r="J298" s="169"/>
      <c r="K298" s="169"/>
    </row>
    <row r="299" spans="1:11" x14ac:dyDescent="0.2">
      <c r="A299" s="112">
        <f t="shared" si="4"/>
        <v>298</v>
      </c>
      <c r="B299" s="166" t="s">
        <v>544</v>
      </c>
      <c r="C299" s="167">
        <v>17.035</v>
      </c>
      <c r="D299" s="167">
        <v>18.809999999999999</v>
      </c>
      <c r="F299" s="132" t="s">
        <v>535</v>
      </c>
      <c r="G299" s="80"/>
      <c r="H299" s="80"/>
      <c r="I299" s="80"/>
      <c r="J299" s="167"/>
      <c r="K299" s="167"/>
    </row>
    <row r="300" spans="1:11" x14ac:dyDescent="0.2">
      <c r="A300" s="112">
        <f t="shared" si="4"/>
        <v>299</v>
      </c>
      <c r="B300" s="166" t="s">
        <v>545</v>
      </c>
      <c r="C300" s="167">
        <v>10.755000000000001</v>
      </c>
      <c r="D300" s="167">
        <v>12.53</v>
      </c>
      <c r="F300" s="132" t="s">
        <v>535</v>
      </c>
      <c r="G300" s="80"/>
      <c r="H300" s="80"/>
      <c r="I300" s="80"/>
      <c r="J300" s="167"/>
      <c r="K300" s="167"/>
    </row>
    <row r="301" spans="1:11" x14ac:dyDescent="0.2">
      <c r="A301" s="112">
        <f t="shared" si="4"/>
        <v>300</v>
      </c>
      <c r="B301" s="166" t="s">
        <v>736</v>
      </c>
      <c r="C301" s="167">
        <v>9.8373255593174331</v>
      </c>
      <c r="D301" s="167">
        <v>10.381444271391144</v>
      </c>
      <c r="F301" s="132" t="s">
        <v>735</v>
      </c>
      <c r="G301" s="80"/>
      <c r="H301" s="80"/>
      <c r="I301" s="80"/>
      <c r="J301" s="167">
        <v>34.765876509732927</v>
      </c>
      <c r="K301" s="167">
        <v>37.16097851900566</v>
      </c>
    </row>
    <row r="302" spans="1:11" x14ac:dyDescent="0.2">
      <c r="A302" s="112">
        <f t="shared" si="4"/>
        <v>301</v>
      </c>
      <c r="B302" s="12" t="s">
        <v>602</v>
      </c>
      <c r="C302" s="8">
        <v>1.1835066128121849</v>
      </c>
      <c r="D302" s="8">
        <v>1.2659544779012279</v>
      </c>
      <c r="F302" s="131" t="s">
        <v>543</v>
      </c>
      <c r="G302" s="66"/>
      <c r="H302" s="66"/>
      <c r="I302" s="66"/>
      <c r="J302" s="8">
        <v>1.1876467890506246</v>
      </c>
      <c r="K302" s="8">
        <v>1.2049880326404649</v>
      </c>
    </row>
    <row r="303" spans="1:11" x14ac:dyDescent="0.2">
      <c r="A303" s="112">
        <f t="shared" si="4"/>
        <v>302</v>
      </c>
      <c r="B303" s="12" t="s">
        <v>603</v>
      </c>
      <c r="C303" s="8">
        <v>1.189702018561863</v>
      </c>
      <c r="D303" s="8">
        <v>1.2721631306236523</v>
      </c>
      <c r="F303" s="131" t="s">
        <v>543</v>
      </c>
      <c r="G303" s="66"/>
      <c r="H303" s="66"/>
      <c r="I303" s="66"/>
      <c r="J303" s="8">
        <v>1.1937871966570337</v>
      </c>
      <c r="K303" s="8">
        <v>1.2111330471615158</v>
      </c>
    </row>
    <row r="304" spans="1:11" x14ac:dyDescent="0.2">
      <c r="A304" s="112">
        <f t="shared" si="4"/>
        <v>303</v>
      </c>
      <c r="B304" s="7" t="s">
        <v>431</v>
      </c>
      <c r="C304" s="8">
        <v>1.1353906594941505</v>
      </c>
      <c r="D304" s="8">
        <v>1.1531533726285164</v>
      </c>
      <c r="F304" s="131" t="s">
        <v>543</v>
      </c>
      <c r="G304" s="66"/>
      <c r="H304" s="66"/>
      <c r="I304" s="66"/>
      <c r="J304" s="8">
        <v>1.8528103993715979</v>
      </c>
      <c r="K304" s="8">
        <v>1.9344496109801721</v>
      </c>
    </row>
    <row r="305" spans="1:15" x14ac:dyDescent="0.2">
      <c r="A305" s="112">
        <f t="shared" si="4"/>
        <v>304</v>
      </c>
      <c r="B305" s="7" t="s">
        <v>432</v>
      </c>
      <c r="C305" s="8">
        <v>1.1452991815237896</v>
      </c>
      <c r="D305" s="8">
        <v>1.1630623204536474</v>
      </c>
      <c r="F305" s="131" t="s">
        <v>543</v>
      </c>
      <c r="G305" s="66"/>
      <c r="H305" s="66"/>
      <c r="I305" s="66"/>
      <c r="J305" s="8">
        <v>1.8624725497316839</v>
      </c>
      <c r="K305" s="8">
        <v>1.9441334877101006</v>
      </c>
    </row>
    <row r="306" spans="1:15" x14ac:dyDescent="0.2">
      <c r="A306" s="112">
        <f t="shared" si="4"/>
        <v>305</v>
      </c>
      <c r="B306" s="7" t="s">
        <v>429</v>
      </c>
      <c r="C306" s="8">
        <v>1.3681747188689022</v>
      </c>
      <c r="D306" s="8">
        <v>1.4509217079693859</v>
      </c>
      <c r="F306" s="131" t="s">
        <v>543</v>
      </c>
      <c r="G306" s="66"/>
      <c r="H306" s="66"/>
      <c r="I306" s="66"/>
      <c r="J306" s="8">
        <v>1.3621289368876464</v>
      </c>
      <c r="K306" s="8">
        <v>1.3795840427600015</v>
      </c>
    </row>
    <row r="307" spans="1:15" x14ac:dyDescent="0.2">
      <c r="A307" s="112">
        <f t="shared" si="4"/>
        <v>306</v>
      </c>
      <c r="B307" s="7" t="s">
        <v>430</v>
      </c>
      <c r="C307" s="8">
        <v>1.376012049754507</v>
      </c>
      <c r="D307" s="8">
        <v>1.458770228952593</v>
      </c>
      <c r="F307" s="131" t="s">
        <v>543</v>
      </c>
      <c r="G307" s="66"/>
      <c r="H307" s="66"/>
      <c r="I307" s="66"/>
      <c r="J307" s="8">
        <v>1.369917499208865</v>
      </c>
      <c r="K307" s="8">
        <v>1.3873763876135523</v>
      </c>
    </row>
    <row r="308" spans="1:15" x14ac:dyDescent="0.2">
      <c r="A308" s="112">
        <f t="shared" si="4"/>
        <v>307</v>
      </c>
      <c r="B308" s="7" t="s">
        <v>786</v>
      </c>
      <c r="C308" s="8">
        <v>1.36</v>
      </c>
      <c r="D308" s="8">
        <v>1.47</v>
      </c>
      <c r="F308" s="131"/>
      <c r="G308" s="66"/>
      <c r="J308" s="8"/>
      <c r="K308" s="8"/>
    </row>
    <row r="309" spans="1:15" x14ac:dyDescent="0.2">
      <c r="A309" s="112">
        <f t="shared" si="4"/>
        <v>308</v>
      </c>
      <c r="B309" s="12" t="s">
        <v>287</v>
      </c>
      <c r="C309" s="8">
        <v>1.103</v>
      </c>
      <c r="D309" s="8">
        <v>1.1200000000000001</v>
      </c>
      <c r="F309" s="131" t="s">
        <v>543</v>
      </c>
      <c r="G309" s="66"/>
      <c r="H309" s="66"/>
      <c r="I309" s="66"/>
      <c r="J309" s="8">
        <v>1.2045047819187227</v>
      </c>
      <c r="K309" s="8">
        <v>1.2864029279420466</v>
      </c>
    </row>
    <row r="310" spans="1:15" x14ac:dyDescent="0.2">
      <c r="A310" s="112">
        <f t="shared" si="4"/>
        <v>309</v>
      </c>
      <c r="B310" s="7" t="s">
        <v>433</v>
      </c>
      <c r="C310" s="8">
        <v>0.8626758653963349</v>
      </c>
      <c r="D310" s="8">
        <v>0.8803740632885747</v>
      </c>
      <c r="F310" s="131" t="s">
        <v>543</v>
      </c>
      <c r="G310" s="66"/>
      <c r="H310" s="66"/>
      <c r="I310" s="66"/>
      <c r="J310" s="8"/>
      <c r="K310" s="8"/>
    </row>
    <row r="311" spans="1:15" x14ac:dyDescent="0.2">
      <c r="A311" s="112">
        <f t="shared" si="4"/>
        <v>310</v>
      </c>
      <c r="B311" s="12" t="s">
        <v>288</v>
      </c>
      <c r="C311" s="14">
        <v>0.81099525330084354</v>
      </c>
      <c r="D311" s="14">
        <v>0.82875569758901779</v>
      </c>
      <c r="F311" s="131" t="s">
        <v>543</v>
      </c>
      <c r="G311" s="66"/>
      <c r="H311" s="66"/>
      <c r="I311" s="66"/>
      <c r="J311" s="14"/>
      <c r="K311" s="14"/>
    </row>
    <row r="312" spans="1:15" x14ac:dyDescent="0.2">
      <c r="A312" s="112">
        <f t="shared" si="4"/>
        <v>311</v>
      </c>
      <c r="B312" s="12" t="s">
        <v>289</v>
      </c>
      <c r="C312" s="14">
        <v>0.78520687591010008</v>
      </c>
      <c r="D312" s="14">
        <v>0.80296552601606708</v>
      </c>
      <c r="F312" s="131" t="s">
        <v>543</v>
      </c>
      <c r="G312" s="66"/>
      <c r="H312" s="66"/>
      <c r="I312" s="66"/>
      <c r="J312" s="14"/>
      <c r="K312" s="14"/>
    </row>
    <row r="313" spans="1:15" x14ac:dyDescent="0.2">
      <c r="A313" s="112">
        <f t="shared" si="4"/>
        <v>312</v>
      </c>
      <c r="B313" s="7" t="s">
        <v>737</v>
      </c>
      <c r="C313" s="8">
        <v>0.68467159247785381</v>
      </c>
      <c r="D313" s="8">
        <v>0.70236250700805514</v>
      </c>
      <c r="F313" s="131" t="s">
        <v>543</v>
      </c>
      <c r="G313" s="66"/>
      <c r="H313" s="66"/>
      <c r="I313" s="66"/>
      <c r="J313" s="8">
        <v>1.4784524180117109</v>
      </c>
      <c r="K313" s="8">
        <v>1.5581481809129307</v>
      </c>
    </row>
    <row r="314" spans="1:15" x14ac:dyDescent="0.2">
      <c r="A314" s="112">
        <f t="shared" si="4"/>
        <v>313</v>
      </c>
      <c r="B314" s="7" t="s">
        <v>738</v>
      </c>
      <c r="C314" s="8">
        <v>0.68269819089258643</v>
      </c>
      <c r="D314" s="8">
        <v>0.70038855114007281</v>
      </c>
      <c r="F314" s="131"/>
      <c r="G314" s="66"/>
      <c r="H314" s="66"/>
      <c r="I314" s="66"/>
      <c r="J314" s="8">
        <v>1.4765695236852634</v>
      </c>
      <c r="K314" s="8">
        <v>1.5562549084284762</v>
      </c>
    </row>
    <row r="315" spans="1:15" x14ac:dyDescent="0.2">
      <c r="A315" s="112">
        <f t="shared" si="4"/>
        <v>314</v>
      </c>
      <c r="B315" s="7" t="s">
        <v>273</v>
      </c>
      <c r="C315" s="8">
        <v>1.2971264773482498</v>
      </c>
      <c r="D315" s="8">
        <v>1.3147383021121883</v>
      </c>
      <c r="F315" s="131" t="s">
        <v>543</v>
      </c>
      <c r="G315" s="66"/>
      <c r="H315" s="66"/>
      <c r="I315" s="66"/>
      <c r="J315" s="8">
        <v>1.6948496284059573</v>
      </c>
      <c r="K315" s="8">
        <v>1.7767834067197419</v>
      </c>
    </row>
    <row r="316" spans="1:15" x14ac:dyDescent="0.2">
      <c r="A316" s="112">
        <f t="shared" si="4"/>
        <v>315</v>
      </c>
      <c r="B316" s="12" t="s">
        <v>260</v>
      </c>
      <c r="C316" s="8">
        <v>1.1903185416427495</v>
      </c>
      <c r="D316" s="8">
        <v>1.2740275968550769</v>
      </c>
      <c r="F316" s="131" t="s">
        <v>610</v>
      </c>
      <c r="G316" s="66"/>
      <c r="H316" s="66"/>
      <c r="I316" s="66"/>
      <c r="J316" s="8"/>
      <c r="K316" s="8"/>
    </row>
    <row r="317" spans="1:15" x14ac:dyDescent="0.2">
      <c r="A317" s="112">
        <f t="shared" si="4"/>
        <v>316</v>
      </c>
      <c r="B317" s="12" t="s">
        <v>261</v>
      </c>
      <c r="C317" s="8">
        <v>1.1536270497827972</v>
      </c>
      <c r="D317" s="8">
        <v>1.2373332994304163</v>
      </c>
      <c r="F317" s="131" t="s">
        <v>543</v>
      </c>
      <c r="G317" s="66"/>
      <c r="H317" s="66"/>
      <c r="I317" s="66"/>
      <c r="J317" s="8"/>
      <c r="K317" s="8"/>
    </row>
    <row r="318" spans="1:15" x14ac:dyDescent="0.2">
      <c r="A318" s="112">
        <f t="shared" si="4"/>
        <v>317</v>
      </c>
      <c r="B318" s="7" t="s">
        <v>491</v>
      </c>
      <c r="C318" s="8">
        <v>1.3299096431092805</v>
      </c>
      <c r="D318" s="8">
        <v>1.4516199638251928</v>
      </c>
      <c r="F318" s="131" t="s">
        <v>543</v>
      </c>
      <c r="G318" s="66"/>
      <c r="H318" s="66"/>
      <c r="I318" s="66"/>
      <c r="J318" s="8"/>
      <c r="K318" s="8"/>
      <c r="L318" s="37"/>
      <c r="M318" s="37"/>
      <c r="N318" s="24"/>
      <c r="O318" s="24"/>
    </row>
    <row r="319" spans="1:15" x14ac:dyDescent="0.2">
      <c r="A319" s="112">
        <f t="shared" si="4"/>
        <v>318</v>
      </c>
      <c r="B319" s="7" t="s">
        <v>492</v>
      </c>
      <c r="C319" s="8">
        <v>1.3290335983117838</v>
      </c>
      <c r="D319" s="8">
        <v>1.4507983555829416</v>
      </c>
      <c r="F319" s="131" t="s">
        <v>543</v>
      </c>
      <c r="G319" s="66"/>
      <c r="H319" s="66"/>
      <c r="I319" s="66"/>
      <c r="J319" s="8"/>
      <c r="K319" s="8"/>
      <c r="L319" s="37"/>
      <c r="M319" s="37"/>
      <c r="N319" s="24"/>
      <c r="O319" s="24"/>
    </row>
    <row r="320" spans="1:15" x14ac:dyDescent="0.2">
      <c r="A320" s="112">
        <f t="shared" si="4"/>
        <v>319</v>
      </c>
      <c r="B320" s="175" t="s">
        <v>692</v>
      </c>
      <c r="C320" s="169">
        <v>0.47499999999999998</v>
      </c>
      <c r="D320" s="169">
        <v>0.55000000000000004</v>
      </c>
      <c r="F320" s="132" t="s">
        <v>535</v>
      </c>
      <c r="G320" s="80"/>
      <c r="H320" s="80"/>
      <c r="I320" s="80"/>
      <c r="J320" s="169"/>
      <c r="K320" s="169"/>
    </row>
    <row r="321" spans="1:11" x14ac:dyDescent="0.2">
      <c r="A321" s="112">
        <f t="shared" si="4"/>
        <v>320</v>
      </c>
      <c r="B321" s="38" t="s">
        <v>693</v>
      </c>
      <c r="C321" s="35">
        <v>0.48520289858985793</v>
      </c>
      <c r="D321" s="35">
        <v>0.56018644467712719</v>
      </c>
      <c r="F321" s="131" t="s">
        <v>543</v>
      </c>
      <c r="G321" s="66"/>
      <c r="H321" s="66"/>
      <c r="I321" s="66"/>
      <c r="J321" s="35"/>
      <c r="K321" s="35"/>
    </row>
    <row r="322" spans="1:11" x14ac:dyDescent="0.2">
      <c r="A322" s="112">
        <f t="shared" ref="A322:A390" si="5">A321+1</f>
        <v>321</v>
      </c>
      <c r="B322" s="38" t="s">
        <v>656</v>
      </c>
      <c r="C322" s="35">
        <v>0.85907506325885974</v>
      </c>
      <c r="D322" s="35">
        <v>0.87680269742184935</v>
      </c>
      <c r="F322" s="131" t="s">
        <v>543</v>
      </c>
      <c r="G322" s="66"/>
      <c r="H322" s="66"/>
      <c r="I322" s="66"/>
      <c r="J322" s="35"/>
      <c r="K322" s="35"/>
    </row>
    <row r="323" spans="1:11" x14ac:dyDescent="0.2">
      <c r="A323" s="112">
        <f t="shared" si="5"/>
        <v>322</v>
      </c>
      <c r="B323" s="38" t="s">
        <v>657</v>
      </c>
      <c r="C323" s="35">
        <v>0.83333681389103753</v>
      </c>
      <c r="D323" s="35">
        <v>0.85106061896181773</v>
      </c>
      <c r="F323" s="131" t="s">
        <v>543</v>
      </c>
      <c r="G323" s="66"/>
      <c r="H323" s="66"/>
      <c r="I323" s="66"/>
      <c r="J323" s="35"/>
      <c r="K323" s="35"/>
    </row>
    <row r="324" spans="1:11" x14ac:dyDescent="0.2">
      <c r="A324" s="112">
        <f t="shared" si="5"/>
        <v>323</v>
      </c>
      <c r="B324" s="38" t="s">
        <v>694</v>
      </c>
      <c r="C324" s="35">
        <v>1.1910212103354063</v>
      </c>
      <c r="D324" s="35">
        <v>1.2734642457679528</v>
      </c>
      <c r="F324" s="131" t="s">
        <v>543</v>
      </c>
      <c r="G324" s="66"/>
      <c r="H324" s="66"/>
      <c r="I324" s="66"/>
      <c r="J324" s="35">
        <v>1.1964606420774748</v>
      </c>
      <c r="K324" s="35">
        <v>1.2137993416760531</v>
      </c>
    </row>
    <row r="325" spans="1:11" x14ac:dyDescent="0.2">
      <c r="A325" s="112">
        <f t="shared" si="5"/>
        <v>324</v>
      </c>
      <c r="B325" s="38" t="s">
        <v>695</v>
      </c>
      <c r="C325" s="35">
        <v>1.1972162300546929</v>
      </c>
      <c r="D325" s="35">
        <v>1.2796725599940992</v>
      </c>
      <c r="F325" s="131" t="s">
        <v>543</v>
      </c>
      <c r="G325" s="66"/>
      <c r="H325" s="66"/>
      <c r="I325" s="66"/>
      <c r="J325" s="35">
        <v>1.2026001419591141</v>
      </c>
      <c r="K325" s="35">
        <v>1.2199434690651225</v>
      </c>
    </row>
    <row r="326" spans="1:11" x14ac:dyDescent="0.2">
      <c r="A326" s="112">
        <f t="shared" si="5"/>
        <v>325</v>
      </c>
      <c r="B326" s="38" t="s">
        <v>696</v>
      </c>
      <c r="C326" s="35">
        <v>1.9615775232016668</v>
      </c>
      <c r="D326" s="35">
        <v>1.9783911690786493</v>
      </c>
      <c r="F326" s="131" t="s">
        <v>543</v>
      </c>
      <c r="G326" s="66"/>
      <c r="H326" s="66"/>
      <c r="I326" s="66"/>
      <c r="J326" s="35"/>
      <c r="K326" s="35"/>
    </row>
    <row r="327" spans="1:11" x14ac:dyDescent="0.2">
      <c r="A327" s="112">
        <f t="shared" si="5"/>
        <v>326</v>
      </c>
      <c r="B327" s="175" t="s">
        <v>697</v>
      </c>
      <c r="C327" s="169">
        <v>0.36734422548884577</v>
      </c>
      <c r="D327" s="169">
        <v>0.38823366675238247</v>
      </c>
      <c r="E327" s="203"/>
      <c r="F327" s="131" t="s">
        <v>844</v>
      </c>
      <c r="G327" s="66"/>
      <c r="H327" s="66"/>
      <c r="I327" s="66"/>
      <c r="J327" s="169"/>
      <c r="K327" s="169"/>
    </row>
    <row r="328" spans="1:11" ht="15" x14ac:dyDescent="0.2">
      <c r="A328" s="112">
        <f t="shared" si="5"/>
        <v>327</v>
      </c>
      <c r="B328" s="50" t="s">
        <v>619</v>
      </c>
      <c r="C328" s="65"/>
      <c r="D328" s="65"/>
      <c r="F328" s="19"/>
      <c r="J328" s="65"/>
      <c r="K328" s="65"/>
    </row>
    <row r="329" spans="1:11" ht="26.25" customHeight="1" x14ac:dyDescent="0.2">
      <c r="A329" s="112">
        <f t="shared" si="5"/>
        <v>328</v>
      </c>
      <c r="B329" s="60" t="s">
        <v>461</v>
      </c>
      <c r="C329" s="3">
        <v>0.94</v>
      </c>
      <c r="D329" s="109">
        <v>1.04</v>
      </c>
      <c r="F329" s="19"/>
      <c r="J329" s="109"/>
      <c r="K329" s="109"/>
    </row>
    <row r="330" spans="1:11" x14ac:dyDescent="0.2">
      <c r="A330" s="112">
        <f t="shared" si="5"/>
        <v>329</v>
      </c>
      <c r="B330" s="15" t="s">
        <v>521</v>
      </c>
      <c r="C330" s="16">
        <v>0.39400000000000002</v>
      </c>
      <c r="D330" s="16">
        <v>0.39400000000000002</v>
      </c>
      <c r="E330" s="217"/>
      <c r="F330" s="19"/>
      <c r="J330" s="16"/>
      <c r="K330" s="16"/>
    </row>
    <row r="331" spans="1:11" x14ac:dyDescent="0.2">
      <c r="A331" s="112">
        <f t="shared" si="5"/>
        <v>330</v>
      </c>
      <c r="B331" s="15" t="s">
        <v>621</v>
      </c>
      <c r="C331" s="16">
        <v>0.26200000000000001</v>
      </c>
      <c r="D331" s="16">
        <v>0.26200000000000001</v>
      </c>
      <c r="E331" s="217"/>
      <c r="F331" s="19"/>
      <c r="J331" s="16"/>
      <c r="K331" s="16"/>
    </row>
    <row r="332" spans="1:11" x14ac:dyDescent="0.2">
      <c r="A332" s="112">
        <f t="shared" si="5"/>
        <v>331</v>
      </c>
      <c r="B332" s="185" t="s">
        <v>784</v>
      </c>
      <c r="C332" s="16">
        <v>0.92442335157409161</v>
      </c>
      <c r="D332" s="16">
        <v>0.96583231738909492</v>
      </c>
      <c r="E332" s="217"/>
      <c r="F332" s="104" t="s">
        <v>781</v>
      </c>
      <c r="J332" s="16"/>
      <c r="K332" s="16"/>
    </row>
    <row r="333" spans="1:11" x14ac:dyDescent="0.2">
      <c r="A333" s="112"/>
      <c r="B333" s="185" t="s">
        <v>905</v>
      </c>
      <c r="C333" s="16">
        <v>0.93400000000000005</v>
      </c>
      <c r="D333" s="16">
        <v>0.97899999999999998</v>
      </c>
      <c r="E333" s="217"/>
      <c r="F333" s="104"/>
      <c r="J333" s="16"/>
      <c r="K333" s="16"/>
    </row>
    <row r="334" spans="1:11" x14ac:dyDescent="0.2">
      <c r="A334" s="112"/>
      <c r="B334" s="185" t="s">
        <v>906</v>
      </c>
      <c r="C334" s="16">
        <v>0.93200000000000005</v>
      </c>
      <c r="D334" s="16">
        <v>0.97599999999999998</v>
      </c>
      <c r="E334" s="217"/>
      <c r="F334" s="104"/>
      <c r="J334" s="16"/>
      <c r="K334" s="16"/>
    </row>
    <row r="335" spans="1:11" x14ac:dyDescent="0.2">
      <c r="A335" s="112">
        <f>A332+1</f>
        <v>332</v>
      </c>
      <c r="B335" s="15" t="s">
        <v>622</v>
      </c>
      <c r="C335" s="16">
        <v>0.34699999999999998</v>
      </c>
      <c r="D335" s="16">
        <v>0.50900000000000001</v>
      </c>
      <c r="F335" s="104" t="s">
        <v>375</v>
      </c>
      <c r="J335" s="16"/>
      <c r="K335" s="16"/>
    </row>
    <row r="336" spans="1:11" x14ac:dyDescent="0.2">
      <c r="A336" s="112">
        <f t="shared" si="5"/>
        <v>333</v>
      </c>
      <c r="B336" s="185" t="s">
        <v>909</v>
      </c>
      <c r="C336" s="16">
        <v>0.99482596819291602</v>
      </c>
      <c r="D336" s="16">
        <v>1.0389999999999999</v>
      </c>
      <c r="F336" s="104" t="s">
        <v>781</v>
      </c>
      <c r="J336" s="16"/>
      <c r="K336" s="16"/>
    </row>
    <row r="337" spans="1:16" x14ac:dyDescent="0.2">
      <c r="A337" s="112"/>
      <c r="B337" s="185" t="s">
        <v>910</v>
      </c>
      <c r="C337" s="16">
        <v>0.99199999999999999</v>
      </c>
      <c r="D337" s="16">
        <v>1.036</v>
      </c>
      <c r="F337" s="104"/>
      <c r="J337" s="16"/>
      <c r="K337" s="16"/>
    </row>
    <row r="338" spans="1:16" x14ac:dyDescent="0.2">
      <c r="A338" s="112">
        <f>A336+1</f>
        <v>334</v>
      </c>
      <c r="B338" s="15" t="s">
        <v>623</v>
      </c>
      <c r="C338" s="16">
        <v>0.37366171961667044</v>
      </c>
      <c r="D338" s="16">
        <v>0.49933702193415952</v>
      </c>
      <c r="F338" s="104" t="s">
        <v>609</v>
      </c>
      <c r="J338" s="16">
        <v>0.69727435722389786</v>
      </c>
      <c r="K338" s="16">
        <v>0.69727435722389786</v>
      </c>
      <c r="L338" t="s">
        <v>528</v>
      </c>
    </row>
    <row r="339" spans="1:16" x14ac:dyDescent="0.2">
      <c r="A339" s="112"/>
      <c r="B339" s="236" t="s">
        <v>907</v>
      </c>
      <c r="C339" s="16">
        <v>1.014</v>
      </c>
      <c r="D339" s="16">
        <v>1.0580000000000001</v>
      </c>
      <c r="F339" s="237" t="s">
        <v>911</v>
      </c>
      <c r="J339" s="16"/>
      <c r="K339" s="16"/>
    </row>
    <row r="340" spans="1:16" x14ac:dyDescent="0.2">
      <c r="A340" s="112"/>
      <c r="B340" s="236" t="s">
        <v>908</v>
      </c>
      <c r="C340" s="16">
        <v>1.012</v>
      </c>
      <c r="D340" s="16">
        <v>1.056</v>
      </c>
      <c r="F340" s="104"/>
      <c r="J340" s="16"/>
      <c r="K340" s="16"/>
    </row>
    <row r="341" spans="1:16" x14ac:dyDescent="0.2">
      <c r="A341" s="112">
        <f>A338+1</f>
        <v>335</v>
      </c>
      <c r="B341" s="15" t="s">
        <v>624</v>
      </c>
      <c r="C341" s="16">
        <v>0.26200000000000001</v>
      </c>
      <c r="D341" s="16">
        <v>0.26200000000000001</v>
      </c>
      <c r="F341" s="19"/>
      <c r="J341" s="16">
        <v>0.65878864520421121</v>
      </c>
      <c r="K341" s="16">
        <v>0.81545539366049924</v>
      </c>
      <c r="L341" t="s">
        <v>546</v>
      </c>
    </row>
    <row r="342" spans="1:16" x14ac:dyDescent="0.2">
      <c r="A342" s="112">
        <f t="shared" si="5"/>
        <v>336</v>
      </c>
      <c r="B342" s="185" t="s">
        <v>782</v>
      </c>
      <c r="C342" s="16">
        <v>0.94571338182750775</v>
      </c>
      <c r="D342" s="16">
        <v>0.98712192568885782</v>
      </c>
      <c r="F342" s="104" t="s">
        <v>781</v>
      </c>
      <c r="J342" s="16">
        <v>0.65878864520421121</v>
      </c>
      <c r="K342" s="16">
        <v>0.81545539366049924</v>
      </c>
      <c r="L342" s="235" t="s">
        <v>546</v>
      </c>
      <c r="M342" s="235"/>
      <c r="N342" s="235"/>
      <c r="O342" s="235"/>
      <c r="P342" s="235"/>
    </row>
    <row r="343" spans="1:16" x14ac:dyDescent="0.2">
      <c r="A343" s="112">
        <f t="shared" si="5"/>
        <v>337</v>
      </c>
      <c r="B343" s="15" t="s">
        <v>766</v>
      </c>
      <c r="C343" s="16">
        <v>1.206084829663546</v>
      </c>
      <c r="D343" s="16">
        <v>1.3509216690541863</v>
      </c>
      <c r="F343" s="104" t="s">
        <v>739</v>
      </c>
      <c r="J343" s="16"/>
      <c r="K343" s="16"/>
    </row>
    <row r="344" spans="1:16" x14ac:dyDescent="0.2">
      <c r="A344" s="112">
        <f t="shared" si="5"/>
        <v>338</v>
      </c>
      <c r="B344" s="15" t="s">
        <v>764</v>
      </c>
      <c r="C344" s="16">
        <v>1.0275082323141271</v>
      </c>
      <c r="D344" s="16">
        <v>1.073080782499148</v>
      </c>
      <c r="F344" s="104"/>
      <c r="J344" s="16"/>
      <c r="K344" s="16"/>
    </row>
    <row r="345" spans="1:16" x14ac:dyDescent="0.2">
      <c r="A345" s="112">
        <f t="shared" si="5"/>
        <v>339</v>
      </c>
      <c r="B345" s="15" t="s">
        <v>765</v>
      </c>
      <c r="C345" s="16">
        <v>1.0248279363928152</v>
      </c>
      <c r="D345" s="16">
        <v>1.0703924558883544</v>
      </c>
      <c r="F345" s="104"/>
      <c r="J345" s="16"/>
      <c r="K345" s="16"/>
    </row>
    <row r="346" spans="1:16" x14ac:dyDescent="0.2">
      <c r="A346" s="112">
        <f t="shared" si="5"/>
        <v>340</v>
      </c>
      <c r="B346" s="15" t="s">
        <v>769</v>
      </c>
      <c r="C346" s="16">
        <v>0.86</v>
      </c>
      <c r="D346" s="16">
        <v>1.0592984627419162</v>
      </c>
      <c r="F346" s="104"/>
      <c r="J346" s="16"/>
      <c r="K346" s="16"/>
    </row>
    <row r="347" spans="1:16" x14ac:dyDescent="0.2">
      <c r="A347" s="112">
        <f t="shared" si="5"/>
        <v>341</v>
      </c>
      <c r="B347" s="15" t="s">
        <v>767</v>
      </c>
      <c r="C347" s="16">
        <v>1.0151002201683255</v>
      </c>
      <c r="D347" s="16">
        <v>1.0592984627419162</v>
      </c>
      <c r="F347" s="104"/>
      <c r="J347" s="16"/>
      <c r="K347" s="16"/>
    </row>
    <row r="348" spans="1:16" x14ac:dyDescent="0.2">
      <c r="A348" s="112">
        <f t="shared" si="5"/>
        <v>342</v>
      </c>
      <c r="B348" s="15" t="s">
        <v>768</v>
      </c>
      <c r="C348" s="16">
        <v>1.0138755496363536</v>
      </c>
      <c r="D348" s="16">
        <v>1.0580647287404643</v>
      </c>
      <c r="F348" s="104"/>
      <c r="J348" s="16"/>
      <c r="K348" s="16"/>
    </row>
    <row r="349" spans="1:16" ht="15" x14ac:dyDescent="0.2">
      <c r="A349" s="112">
        <f t="shared" si="5"/>
        <v>343</v>
      </c>
      <c r="B349" s="50" t="s">
        <v>620</v>
      </c>
      <c r="C349" s="86"/>
      <c r="D349" s="86"/>
      <c r="F349" s="19"/>
      <c r="J349" s="86"/>
      <c r="K349" s="86"/>
    </row>
    <row r="350" spans="1:16" x14ac:dyDescent="0.2">
      <c r="A350" s="112">
        <f t="shared" si="5"/>
        <v>344</v>
      </c>
      <c r="B350" s="166" t="s">
        <v>824</v>
      </c>
      <c r="C350" s="167">
        <v>6.8750726564632316</v>
      </c>
      <c r="D350" s="167">
        <v>8.328723853804318</v>
      </c>
      <c r="F350" s="132"/>
      <c r="G350" s="80"/>
      <c r="H350" s="80"/>
      <c r="I350" s="80"/>
      <c r="J350" s="167"/>
      <c r="K350" s="167"/>
    </row>
    <row r="351" spans="1:16" x14ac:dyDescent="0.2">
      <c r="A351" s="112">
        <f t="shared" si="5"/>
        <v>345</v>
      </c>
      <c r="B351" s="166" t="s">
        <v>825</v>
      </c>
      <c r="C351" s="167">
        <v>6.8492692662713619</v>
      </c>
      <c r="D351" s="167">
        <v>8.3027771407944595</v>
      </c>
      <c r="F351" s="132"/>
      <c r="G351" s="80"/>
      <c r="H351" s="80"/>
      <c r="I351" s="80"/>
      <c r="J351" s="167"/>
      <c r="K351" s="167"/>
    </row>
    <row r="352" spans="1:16" x14ac:dyDescent="0.2">
      <c r="A352" s="112">
        <f t="shared" si="5"/>
        <v>346</v>
      </c>
      <c r="B352" s="15" t="s">
        <v>625</v>
      </c>
      <c r="C352" s="16">
        <v>0.28499999999999998</v>
      </c>
      <c r="D352" s="16">
        <v>0.47699999999999998</v>
      </c>
      <c r="F352" s="104" t="s">
        <v>557</v>
      </c>
      <c r="J352" s="16"/>
      <c r="K352" s="16"/>
    </row>
    <row r="353" spans="1:11" x14ac:dyDescent="0.2">
      <c r="A353" s="112">
        <f t="shared" si="5"/>
        <v>347</v>
      </c>
      <c r="B353" s="15" t="s">
        <v>626</v>
      </c>
      <c r="C353" s="16">
        <v>0.27500000000000002</v>
      </c>
      <c r="D353" s="16">
        <v>0.318</v>
      </c>
      <c r="F353" s="134" t="s">
        <v>558</v>
      </c>
      <c r="G353" s="80"/>
      <c r="H353" s="80"/>
      <c r="I353" s="80"/>
      <c r="J353" s="16"/>
      <c r="K353" s="16"/>
    </row>
    <row r="354" spans="1:11" x14ac:dyDescent="0.2">
      <c r="A354" s="112">
        <f t="shared" si="5"/>
        <v>348</v>
      </c>
      <c r="B354" s="15" t="s">
        <v>756</v>
      </c>
      <c r="C354" s="182">
        <v>0.2794144288759049</v>
      </c>
      <c r="D354" s="182">
        <v>0.32576678646689017</v>
      </c>
      <c r="F354" s="134"/>
      <c r="J354" s="16"/>
      <c r="K354" s="16"/>
    </row>
    <row r="355" spans="1:11" x14ac:dyDescent="0.2">
      <c r="A355" s="112">
        <f t="shared" si="5"/>
        <v>349</v>
      </c>
      <c r="B355" s="15" t="s">
        <v>752</v>
      </c>
      <c r="C355" s="16">
        <v>0.31470899065644758</v>
      </c>
      <c r="D355" s="16">
        <v>0.36147125584201029</v>
      </c>
      <c r="F355" s="134" t="s">
        <v>755</v>
      </c>
      <c r="J355" s="16"/>
      <c r="K355" s="16"/>
    </row>
    <row r="356" spans="1:11" x14ac:dyDescent="0.2">
      <c r="A356" s="112">
        <f t="shared" si="5"/>
        <v>350</v>
      </c>
      <c r="B356" s="15" t="s">
        <v>753</v>
      </c>
      <c r="C356" s="16">
        <v>0.31217044991478615</v>
      </c>
      <c r="D356" s="16">
        <v>0.35896095860134986</v>
      </c>
      <c r="F356" s="134" t="s">
        <v>755</v>
      </c>
      <c r="G356" s="80"/>
      <c r="H356" s="80"/>
      <c r="I356" s="80"/>
      <c r="J356" s="16"/>
      <c r="K356" s="16"/>
    </row>
    <row r="357" spans="1:11" x14ac:dyDescent="0.2">
      <c r="A357" s="112">
        <f t="shared" si="5"/>
        <v>351</v>
      </c>
      <c r="B357" s="15" t="s">
        <v>776</v>
      </c>
      <c r="C357" s="16">
        <v>0.83995408998268473</v>
      </c>
      <c r="D357" s="16">
        <v>0.88232452750365564</v>
      </c>
      <c r="F357" s="134" t="s">
        <v>777</v>
      </c>
      <c r="G357" s="80"/>
      <c r="H357" s="80"/>
      <c r="I357" s="80"/>
      <c r="J357" s="16"/>
      <c r="K357" s="16"/>
    </row>
    <row r="358" spans="1:11" x14ac:dyDescent="0.2">
      <c r="A358" s="112">
        <f t="shared" si="5"/>
        <v>352</v>
      </c>
      <c r="B358" s="15" t="s">
        <v>762</v>
      </c>
      <c r="C358" s="16">
        <v>0.67317554622284947</v>
      </c>
      <c r="D358" s="16">
        <v>0.71917834426156535</v>
      </c>
      <c r="F358" s="104" t="s">
        <v>783</v>
      </c>
      <c r="J358" s="16"/>
      <c r="K358" s="16"/>
    </row>
    <row r="359" spans="1:11" x14ac:dyDescent="0.2">
      <c r="A359" s="112">
        <f t="shared" si="5"/>
        <v>353</v>
      </c>
      <c r="B359" s="15" t="s">
        <v>763</v>
      </c>
      <c r="C359" s="16">
        <v>0.67423609536388318</v>
      </c>
      <c r="D359" s="16">
        <v>0.72023602376258711</v>
      </c>
      <c r="F359" s="104" t="s">
        <v>783</v>
      </c>
      <c r="J359" s="16"/>
      <c r="K359" s="16"/>
    </row>
    <row r="360" spans="1:11" x14ac:dyDescent="0.2">
      <c r="A360" s="112">
        <f t="shared" si="5"/>
        <v>354</v>
      </c>
      <c r="B360" s="15" t="s">
        <v>758</v>
      </c>
      <c r="C360" s="16">
        <v>0.82456710924644228</v>
      </c>
      <c r="D360" s="16">
        <v>0.86948597476704392</v>
      </c>
      <c r="F360" s="104" t="s">
        <v>783</v>
      </c>
      <c r="J360" s="16"/>
      <c r="K360" s="16"/>
    </row>
    <row r="361" spans="1:11" x14ac:dyDescent="0.2">
      <c r="A361" s="112">
        <f t="shared" si="5"/>
        <v>355</v>
      </c>
      <c r="B361" s="15" t="s">
        <v>759</v>
      </c>
      <c r="C361" s="16">
        <v>0.82466202946276845</v>
      </c>
      <c r="D361" s="16">
        <v>0.86957814298674374</v>
      </c>
      <c r="F361" s="104" t="s">
        <v>783</v>
      </c>
      <c r="J361" s="16"/>
      <c r="K361" s="16"/>
    </row>
    <row r="362" spans="1:11" x14ac:dyDescent="0.2">
      <c r="A362" s="112">
        <f t="shared" si="5"/>
        <v>356</v>
      </c>
      <c r="B362" s="15" t="s">
        <v>760</v>
      </c>
      <c r="C362" s="16">
        <v>0.51892453356054002</v>
      </c>
      <c r="D362" s="16">
        <v>0.56513547640322137</v>
      </c>
      <c r="F362" s="104" t="s">
        <v>783</v>
      </c>
      <c r="J362" s="16"/>
      <c r="K362" s="16"/>
    </row>
    <row r="363" spans="1:11" x14ac:dyDescent="0.2">
      <c r="A363" s="112">
        <f t="shared" si="5"/>
        <v>357</v>
      </c>
      <c r="B363" s="15" t="s">
        <v>761</v>
      </c>
      <c r="C363" s="16">
        <v>0.51823806655720883</v>
      </c>
      <c r="D363" s="16">
        <v>0.5644436860770542</v>
      </c>
      <c r="F363" s="104" t="s">
        <v>783</v>
      </c>
      <c r="J363" s="16"/>
      <c r="K363" s="16"/>
    </row>
    <row r="364" spans="1:11" x14ac:dyDescent="0.2">
      <c r="A364" s="112">
        <f t="shared" si="5"/>
        <v>358</v>
      </c>
      <c r="B364" s="15" t="s">
        <v>822</v>
      </c>
      <c r="C364" s="16">
        <v>0.89404881458865992</v>
      </c>
      <c r="D364" s="16">
        <v>0.9403067997518566</v>
      </c>
      <c r="F364" s="104" t="s">
        <v>823</v>
      </c>
      <c r="J364" s="16"/>
      <c r="K364" s="16"/>
    </row>
    <row r="365" spans="1:11" x14ac:dyDescent="0.2">
      <c r="A365" s="112">
        <f t="shared" si="5"/>
        <v>359</v>
      </c>
      <c r="B365" s="88" t="s">
        <v>293</v>
      </c>
      <c r="C365" s="86"/>
      <c r="D365" s="86"/>
      <c r="E365" s="208"/>
      <c r="F365" s="138"/>
      <c r="G365" s="67"/>
      <c r="H365" s="67"/>
      <c r="I365" s="67"/>
      <c r="J365" s="86"/>
      <c r="K365" s="86"/>
    </row>
    <row r="366" spans="1:11" x14ac:dyDescent="0.2">
      <c r="A366" s="112">
        <f t="shared" si="5"/>
        <v>360</v>
      </c>
      <c r="B366" s="84" t="s">
        <v>26</v>
      </c>
      <c r="C366" s="85">
        <v>4.3499999999999996</v>
      </c>
      <c r="D366" s="85">
        <v>4.5</v>
      </c>
      <c r="F366" s="131"/>
      <c r="G366" s="66"/>
      <c r="J366" s="85"/>
      <c r="K366" s="85"/>
    </row>
    <row r="367" spans="1:11" x14ac:dyDescent="0.2">
      <c r="A367" s="112">
        <f t="shared" si="5"/>
        <v>361</v>
      </c>
      <c r="B367" s="10" t="s">
        <v>27</v>
      </c>
      <c r="C367" s="11">
        <v>22.082999999999998</v>
      </c>
      <c r="D367" s="11">
        <v>23.922000000000001</v>
      </c>
      <c r="F367" s="131"/>
      <c r="G367" s="66"/>
      <c r="J367" s="11"/>
      <c r="K367" s="11"/>
    </row>
    <row r="368" spans="1:11" x14ac:dyDescent="0.2">
      <c r="A368" s="112">
        <f t="shared" si="5"/>
        <v>362</v>
      </c>
      <c r="B368" s="10" t="s">
        <v>28</v>
      </c>
      <c r="C368" s="11">
        <v>16.486000000000001</v>
      </c>
      <c r="D368" s="11"/>
      <c r="F368" s="131"/>
      <c r="G368" s="66"/>
      <c r="J368" s="11"/>
      <c r="K368" s="11"/>
    </row>
    <row r="369" spans="1:11" x14ac:dyDescent="0.2">
      <c r="A369" s="112">
        <f t="shared" si="5"/>
        <v>363</v>
      </c>
      <c r="B369" s="10" t="s">
        <v>29</v>
      </c>
      <c r="C369" s="11">
        <v>6.0839999999999996</v>
      </c>
      <c r="D369" s="11">
        <v>6.774</v>
      </c>
      <c r="F369" s="131"/>
      <c r="G369" s="66"/>
      <c r="J369" s="11"/>
      <c r="K369" s="11"/>
    </row>
    <row r="370" spans="1:11" x14ac:dyDescent="0.2">
      <c r="A370" s="112">
        <f t="shared" si="5"/>
        <v>364</v>
      </c>
      <c r="B370" s="10" t="s">
        <v>30</v>
      </c>
      <c r="C370" s="11">
        <v>5.4619999999999997</v>
      </c>
      <c r="D370" s="11">
        <v>7.6710000000000003</v>
      </c>
      <c r="F370" s="131"/>
      <c r="G370" s="66"/>
      <c r="J370" s="11"/>
      <c r="K370" s="11"/>
    </row>
    <row r="371" spans="1:11" s="24" customFormat="1" ht="15" x14ac:dyDescent="0.2">
      <c r="A371" s="112">
        <f t="shared" si="5"/>
        <v>365</v>
      </c>
      <c r="B371" s="50" t="s">
        <v>422</v>
      </c>
      <c r="C371" s="51"/>
      <c r="D371" s="51"/>
      <c r="E371" s="202"/>
      <c r="F371" s="136"/>
      <c r="G371" s="53"/>
      <c r="H371" s="53"/>
      <c r="I371" s="53"/>
      <c r="J371" s="51"/>
      <c r="K371" s="51"/>
    </row>
    <row r="372" spans="1:11" s="24" customFormat="1" x14ac:dyDescent="0.2">
      <c r="A372" s="112">
        <f t="shared" si="5"/>
        <v>366</v>
      </c>
      <c r="B372" s="166" t="s">
        <v>529</v>
      </c>
      <c r="C372" s="174">
        <v>7.16</v>
      </c>
      <c r="D372" s="174">
        <v>11.85</v>
      </c>
      <c r="E372" s="204"/>
      <c r="F372" s="134"/>
      <c r="G372" s="80"/>
      <c r="H372" s="80"/>
      <c r="I372" s="80"/>
      <c r="J372" s="174"/>
      <c r="K372" s="174"/>
    </row>
    <row r="373" spans="1:11" s="24" customFormat="1" x14ac:dyDescent="0.2">
      <c r="A373" s="112">
        <f t="shared" si="5"/>
        <v>367</v>
      </c>
      <c r="B373" s="166" t="s">
        <v>530</v>
      </c>
      <c r="C373" s="174">
        <v>6.77</v>
      </c>
      <c r="D373" s="174">
        <v>11.18</v>
      </c>
      <c r="E373" s="204"/>
      <c r="F373" s="134"/>
      <c r="G373" s="80"/>
      <c r="H373" s="80"/>
      <c r="I373" s="80"/>
      <c r="J373" s="174"/>
      <c r="K373" s="174"/>
    </row>
    <row r="374" spans="1:11" s="24" customFormat="1" ht="12.75" customHeight="1" x14ac:dyDescent="0.2">
      <c r="A374" s="112">
        <f t="shared" si="5"/>
        <v>368</v>
      </c>
      <c r="B374" s="38" t="s">
        <v>745</v>
      </c>
      <c r="C374" s="35">
        <v>0.62142273655547986</v>
      </c>
      <c r="D374" s="35">
        <v>2.4856909462219194</v>
      </c>
      <c r="E374" s="204"/>
      <c r="F374" s="134" t="s">
        <v>746</v>
      </c>
      <c r="G374" s="80"/>
      <c r="H374" s="80"/>
      <c r="I374" s="80"/>
      <c r="J374" s="35"/>
      <c r="K374" s="35"/>
    </row>
    <row r="375" spans="1:11" s="24" customFormat="1" ht="12.75" customHeight="1" x14ac:dyDescent="0.2">
      <c r="A375" s="112">
        <f t="shared" si="5"/>
        <v>369</v>
      </c>
      <c r="B375" s="7" t="s">
        <v>698</v>
      </c>
      <c r="C375" s="8">
        <v>1.02</v>
      </c>
      <c r="D375" s="8">
        <v>1.1499999999999999</v>
      </c>
      <c r="E375" s="204"/>
      <c r="F375" s="135"/>
      <c r="G375" s="80"/>
      <c r="H375"/>
      <c r="I375"/>
      <c r="J375" s="8"/>
      <c r="K375" s="8"/>
    </row>
    <row r="376" spans="1:11" s="24" customFormat="1" x14ac:dyDescent="0.2">
      <c r="A376" s="112">
        <f t="shared" si="5"/>
        <v>370</v>
      </c>
      <c r="B376" s="7" t="s">
        <v>748</v>
      </c>
      <c r="C376" s="8">
        <v>0.63881480367880472</v>
      </c>
      <c r="D376" s="8">
        <v>1.26</v>
      </c>
      <c r="E376" s="204"/>
      <c r="F376" s="134" t="s">
        <v>749</v>
      </c>
      <c r="G376" s="80"/>
      <c r="H376" s="80"/>
      <c r="I376" s="80"/>
      <c r="J376" s="8"/>
      <c r="K376" s="8"/>
    </row>
    <row r="377" spans="1:11" s="24" customFormat="1" x14ac:dyDescent="0.2">
      <c r="A377" s="112">
        <f t="shared" si="5"/>
        <v>371</v>
      </c>
      <c r="B377" s="7" t="s">
        <v>703</v>
      </c>
      <c r="C377" s="8">
        <v>0.97</v>
      </c>
      <c r="D377" s="8">
        <v>1.08</v>
      </c>
      <c r="E377" s="204"/>
      <c r="F377" s="134"/>
      <c r="G377" s="80"/>
      <c r="H377"/>
      <c r="I377"/>
      <c r="J377" s="8"/>
      <c r="K377" s="8"/>
    </row>
    <row r="378" spans="1:11" s="24" customFormat="1" x14ac:dyDescent="0.2">
      <c r="A378" s="112">
        <f t="shared" si="5"/>
        <v>372</v>
      </c>
      <c r="B378" s="12" t="s">
        <v>704</v>
      </c>
      <c r="C378" s="8">
        <v>1.1801411252228102</v>
      </c>
      <c r="D378" s="8">
        <v>1.3316498067207609</v>
      </c>
      <c r="E378" s="204"/>
      <c r="F378" s="134"/>
      <c r="G378" s="80"/>
      <c r="H378"/>
      <c r="I378"/>
      <c r="J378" s="8"/>
      <c r="K378" s="8"/>
    </row>
    <row r="379" spans="1:11" s="24" customFormat="1" x14ac:dyDescent="0.2">
      <c r="A379" s="112">
        <f t="shared" si="5"/>
        <v>373</v>
      </c>
      <c r="B379" s="12" t="s">
        <v>705</v>
      </c>
      <c r="C379" s="8">
        <v>1.1121795787319599</v>
      </c>
      <c r="D379" s="8">
        <v>1.2545897601870981</v>
      </c>
      <c r="E379" s="204"/>
      <c r="F379" s="134"/>
      <c r="G379" s="80"/>
      <c r="H379"/>
      <c r="I379"/>
      <c r="J379" s="8"/>
      <c r="K379" s="8"/>
    </row>
    <row r="380" spans="1:11" s="24" customFormat="1" x14ac:dyDescent="0.2">
      <c r="A380" s="112">
        <f t="shared" si="5"/>
        <v>374</v>
      </c>
      <c r="B380" s="38" t="s">
        <v>702</v>
      </c>
      <c r="C380" s="35">
        <v>0.63500000000000001</v>
      </c>
      <c r="D380" s="35">
        <v>0.84499999999999997</v>
      </c>
      <c r="E380" s="204"/>
      <c r="F380" s="134" t="s">
        <v>388</v>
      </c>
      <c r="G380" s="80"/>
      <c r="H380" s="80"/>
      <c r="I380" s="80"/>
      <c r="J380" s="35"/>
      <c r="K380" s="35"/>
    </row>
    <row r="381" spans="1:11" s="24" customFormat="1" x14ac:dyDescent="0.2">
      <c r="A381" s="112">
        <f t="shared" si="5"/>
        <v>375</v>
      </c>
      <c r="B381" s="38" t="s">
        <v>701</v>
      </c>
      <c r="C381" s="35">
        <v>1.03</v>
      </c>
      <c r="D381" s="35">
        <v>1.1599999999999999</v>
      </c>
      <c r="E381" s="203"/>
      <c r="F381" s="134"/>
      <c r="G381" s="80"/>
      <c r="H381" s="80"/>
      <c r="I381" s="80"/>
      <c r="J381" s="35"/>
      <c r="K381" s="35"/>
    </row>
    <row r="382" spans="1:11" s="24" customFormat="1" x14ac:dyDescent="0.2">
      <c r="A382" s="112">
        <f t="shared" si="5"/>
        <v>376</v>
      </c>
      <c r="B382" s="38" t="s">
        <v>699</v>
      </c>
      <c r="C382" s="35">
        <v>0.64800000000000002</v>
      </c>
      <c r="D382" s="35">
        <v>1.27</v>
      </c>
      <c r="E382" s="204"/>
      <c r="F382" s="134" t="s">
        <v>749</v>
      </c>
      <c r="G382" s="80"/>
      <c r="H382" s="80"/>
      <c r="I382" s="80"/>
      <c r="J382" s="35"/>
      <c r="K382" s="35"/>
    </row>
    <row r="383" spans="1:11" s="24" customFormat="1" x14ac:dyDescent="0.2">
      <c r="A383" s="112">
        <f t="shared" si="5"/>
        <v>377</v>
      </c>
      <c r="B383" s="38" t="s">
        <v>700</v>
      </c>
      <c r="C383" s="35">
        <v>1.04</v>
      </c>
      <c r="D383" s="35">
        <v>1.17</v>
      </c>
      <c r="E383" s="204"/>
      <c r="F383" s="139"/>
      <c r="G383" s="61"/>
      <c r="H383"/>
      <c r="I383"/>
      <c r="J383" s="35"/>
      <c r="K383" s="35"/>
    </row>
    <row r="384" spans="1:11" s="24" customFormat="1" ht="15" x14ac:dyDescent="0.2">
      <c r="A384" s="112">
        <f t="shared" si="5"/>
        <v>378</v>
      </c>
      <c r="B384" s="50" t="s">
        <v>425</v>
      </c>
      <c r="C384" s="51"/>
      <c r="D384" s="51"/>
      <c r="E384" s="204"/>
      <c r="F384" s="19"/>
      <c r="G384"/>
      <c r="H384"/>
      <c r="I384"/>
      <c r="J384" s="51"/>
      <c r="K384" s="51"/>
    </row>
    <row r="385" spans="1:11" s="24" customFormat="1" ht="12.75" customHeight="1" x14ac:dyDescent="0.2">
      <c r="A385" s="112">
        <f t="shared" si="5"/>
        <v>379</v>
      </c>
      <c r="B385" s="38" t="s">
        <v>845</v>
      </c>
      <c r="C385" s="238">
        <v>16.467651596412026</v>
      </c>
      <c r="D385" s="238">
        <v>16.240105625445242</v>
      </c>
      <c r="E385" s="204"/>
      <c r="F385" s="244" t="s">
        <v>902</v>
      </c>
      <c r="G385" s="134" t="s">
        <v>855</v>
      </c>
      <c r="H385" s="80"/>
      <c r="I385" s="80"/>
      <c r="J385" s="177"/>
      <c r="K385" s="177"/>
    </row>
    <row r="386" spans="1:11" s="24" customFormat="1" x14ac:dyDescent="0.2">
      <c r="A386" s="112">
        <f t="shared" si="5"/>
        <v>380</v>
      </c>
      <c r="B386" s="38" t="s">
        <v>846</v>
      </c>
      <c r="C386" s="238">
        <v>16.392443979021444</v>
      </c>
      <c r="D386" s="238">
        <v>16.164951553596101</v>
      </c>
      <c r="E386" s="204"/>
      <c r="F386" s="244"/>
      <c r="G386" s="134" t="s">
        <v>855</v>
      </c>
      <c r="H386" s="80"/>
      <c r="I386" s="80"/>
      <c r="J386" s="177"/>
      <c r="K386" s="177"/>
    </row>
    <row r="387" spans="1:11" s="24" customFormat="1" x14ac:dyDescent="0.2">
      <c r="A387" s="112">
        <f t="shared" si="5"/>
        <v>381</v>
      </c>
      <c r="B387" s="38" t="s">
        <v>847</v>
      </c>
      <c r="C387" s="238">
        <v>0.61986275990185513</v>
      </c>
      <c r="D387" s="238">
        <v>0.61310936304829888</v>
      </c>
      <c r="E387" s="204"/>
      <c r="F387" s="244"/>
      <c r="G387" s="80"/>
      <c r="H387" s="80"/>
      <c r="I387" s="80"/>
      <c r="J387" s="75"/>
      <c r="K387" s="75"/>
    </row>
    <row r="388" spans="1:11" s="24" customFormat="1" x14ac:dyDescent="0.2">
      <c r="A388" s="112">
        <f t="shared" si="5"/>
        <v>382</v>
      </c>
      <c r="B388" s="38" t="s">
        <v>848</v>
      </c>
      <c r="C388" s="238">
        <v>0.62175141698741232</v>
      </c>
      <c r="D388" s="238">
        <v>0.61499739651516006</v>
      </c>
      <c r="E388" s="204"/>
      <c r="F388" s="244"/>
      <c r="G388" s="80"/>
      <c r="H388" s="80"/>
      <c r="I388" s="80"/>
      <c r="J388" s="75"/>
      <c r="K388" s="75"/>
    </row>
    <row r="389" spans="1:11" s="24" customFormat="1" x14ac:dyDescent="0.2">
      <c r="A389" s="112">
        <f t="shared" si="5"/>
        <v>383</v>
      </c>
      <c r="B389" s="87" t="s">
        <v>849</v>
      </c>
      <c r="C389" s="238">
        <v>0.64513236228267468</v>
      </c>
      <c r="D389" s="238">
        <v>0.6383918674451563</v>
      </c>
      <c r="E389" s="204"/>
      <c r="F389" s="244"/>
      <c r="J389" s="64"/>
      <c r="K389" s="64"/>
    </row>
    <row r="390" spans="1:11" s="24" customFormat="1" x14ac:dyDescent="0.2">
      <c r="A390" s="112">
        <f t="shared" si="5"/>
        <v>384</v>
      </c>
      <c r="B390" s="87" t="s">
        <v>850</v>
      </c>
      <c r="C390" s="238">
        <v>0.64701745933394228</v>
      </c>
      <c r="D390" s="238">
        <v>0.64027626653875291</v>
      </c>
      <c r="E390" s="204"/>
      <c r="F390" s="244"/>
      <c r="J390" s="64"/>
      <c r="K390" s="64"/>
    </row>
    <row r="391" spans="1:11" s="24" customFormat="1" x14ac:dyDescent="0.2">
      <c r="A391" s="112">
        <f t="shared" ref="A391:A451" si="6">A390+1</f>
        <v>385</v>
      </c>
      <c r="B391" s="15" t="s">
        <v>742</v>
      </c>
      <c r="C391" s="239">
        <v>1.056337186355544</v>
      </c>
      <c r="D391" s="239">
        <v>1.0489653479644943</v>
      </c>
      <c r="E391" s="204"/>
      <c r="F391" s="244"/>
      <c r="J391" s="16"/>
      <c r="K391" s="16"/>
    </row>
    <row r="392" spans="1:11" s="24" customFormat="1" x14ac:dyDescent="0.2">
      <c r="A392" s="112">
        <f t="shared" si="6"/>
        <v>386</v>
      </c>
      <c r="B392" s="15" t="s">
        <v>743</v>
      </c>
      <c r="C392" s="239">
        <v>1.0664995767850434</v>
      </c>
      <c r="D392" s="239">
        <v>1.0591294607263027</v>
      </c>
      <c r="E392" s="204"/>
      <c r="F392" s="244"/>
      <c r="J392" s="16"/>
      <c r="K392" s="16"/>
    </row>
    <row r="393" spans="1:11" s="24" customFormat="1" x14ac:dyDescent="0.2">
      <c r="A393" s="112">
        <f t="shared" si="6"/>
        <v>387</v>
      </c>
      <c r="B393" s="15" t="s">
        <v>857</v>
      </c>
      <c r="C393" s="239">
        <v>1.3208887120134305</v>
      </c>
      <c r="D393" s="239">
        <v>1.3135410942723351</v>
      </c>
      <c r="E393" s="204"/>
      <c r="F393" s="244"/>
      <c r="J393" s="16"/>
      <c r="K393" s="16"/>
    </row>
    <row r="394" spans="1:11" s="24" customFormat="1" x14ac:dyDescent="0.2">
      <c r="A394" s="112">
        <f t="shared" si="6"/>
        <v>388</v>
      </c>
      <c r="B394" s="15" t="s">
        <v>858</v>
      </c>
      <c r="C394" s="239">
        <v>1.3481296519895576</v>
      </c>
      <c r="D394" s="239">
        <v>1.3407827641901413</v>
      </c>
      <c r="E394" s="204"/>
      <c r="F394" s="244"/>
      <c r="J394" s="16"/>
      <c r="K394" s="16"/>
    </row>
    <row r="395" spans="1:11" s="24" customFormat="1" x14ac:dyDescent="0.2">
      <c r="A395" s="112">
        <f t="shared" si="6"/>
        <v>389</v>
      </c>
      <c r="B395" s="38" t="s">
        <v>678</v>
      </c>
      <c r="C395" s="35">
        <v>1.1000000000000001</v>
      </c>
      <c r="D395" s="35">
        <v>1.2</v>
      </c>
      <c r="E395" s="204"/>
      <c r="F395" s="104"/>
      <c r="J395" s="35"/>
      <c r="K395" s="35"/>
    </row>
    <row r="396" spans="1:11" s="24" customFormat="1" x14ac:dyDescent="0.2">
      <c r="A396" s="112">
        <f t="shared" si="6"/>
        <v>390</v>
      </c>
      <c r="B396" s="38" t="s">
        <v>853</v>
      </c>
      <c r="C396" s="35">
        <v>0.62546404236077113</v>
      </c>
      <c r="D396" s="35">
        <v>0.64955304947720305</v>
      </c>
      <c r="E396" s="204"/>
      <c r="F396" s="130" t="s">
        <v>744</v>
      </c>
      <c r="J396" s="35"/>
      <c r="K396" s="35"/>
    </row>
    <row r="397" spans="1:11" s="24" customFormat="1" x14ac:dyDescent="0.2">
      <c r="A397" s="112">
        <f t="shared" si="6"/>
        <v>391</v>
      </c>
      <c r="B397" s="38" t="s">
        <v>854</v>
      </c>
      <c r="C397" s="35">
        <v>0.62735078296561597</v>
      </c>
      <c r="D397" s="35">
        <v>0.65144203575520121</v>
      </c>
      <c r="E397" s="204"/>
      <c r="F397" s="130" t="s">
        <v>744</v>
      </c>
      <c r="J397" s="35"/>
      <c r="K397" s="35"/>
    </row>
    <row r="398" spans="1:11" s="24" customFormat="1" x14ac:dyDescent="0.2">
      <c r="A398" s="112">
        <f t="shared" si="6"/>
        <v>392</v>
      </c>
      <c r="B398" s="38" t="s">
        <v>851</v>
      </c>
      <c r="C398" s="35">
        <v>0.8695272030874871</v>
      </c>
      <c r="D398" s="35">
        <v>0.89324739477743642</v>
      </c>
      <c r="E398" s="204"/>
      <c r="F398" s="130" t="s">
        <v>744</v>
      </c>
      <c r="J398" s="35"/>
      <c r="K398" s="35"/>
    </row>
    <row r="399" spans="1:11" s="24" customFormat="1" x14ac:dyDescent="0.2">
      <c r="A399" s="112">
        <f t="shared" si="6"/>
        <v>393</v>
      </c>
      <c r="B399" s="38" t="s">
        <v>852</v>
      </c>
      <c r="C399" s="35">
        <v>0.87138430176337855</v>
      </c>
      <c r="D399" s="35">
        <v>0.89510831959002479</v>
      </c>
      <c r="E399" s="204"/>
      <c r="F399" s="130" t="s">
        <v>744</v>
      </c>
      <c r="J399" s="35"/>
      <c r="K399" s="35"/>
    </row>
    <row r="400" spans="1:11" s="24" customFormat="1" ht="15" x14ac:dyDescent="0.2">
      <c r="A400" s="112">
        <f t="shared" si="6"/>
        <v>394</v>
      </c>
      <c r="B400" s="50" t="s">
        <v>426</v>
      </c>
      <c r="C400" s="51"/>
      <c r="D400" s="51"/>
      <c r="E400" s="204"/>
      <c r="F400" s="19"/>
      <c r="G400"/>
      <c r="H400"/>
      <c r="I400"/>
      <c r="J400" s="51"/>
      <c r="K400" s="51"/>
    </row>
    <row r="401" spans="1:11" s="24" customFormat="1" x14ac:dyDescent="0.2">
      <c r="A401" s="112">
        <f t="shared" si="6"/>
        <v>395</v>
      </c>
      <c r="B401" s="60" t="s">
        <v>706</v>
      </c>
      <c r="C401" s="240">
        <v>1.318396399923542</v>
      </c>
      <c r="D401" s="240">
        <v>1.3118205511716448</v>
      </c>
      <c r="E401" s="204"/>
      <c r="F401" s="245" t="s">
        <v>902</v>
      </c>
      <c r="J401" s="16"/>
      <c r="K401" s="16"/>
    </row>
    <row r="402" spans="1:11" s="24" customFormat="1" x14ac:dyDescent="0.2">
      <c r="A402" s="112">
        <f t="shared" si="6"/>
        <v>396</v>
      </c>
      <c r="B402" s="60" t="s">
        <v>707</v>
      </c>
      <c r="C402" s="240">
        <v>1.3193454594300538</v>
      </c>
      <c r="D402" s="240">
        <v>1.3127709963078849</v>
      </c>
      <c r="E402" s="204"/>
      <c r="F402" s="245"/>
      <c r="J402" s="16"/>
      <c r="K402" s="16"/>
    </row>
    <row r="403" spans="1:11" s="24" customFormat="1" x14ac:dyDescent="0.2">
      <c r="A403" s="112">
        <f t="shared" si="6"/>
        <v>397</v>
      </c>
      <c r="B403" s="60" t="s">
        <v>708</v>
      </c>
      <c r="C403" s="240">
        <v>1.6056957467006174</v>
      </c>
      <c r="D403" s="240">
        <v>1.5984237295322992</v>
      </c>
      <c r="E403" s="204"/>
      <c r="F403" s="245"/>
      <c r="J403" s="16"/>
      <c r="K403" s="16"/>
    </row>
    <row r="404" spans="1:11" s="24" customFormat="1" x14ac:dyDescent="0.2">
      <c r="A404" s="112">
        <f t="shared" si="6"/>
        <v>398</v>
      </c>
      <c r="B404" s="60" t="s">
        <v>709</v>
      </c>
      <c r="C404" s="240">
        <v>1.5958354777992032</v>
      </c>
      <c r="D404" s="240">
        <v>1.5885664283902219</v>
      </c>
      <c r="E404" s="204"/>
      <c r="F404" s="245"/>
      <c r="J404" s="16"/>
      <c r="K404" s="16"/>
    </row>
    <row r="405" spans="1:11" s="24" customFormat="1" x14ac:dyDescent="0.2">
      <c r="A405" s="112">
        <f t="shared" si="6"/>
        <v>399</v>
      </c>
      <c r="B405" s="15" t="s">
        <v>710</v>
      </c>
      <c r="C405" s="16">
        <v>1.3740000000000001</v>
      </c>
      <c r="D405" s="16">
        <v>1.4139999999999999</v>
      </c>
      <c r="E405" s="204"/>
      <c r="F405" s="104" t="s">
        <v>377</v>
      </c>
      <c r="J405" s="16"/>
      <c r="K405" s="16"/>
    </row>
    <row r="406" spans="1:11" s="24" customFormat="1" x14ac:dyDescent="0.2">
      <c r="A406" s="112">
        <f t="shared" si="6"/>
        <v>400</v>
      </c>
      <c r="B406" s="15" t="s">
        <v>711</v>
      </c>
      <c r="C406" s="16">
        <v>1.5659295016315065</v>
      </c>
      <c r="D406" s="16">
        <v>1.5855441467726483</v>
      </c>
      <c r="E406" s="204"/>
      <c r="F406" s="104" t="s">
        <v>816</v>
      </c>
      <c r="J406" s="16"/>
      <c r="K406" s="16"/>
    </row>
    <row r="407" spans="1:11" s="24" customFormat="1" x14ac:dyDescent="0.2">
      <c r="A407" s="112">
        <f t="shared" si="6"/>
        <v>401</v>
      </c>
      <c r="B407" s="15" t="s">
        <v>295</v>
      </c>
      <c r="C407" s="16">
        <v>0.73</v>
      </c>
      <c r="D407" s="16">
        <v>0.57499999999999996</v>
      </c>
      <c r="E407" s="204"/>
      <c r="F407" s="19"/>
      <c r="G407"/>
      <c r="H407"/>
      <c r="I407"/>
      <c r="J407" s="16"/>
      <c r="K407" s="16"/>
    </row>
    <row r="408" spans="1:11" s="24" customFormat="1" x14ac:dyDescent="0.2">
      <c r="A408" s="112">
        <f t="shared" si="6"/>
        <v>402</v>
      </c>
      <c r="B408" s="10" t="s">
        <v>31</v>
      </c>
      <c r="C408" s="11">
        <v>2.67</v>
      </c>
      <c r="D408" s="11">
        <v>2.31</v>
      </c>
      <c r="E408" s="204"/>
      <c r="F408" s="19"/>
      <c r="G408"/>
      <c r="H408"/>
      <c r="I408"/>
      <c r="J408" s="11"/>
      <c r="K408" s="11"/>
    </row>
    <row r="409" spans="1:11" s="24" customFormat="1" x14ac:dyDescent="0.2">
      <c r="A409" s="112">
        <f t="shared" si="6"/>
        <v>403</v>
      </c>
      <c r="B409" s="10" t="s">
        <v>32</v>
      </c>
      <c r="C409" s="11">
        <v>1.33</v>
      </c>
      <c r="D409" s="11">
        <v>1.1499999999999999</v>
      </c>
      <c r="E409" s="204"/>
      <c r="F409" s="19"/>
      <c r="G409"/>
      <c r="H409"/>
      <c r="I409"/>
      <c r="J409" s="11"/>
      <c r="K409" s="11"/>
    </row>
    <row r="410" spans="1:11" s="24" customFormat="1" x14ac:dyDescent="0.2">
      <c r="A410" s="112">
        <f t="shared" si="6"/>
        <v>404</v>
      </c>
      <c r="B410" s="10" t="s">
        <v>33</v>
      </c>
      <c r="C410" s="11">
        <f>C408/4</f>
        <v>0.66749999999999998</v>
      </c>
      <c r="D410" s="11">
        <f>D408/4</f>
        <v>0.57750000000000001</v>
      </c>
      <c r="E410" s="204"/>
      <c r="F410" s="19"/>
      <c r="G410"/>
      <c r="H410"/>
      <c r="I410"/>
      <c r="J410" s="11"/>
      <c r="K410" s="11"/>
    </row>
    <row r="411" spans="1:11" ht="15" x14ac:dyDescent="0.2">
      <c r="A411" s="112">
        <f t="shared" si="6"/>
        <v>405</v>
      </c>
      <c r="B411" s="50" t="s">
        <v>627</v>
      </c>
      <c r="C411" s="86"/>
      <c r="D411" s="86"/>
      <c r="E411" s="209"/>
      <c r="F411" s="137"/>
      <c r="G411" s="67"/>
      <c r="H411" s="67"/>
      <c r="I411" s="67"/>
      <c r="J411" s="86"/>
      <c r="K411" s="86"/>
    </row>
    <row r="412" spans="1:11" x14ac:dyDescent="0.2">
      <c r="A412" s="112">
        <f t="shared" si="6"/>
        <v>406</v>
      </c>
      <c r="B412" s="171" t="s">
        <v>450</v>
      </c>
      <c r="C412" s="167">
        <v>0.47699999999999998</v>
      </c>
      <c r="D412" s="167">
        <v>0.60799999999999998</v>
      </c>
      <c r="J412" s="167"/>
      <c r="K412" s="167"/>
    </row>
    <row r="413" spans="1:11" x14ac:dyDescent="0.2">
      <c r="A413" s="112">
        <f t="shared" si="6"/>
        <v>407</v>
      </c>
      <c r="B413" s="15" t="s">
        <v>712</v>
      </c>
      <c r="C413" s="16">
        <v>1.353</v>
      </c>
      <c r="D413" s="16">
        <v>1.353</v>
      </c>
      <c r="F413" s="134" t="s">
        <v>418</v>
      </c>
      <c r="G413" s="80"/>
      <c r="H413" s="80"/>
      <c r="I413" s="80"/>
      <c r="J413" s="16"/>
      <c r="K413" s="16"/>
    </row>
    <row r="414" spans="1:11" x14ac:dyDescent="0.2">
      <c r="A414" s="112">
        <f t="shared" si="6"/>
        <v>408</v>
      </c>
      <c r="B414" s="15" t="s">
        <v>713</v>
      </c>
      <c r="C414" s="16">
        <v>3.63</v>
      </c>
      <c r="D414" s="16">
        <v>3.63</v>
      </c>
      <c r="F414" s="134" t="s">
        <v>420</v>
      </c>
      <c r="G414" s="80"/>
      <c r="H414" s="80"/>
      <c r="I414" s="80"/>
      <c r="J414" s="16"/>
      <c r="K414" s="16"/>
    </row>
    <row r="415" spans="1:11" x14ac:dyDescent="0.2">
      <c r="A415" s="112">
        <f t="shared" si="6"/>
        <v>409</v>
      </c>
      <c r="B415" s="15" t="s">
        <v>448</v>
      </c>
      <c r="C415" s="16">
        <v>1.1968734511767638</v>
      </c>
      <c r="D415" s="16">
        <v>1.2127017460193765</v>
      </c>
      <c r="F415" s="129" t="s">
        <v>730</v>
      </c>
      <c r="G415" s="128"/>
      <c r="H415" s="128"/>
      <c r="I415" s="128"/>
      <c r="J415" s="16">
        <v>1.4160521858337844</v>
      </c>
      <c r="K415" s="16">
        <v>1.461817410009234</v>
      </c>
    </row>
    <row r="416" spans="1:11" x14ac:dyDescent="0.2">
      <c r="A416" s="112">
        <f t="shared" si="6"/>
        <v>410</v>
      </c>
      <c r="B416" s="15" t="s">
        <v>729</v>
      </c>
      <c r="C416" s="16">
        <v>1.2018555375903019</v>
      </c>
      <c r="D416" s="16">
        <v>1.2176836753253599</v>
      </c>
      <c r="F416" s="129" t="s">
        <v>730</v>
      </c>
      <c r="G416" s="128"/>
      <c r="H416" s="128"/>
      <c r="I416" s="128"/>
      <c r="J416" s="16">
        <v>1.421032408051212</v>
      </c>
      <c r="K416" s="16">
        <v>1.4667973132855119</v>
      </c>
    </row>
    <row r="417" spans="1:11" x14ac:dyDescent="0.2">
      <c r="A417" s="112">
        <f t="shared" si="6"/>
        <v>411</v>
      </c>
      <c r="B417" s="15" t="s">
        <v>714</v>
      </c>
      <c r="C417" s="16">
        <v>1.327</v>
      </c>
      <c r="D417" s="16">
        <v>1.329</v>
      </c>
      <c r="F417" s="129" t="s">
        <v>449</v>
      </c>
      <c r="G417" s="128"/>
      <c r="H417" s="128"/>
      <c r="I417" s="128"/>
      <c r="J417" s="16"/>
      <c r="K417" s="16"/>
    </row>
    <row r="418" spans="1:11" x14ac:dyDescent="0.2">
      <c r="A418" s="112">
        <f t="shared" si="6"/>
        <v>412</v>
      </c>
      <c r="B418" s="15" t="s">
        <v>715</v>
      </c>
      <c r="C418" s="16">
        <v>0.92</v>
      </c>
      <c r="D418" s="16">
        <v>1.07</v>
      </c>
      <c r="F418" s="130" t="s">
        <v>451</v>
      </c>
      <c r="J418" s="16"/>
      <c r="K418" s="16"/>
    </row>
    <row r="419" spans="1:11" x14ac:dyDescent="0.2">
      <c r="A419" s="112">
        <f t="shared" si="6"/>
        <v>413</v>
      </c>
      <c r="B419" s="38" t="s">
        <v>549</v>
      </c>
      <c r="C419" s="16">
        <v>3.5720999999999998</v>
      </c>
      <c r="D419" s="16">
        <v>3.5720999999999998</v>
      </c>
    </row>
    <row r="420" spans="1:11" x14ac:dyDescent="0.2">
      <c r="A420" s="112">
        <f t="shared" si="6"/>
        <v>414</v>
      </c>
      <c r="B420" s="38" t="s">
        <v>805</v>
      </c>
      <c r="C420" s="16">
        <v>1.603</v>
      </c>
      <c r="D420" s="16">
        <v>3.105</v>
      </c>
      <c r="F420" s="129" t="s">
        <v>806</v>
      </c>
    </row>
    <row r="421" spans="1:11" ht="15" x14ac:dyDescent="0.2">
      <c r="A421" s="112">
        <f t="shared" si="6"/>
        <v>415</v>
      </c>
      <c r="B421" s="50" t="s">
        <v>554</v>
      </c>
      <c r="C421" s="86"/>
      <c r="D421" s="86"/>
      <c r="E421" s="209"/>
      <c r="F421" s="138"/>
      <c r="G421" s="67"/>
      <c r="H421" s="67"/>
      <c r="I421" s="67"/>
      <c r="J421" s="86"/>
      <c r="K421" s="86"/>
    </row>
    <row r="422" spans="1:11" x14ac:dyDescent="0.2">
      <c r="A422" s="112">
        <f t="shared" si="6"/>
        <v>416</v>
      </c>
      <c r="B422" s="38" t="s">
        <v>556</v>
      </c>
      <c r="C422" s="16">
        <v>1.55</v>
      </c>
      <c r="D422" s="16">
        <v>2.1749999999999998</v>
      </c>
      <c r="F422" s="104" t="s">
        <v>555</v>
      </c>
      <c r="J422" s="108"/>
      <c r="K422" s="108"/>
    </row>
    <row r="423" spans="1:11" ht="15" x14ac:dyDescent="0.2">
      <c r="A423" s="112">
        <f t="shared" si="6"/>
        <v>417</v>
      </c>
      <c r="B423" s="50" t="s">
        <v>424</v>
      </c>
      <c r="C423" s="86"/>
      <c r="D423" s="86"/>
      <c r="E423" s="209"/>
      <c r="F423" s="138"/>
      <c r="G423" s="67"/>
      <c r="H423" s="67"/>
      <c r="I423" s="67"/>
      <c r="J423" s="86"/>
      <c r="K423" s="86"/>
    </row>
    <row r="424" spans="1:11" x14ac:dyDescent="0.2">
      <c r="A424" s="112">
        <f t="shared" si="6"/>
        <v>418</v>
      </c>
      <c r="B424" s="38" t="s">
        <v>716</v>
      </c>
      <c r="C424" s="16">
        <v>0.27600000000000002</v>
      </c>
      <c r="D424" s="16">
        <v>0.46800000000000003</v>
      </c>
      <c r="F424" s="104" t="s">
        <v>527</v>
      </c>
      <c r="J424" s="16"/>
      <c r="K424" s="16"/>
    </row>
    <row r="425" spans="1:11" x14ac:dyDescent="0.2">
      <c r="A425" s="112">
        <f t="shared" si="6"/>
        <v>419</v>
      </c>
      <c r="B425" s="110" t="s">
        <v>464</v>
      </c>
      <c r="C425" s="16">
        <v>0.36299999999999999</v>
      </c>
      <c r="D425" s="16">
        <v>0.41</v>
      </c>
      <c r="F425" s="104" t="s">
        <v>447</v>
      </c>
      <c r="J425" s="16"/>
      <c r="K425" s="16"/>
    </row>
    <row r="426" spans="1:11" x14ac:dyDescent="0.2">
      <c r="A426" s="112">
        <f t="shared" si="6"/>
        <v>420</v>
      </c>
      <c r="B426" s="15" t="s">
        <v>733</v>
      </c>
      <c r="C426" s="16">
        <v>4.550787878787879E-3</v>
      </c>
      <c r="D426" s="16">
        <v>6.826181818181818E-3</v>
      </c>
      <c r="F426" s="134" t="s">
        <v>734</v>
      </c>
      <c r="H426" s="80"/>
      <c r="I426" s="80"/>
      <c r="J426" s="16"/>
      <c r="K426" s="16"/>
    </row>
    <row r="427" spans="1:11" x14ac:dyDescent="0.2">
      <c r="A427" s="112">
        <f t="shared" si="6"/>
        <v>421</v>
      </c>
      <c r="B427" s="15" t="s">
        <v>719</v>
      </c>
      <c r="C427" s="16">
        <v>1.521033793614722</v>
      </c>
      <c r="D427" s="16">
        <v>2.7683682352941177</v>
      </c>
      <c r="F427" s="137" t="s">
        <v>724</v>
      </c>
      <c r="J427" s="16"/>
      <c r="K427" s="16"/>
    </row>
    <row r="428" spans="1:11" ht="15" x14ac:dyDescent="0.2">
      <c r="A428" s="112">
        <f t="shared" si="6"/>
        <v>422</v>
      </c>
      <c r="B428" s="50" t="s">
        <v>423</v>
      </c>
      <c r="C428" s="86"/>
      <c r="D428" s="86"/>
      <c r="F428" s="19"/>
      <c r="J428" s="86"/>
      <c r="K428" s="86"/>
    </row>
    <row r="429" spans="1:11" x14ac:dyDescent="0.2">
      <c r="A429" s="112">
        <f t="shared" si="6"/>
        <v>423</v>
      </c>
      <c r="B429" s="87" t="s">
        <v>465</v>
      </c>
      <c r="C429" s="16">
        <v>0.46497667568054973</v>
      </c>
      <c r="D429" s="16">
        <v>0.49713818924438391</v>
      </c>
      <c r="F429" s="138" t="s">
        <v>547</v>
      </c>
      <c r="G429" s="24"/>
      <c r="H429" s="24"/>
      <c r="I429" s="24"/>
      <c r="J429" s="64"/>
      <c r="K429" s="64"/>
    </row>
    <row r="430" spans="1:11" x14ac:dyDescent="0.2">
      <c r="A430" s="112">
        <f t="shared" si="6"/>
        <v>424</v>
      </c>
      <c r="B430" s="38" t="s">
        <v>551</v>
      </c>
      <c r="C430" s="109">
        <v>0.64376268261503489</v>
      </c>
      <c r="D430" s="109">
        <v>0.84380770923201787</v>
      </c>
      <c r="F430" s="138" t="s">
        <v>547</v>
      </c>
      <c r="G430" s="24"/>
      <c r="H430" s="24"/>
      <c r="I430" s="24"/>
      <c r="J430" s="64"/>
      <c r="K430" s="64"/>
    </row>
    <row r="431" spans="1:11" x14ac:dyDescent="0.2">
      <c r="A431" s="112">
        <f t="shared" si="6"/>
        <v>425</v>
      </c>
      <c r="B431" s="69" t="s">
        <v>550</v>
      </c>
      <c r="C431" s="16">
        <v>0.26997745669431761</v>
      </c>
      <c r="D431" s="16">
        <v>0.31283069444836309</v>
      </c>
      <c r="F431" s="134" t="s">
        <v>547</v>
      </c>
      <c r="G431" s="80"/>
      <c r="H431" s="80"/>
      <c r="I431" s="80"/>
      <c r="J431" s="16"/>
      <c r="K431" s="16"/>
    </row>
    <row r="432" spans="1:11" x14ac:dyDescent="0.2">
      <c r="A432" s="112">
        <f t="shared" si="6"/>
        <v>426</v>
      </c>
      <c r="B432" s="38" t="s">
        <v>427</v>
      </c>
      <c r="C432" s="16">
        <v>0.37145991610715934</v>
      </c>
      <c r="D432" s="16">
        <v>0.49713818924438391</v>
      </c>
      <c r="F432" s="134" t="s">
        <v>548</v>
      </c>
      <c r="G432" s="80"/>
      <c r="H432" s="80"/>
      <c r="I432" s="80"/>
      <c r="J432" s="16"/>
      <c r="K432" s="16"/>
    </row>
    <row r="433" spans="1:11" x14ac:dyDescent="0.2">
      <c r="A433" s="112">
        <f t="shared" si="6"/>
        <v>427</v>
      </c>
      <c r="B433" s="15" t="s">
        <v>428</v>
      </c>
      <c r="C433" s="16">
        <v>0.96599999999999997</v>
      </c>
      <c r="D433" s="16">
        <v>0.96599999999999997</v>
      </c>
      <c r="F433" s="134" t="s">
        <v>600</v>
      </c>
      <c r="G433" s="80"/>
      <c r="H433" s="80"/>
      <c r="I433" s="80"/>
      <c r="J433" s="16"/>
      <c r="K433" s="16"/>
    </row>
    <row r="434" spans="1:11" x14ac:dyDescent="0.2">
      <c r="A434" s="112">
        <f t="shared" si="6"/>
        <v>428</v>
      </c>
      <c r="B434" s="178" t="s">
        <v>731</v>
      </c>
      <c r="C434" s="179">
        <v>1.4155800860792298</v>
      </c>
      <c r="D434" s="179">
        <v>2.4479236006310874</v>
      </c>
      <c r="F434" s="134" t="s">
        <v>732</v>
      </c>
      <c r="G434" s="80"/>
      <c r="H434" s="80"/>
      <c r="I434" s="80"/>
      <c r="J434" s="105"/>
      <c r="K434" s="105"/>
    </row>
    <row r="435" spans="1:11" ht="15" x14ac:dyDescent="0.2">
      <c r="A435" s="112">
        <f t="shared" si="6"/>
        <v>429</v>
      </c>
      <c r="B435" s="160" t="s">
        <v>598</v>
      </c>
      <c r="C435" s="161"/>
      <c r="D435" s="161"/>
    </row>
    <row r="436" spans="1:11" x14ac:dyDescent="0.2">
      <c r="A436" s="112">
        <f t="shared" si="6"/>
        <v>430</v>
      </c>
      <c r="B436" s="15" t="s">
        <v>599</v>
      </c>
      <c r="C436" s="16">
        <v>0.89144999999999996</v>
      </c>
      <c r="D436" s="16">
        <v>1.4148387931034483</v>
      </c>
      <c r="E436" s="210"/>
      <c r="F436" s="162" t="s">
        <v>601</v>
      </c>
      <c r="G436" s="4"/>
      <c r="H436" s="4"/>
      <c r="I436" s="4"/>
    </row>
    <row r="437" spans="1:11" x14ac:dyDescent="0.2">
      <c r="A437" s="112">
        <f t="shared" si="6"/>
        <v>431</v>
      </c>
      <c r="B437" s="15" t="s">
        <v>606</v>
      </c>
      <c r="C437" s="16">
        <v>1.55</v>
      </c>
      <c r="D437" s="16">
        <v>2.1749999999999998</v>
      </c>
      <c r="F437" s="19" t="s">
        <v>757</v>
      </c>
    </row>
    <row r="438" spans="1:11" x14ac:dyDescent="0.2">
      <c r="A438" s="112">
        <f t="shared" si="6"/>
        <v>432</v>
      </c>
      <c r="B438" s="15" t="s">
        <v>607</v>
      </c>
      <c r="C438" s="16">
        <v>5.9735185714285723</v>
      </c>
      <c r="D438" s="16">
        <v>10.860942857142858</v>
      </c>
      <c r="F438" s="19" t="s">
        <v>608</v>
      </c>
    </row>
    <row r="439" spans="1:11" x14ac:dyDescent="0.2">
      <c r="A439" s="112">
        <f t="shared" si="6"/>
        <v>433</v>
      </c>
      <c r="B439" s="38" t="s">
        <v>722</v>
      </c>
      <c r="C439" s="16">
        <v>0.45573789309223456</v>
      </c>
      <c r="D439" s="16">
        <v>1.2493669940155694</v>
      </c>
      <c r="F439" s="19" t="s">
        <v>723</v>
      </c>
    </row>
    <row r="440" spans="1:11" x14ac:dyDescent="0.2">
      <c r="A440" s="112">
        <f t="shared" si="6"/>
        <v>434</v>
      </c>
      <c r="B440" s="15"/>
      <c r="C440" s="16"/>
      <c r="D440" s="16"/>
    </row>
    <row r="441" spans="1:11" x14ac:dyDescent="0.2">
      <c r="A441" s="112">
        <f t="shared" si="6"/>
        <v>435</v>
      </c>
      <c r="B441" s="15"/>
      <c r="C441" s="16"/>
      <c r="D441" s="16"/>
    </row>
    <row r="442" spans="1:11" x14ac:dyDescent="0.2">
      <c r="A442" s="112">
        <f t="shared" si="6"/>
        <v>436</v>
      </c>
      <c r="B442" s="15" t="s">
        <v>751</v>
      </c>
      <c r="C442" s="16">
        <v>1.01</v>
      </c>
      <c r="D442" s="16">
        <v>1.1679999999999999</v>
      </c>
    </row>
    <row r="443" spans="1:11" x14ac:dyDescent="0.2">
      <c r="A443" s="112">
        <f t="shared" si="6"/>
        <v>437</v>
      </c>
      <c r="B443" s="180" t="s">
        <v>754</v>
      </c>
      <c r="C443" s="16">
        <v>0.75</v>
      </c>
      <c r="D443" s="181">
        <v>0.9375</v>
      </c>
    </row>
    <row r="444" spans="1:11" x14ac:dyDescent="0.2">
      <c r="A444" s="112">
        <f t="shared" si="6"/>
        <v>438</v>
      </c>
      <c r="B444" s="15"/>
      <c r="C444" s="16"/>
      <c r="D444" s="16"/>
    </row>
    <row r="445" spans="1:11" ht="15" x14ac:dyDescent="0.2">
      <c r="A445" s="112">
        <f t="shared" si="6"/>
        <v>439</v>
      </c>
      <c r="B445" s="160" t="s">
        <v>896</v>
      </c>
      <c r="C445" s="161"/>
      <c r="D445" s="161"/>
    </row>
    <row r="446" spans="1:11" x14ac:dyDescent="0.2">
      <c r="A446" s="112">
        <f t="shared" si="6"/>
        <v>440</v>
      </c>
      <c r="B446" s="15" t="s">
        <v>897</v>
      </c>
      <c r="C446" s="16">
        <v>0.74299999999999999</v>
      </c>
      <c r="D446" s="16">
        <v>0.97899999999999998</v>
      </c>
    </row>
    <row r="447" spans="1:11" x14ac:dyDescent="0.2">
      <c r="A447" s="112">
        <f t="shared" si="6"/>
        <v>441</v>
      </c>
      <c r="B447" s="15" t="s">
        <v>898</v>
      </c>
      <c r="C447" s="16">
        <v>0.99</v>
      </c>
      <c r="D447" s="16">
        <v>1.22</v>
      </c>
    </row>
    <row r="448" spans="1:11" x14ac:dyDescent="0.2">
      <c r="A448" s="112">
        <f t="shared" si="6"/>
        <v>442</v>
      </c>
      <c r="B448" s="15"/>
      <c r="C448" s="16"/>
      <c r="D448" s="16"/>
    </row>
    <row r="449" spans="1:4" x14ac:dyDescent="0.2">
      <c r="A449" s="112">
        <f t="shared" si="6"/>
        <v>443</v>
      </c>
      <c r="B449" s="15"/>
      <c r="C449" s="16"/>
      <c r="D449" s="16"/>
    </row>
    <row r="450" spans="1:4" x14ac:dyDescent="0.2">
      <c r="A450" s="112">
        <f t="shared" si="6"/>
        <v>444</v>
      </c>
      <c r="B450" s="15"/>
      <c r="C450" s="16"/>
      <c r="D450" s="16"/>
    </row>
    <row r="451" spans="1:4" x14ac:dyDescent="0.2">
      <c r="A451" s="112">
        <f t="shared" si="6"/>
        <v>445</v>
      </c>
    </row>
    <row r="452" spans="1:4" x14ac:dyDescent="0.2">
      <c r="A452" s="113"/>
    </row>
    <row r="453" spans="1:4" x14ac:dyDescent="0.2">
      <c r="A453" s="113"/>
    </row>
    <row r="454" spans="1:4" x14ac:dyDescent="0.2">
      <c r="A454" s="114"/>
    </row>
  </sheetData>
  <mergeCells count="8">
    <mergeCell ref="F385:F394"/>
    <mergeCell ref="F401:F404"/>
    <mergeCell ref="F115:F117"/>
    <mergeCell ref="F44:F45"/>
    <mergeCell ref="G255:G261"/>
    <mergeCell ref="F113:F114"/>
    <mergeCell ref="F127:F131"/>
    <mergeCell ref="F118:F12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B297-B813-4CBD-9D27-3E847A750622}">
  <sheetPr codeName="Лист5"/>
  <dimension ref="A1:P26"/>
  <sheetViews>
    <sheetView tabSelected="1" workbookViewId="0">
      <selection activeCell="AD34" sqref="AD34"/>
    </sheetView>
  </sheetViews>
  <sheetFormatPr defaultRowHeight="12.75" x14ac:dyDescent="0.2"/>
  <cols>
    <col min="1" max="1" width="9.140625" style="2"/>
    <col min="2" max="2" width="12.140625" style="2" customWidth="1"/>
    <col min="3" max="4" width="9.140625" style="2"/>
    <col min="5" max="16384" width="9.140625" style="123"/>
  </cols>
  <sheetData>
    <row r="1" spans="1:16" x14ac:dyDescent="0.2">
      <c r="A1" s="250" t="s">
        <v>34</v>
      </c>
      <c r="B1" s="250"/>
      <c r="C1" s="250"/>
      <c r="F1" s="251" t="s">
        <v>560</v>
      </c>
      <c r="G1" s="251" t="s">
        <v>561</v>
      </c>
      <c r="H1" s="251" t="s">
        <v>562</v>
      </c>
      <c r="I1" s="251" t="s">
        <v>596</v>
      </c>
      <c r="J1" s="251"/>
      <c r="K1" s="251"/>
      <c r="L1" s="251"/>
      <c r="M1" s="251" t="s">
        <v>563</v>
      </c>
      <c r="N1" s="251"/>
      <c r="O1" s="251"/>
      <c r="P1" s="251"/>
    </row>
    <row r="2" spans="1:16" ht="15.75" x14ac:dyDescent="0.2">
      <c r="A2" s="2">
        <v>1</v>
      </c>
      <c r="B2" s="153" t="s">
        <v>35</v>
      </c>
      <c r="C2" s="2">
        <v>16.2</v>
      </c>
      <c r="F2" s="251"/>
      <c r="G2" s="251"/>
      <c r="H2" s="251"/>
      <c r="I2" s="156" t="s">
        <v>564</v>
      </c>
      <c r="J2" s="156" t="s">
        <v>565</v>
      </c>
      <c r="K2" s="156" t="s">
        <v>566</v>
      </c>
      <c r="L2" s="156" t="s">
        <v>567</v>
      </c>
      <c r="M2" s="156" t="s">
        <v>564</v>
      </c>
      <c r="N2" s="156" t="s">
        <v>565</v>
      </c>
      <c r="O2" s="156" t="s">
        <v>566</v>
      </c>
      <c r="P2" s="156" t="s">
        <v>567</v>
      </c>
    </row>
    <row r="3" spans="1:16" x14ac:dyDescent="0.2">
      <c r="A3" s="2">
        <v>2</v>
      </c>
      <c r="B3" s="2" t="s">
        <v>36</v>
      </c>
      <c r="C3" s="2">
        <v>9.68</v>
      </c>
      <c r="F3" s="157">
        <v>1</v>
      </c>
      <c r="G3" s="157" t="s">
        <v>35</v>
      </c>
      <c r="H3" s="158">
        <v>4.4999999999999998E-2</v>
      </c>
      <c r="I3" s="157">
        <v>36.299999999999997</v>
      </c>
      <c r="J3" s="157">
        <v>66</v>
      </c>
      <c r="K3" s="157">
        <v>36.299999999999997</v>
      </c>
      <c r="L3" s="157">
        <v>66</v>
      </c>
      <c r="M3" s="157">
        <v>31.5</v>
      </c>
      <c r="N3" s="157">
        <v>64.7</v>
      </c>
      <c r="O3" s="157">
        <v>253.9</v>
      </c>
      <c r="P3" s="157">
        <v>581.79999999999995</v>
      </c>
    </row>
    <row r="4" spans="1:16" x14ac:dyDescent="0.2">
      <c r="A4" s="2">
        <v>3</v>
      </c>
      <c r="B4" s="2" t="s">
        <v>37</v>
      </c>
      <c r="C4" s="2">
        <v>6.48</v>
      </c>
      <c r="F4" s="157">
        <v>2</v>
      </c>
      <c r="G4" s="157" t="s">
        <v>36</v>
      </c>
      <c r="H4" s="158">
        <v>5.5E-2</v>
      </c>
      <c r="I4" s="157">
        <v>16.899999999999999</v>
      </c>
      <c r="J4" s="157">
        <v>52.4</v>
      </c>
      <c r="K4" s="157">
        <v>16.899999999999999</v>
      </c>
      <c r="L4" s="157">
        <v>52.4</v>
      </c>
      <c r="M4" s="157">
        <v>0</v>
      </c>
      <c r="N4" s="157">
        <v>0</v>
      </c>
      <c r="O4" s="157">
        <v>0</v>
      </c>
      <c r="P4" s="157">
        <v>0</v>
      </c>
    </row>
    <row r="5" spans="1:16" x14ac:dyDescent="0.2">
      <c r="A5" s="2">
        <v>4</v>
      </c>
      <c r="B5" s="2" t="s">
        <v>38</v>
      </c>
      <c r="C5" s="2">
        <v>4.5</v>
      </c>
      <c r="F5" s="157">
        <v>3</v>
      </c>
      <c r="G5" s="157" t="s">
        <v>36</v>
      </c>
      <c r="H5" s="158">
        <v>4.4999999999999998E-2</v>
      </c>
      <c r="I5" s="157">
        <v>19.3</v>
      </c>
      <c r="J5" s="157">
        <v>43</v>
      </c>
      <c r="K5" s="157">
        <v>19.3</v>
      </c>
      <c r="L5" s="157">
        <v>43</v>
      </c>
      <c r="M5" s="157">
        <v>16.600000000000001</v>
      </c>
      <c r="N5" s="157">
        <v>41.7</v>
      </c>
      <c r="O5" s="157">
        <v>150.80000000000001</v>
      </c>
      <c r="P5" s="157">
        <v>367</v>
      </c>
    </row>
    <row r="6" spans="1:16" x14ac:dyDescent="0.2">
      <c r="A6" s="2">
        <v>5</v>
      </c>
      <c r="B6" s="2" t="s">
        <v>39</v>
      </c>
      <c r="C6" s="2">
        <v>2.86</v>
      </c>
      <c r="F6" s="157">
        <v>4</v>
      </c>
      <c r="G6" s="157" t="s">
        <v>37</v>
      </c>
      <c r="H6" s="158">
        <v>5.5E-2</v>
      </c>
      <c r="I6" s="157">
        <v>9.6999999999999993</v>
      </c>
      <c r="J6" s="157">
        <v>33.799999999999997</v>
      </c>
      <c r="K6" s="157">
        <v>9.6999999999999993</v>
      </c>
      <c r="L6" s="157">
        <v>33.799999999999997</v>
      </c>
      <c r="M6" s="157">
        <v>0</v>
      </c>
      <c r="N6" s="157">
        <v>0</v>
      </c>
      <c r="O6" s="157">
        <v>0</v>
      </c>
      <c r="P6" s="157">
        <v>0</v>
      </c>
    </row>
    <row r="7" spans="1:16" x14ac:dyDescent="0.2">
      <c r="A7" s="2">
        <v>6</v>
      </c>
      <c r="B7" s="2" t="s">
        <v>51</v>
      </c>
      <c r="C7" s="2">
        <v>1.98</v>
      </c>
      <c r="F7" s="157">
        <v>5</v>
      </c>
      <c r="G7" s="157" t="s">
        <v>37</v>
      </c>
      <c r="H7" s="158">
        <v>4.4999999999999998E-2</v>
      </c>
      <c r="I7" s="157">
        <v>10.7</v>
      </c>
      <c r="J7" s="157">
        <v>27</v>
      </c>
      <c r="K7" s="157">
        <v>10.7</v>
      </c>
      <c r="L7" s="157">
        <v>27</v>
      </c>
      <c r="M7" s="157">
        <v>9.4</v>
      </c>
      <c r="N7" s="157">
        <v>27.2</v>
      </c>
      <c r="O7" s="157">
        <v>96.5</v>
      </c>
      <c r="P7" s="157">
        <v>234.9</v>
      </c>
    </row>
    <row r="8" spans="1:16" x14ac:dyDescent="0.2">
      <c r="A8" s="2">
        <v>7</v>
      </c>
      <c r="B8" s="2" t="s">
        <v>294</v>
      </c>
      <c r="C8" s="2">
        <v>4.3</v>
      </c>
      <c r="F8" s="157"/>
      <c r="G8" s="157"/>
      <c r="H8" s="158"/>
      <c r="I8" s="157"/>
      <c r="J8" s="157"/>
      <c r="K8" s="157"/>
      <c r="L8" s="157"/>
      <c r="M8" s="157"/>
      <c r="N8" s="157"/>
      <c r="O8" s="157"/>
      <c r="P8" s="157"/>
    </row>
    <row r="9" spans="1:16" x14ac:dyDescent="0.2">
      <c r="A9" s="2">
        <v>8</v>
      </c>
      <c r="B9" s="2" t="s">
        <v>373</v>
      </c>
      <c r="C9" s="2">
        <v>1.08</v>
      </c>
      <c r="F9" s="157">
        <v>6</v>
      </c>
      <c r="G9" s="157" t="s">
        <v>38</v>
      </c>
      <c r="H9" s="158">
        <v>5.5E-2</v>
      </c>
      <c r="I9" s="157">
        <v>5.4</v>
      </c>
      <c r="J9" s="157">
        <v>21.3</v>
      </c>
      <c r="K9" s="157">
        <v>5.4</v>
      </c>
      <c r="L9" s="157">
        <v>21.3</v>
      </c>
      <c r="M9" s="157">
        <v>0</v>
      </c>
      <c r="N9" s="157">
        <v>0</v>
      </c>
      <c r="O9" s="157">
        <v>0</v>
      </c>
      <c r="P9" s="157">
        <v>0</v>
      </c>
    </row>
    <row r="10" spans="1:16" x14ac:dyDescent="0.2">
      <c r="A10" s="2">
        <v>9</v>
      </c>
      <c r="B10" s="2" t="s">
        <v>374</v>
      </c>
      <c r="C10" s="2">
        <v>1.58</v>
      </c>
      <c r="F10" s="157">
        <v>7</v>
      </c>
      <c r="G10" s="157" t="s">
        <v>38</v>
      </c>
      <c r="H10" s="158">
        <v>4.4999999999999998E-2</v>
      </c>
      <c r="I10" s="157">
        <v>5.9</v>
      </c>
      <c r="J10" s="157">
        <v>17</v>
      </c>
      <c r="K10" s="157">
        <v>5.9</v>
      </c>
      <c r="L10" s="157">
        <v>17</v>
      </c>
      <c r="M10" s="157">
        <v>5.5</v>
      </c>
      <c r="N10" s="157">
        <v>17.100000000000001</v>
      </c>
      <c r="O10" s="157">
        <v>55.6</v>
      </c>
      <c r="P10" s="157">
        <v>148.69999999999999</v>
      </c>
    </row>
    <row r="11" spans="1:16" x14ac:dyDescent="0.2">
      <c r="A11" s="2">
        <v>10</v>
      </c>
      <c r="B11" s="2">
        <v>3200</v>
      </c>
      <c r="C11" s="154">
        <v>0.67</v>
      </c>
      <c r="F11" s="157">
        <v>8</v>
      </c>
      <c r="G11" s="157" t="s">
        <v>39</v>
      </c>
      <c r="H11" s="158">
        <v>5.5E-2</v>
      </c>
      <c r="I11" s="157">
        <v>2.9</v>
      </c>
      <c r="J11" s="157">
        <v>13.7</v>
      </c>
      <c r="K11" s="157">
        <v>2.9</v>
      </c>
      <c r="L11" s="157">
        <v>13.7</v>
      </c>
      <c r="M11" s="157">
        <v>3.1</v>
      </c>
      <c r="N11" s="157">
        <v>13.6</v>
      </c>
      <c r="O11" s="157">
        <v>30.3</v>
      </c>
      <c r="P11" s="157">
        <v>96.2</v>
      </c>
    </row>
    <row r="12" spans="1:16" x14ac:dyDescent="0.2">
      <c r="A12" s="2">
        <v>11</v>
      </c>
      <c r="B12" s="2">
        <v>2500</v>
      </c>
      <c r="C12" s="2">
        <v>0.84</v>
      </c>
      <c r="F12" s="157">
        <v>9</v>
      </c>
      <c r="G12" s="157" t="s">
        <v>51</v>
      </c>
      <c r="H12" s="158">
        <v>5.5E-2</v>
      </c>
      <c r="I12" s="157">
        <v>1.8</v>
      </c>
      <c r="J12" s="157">
        <v>8.6</v>
      </c>
      <c r="K12" s="157">
        <v>1.8</v>
      </c>
      <c r="L12" s="157">
        <v>8.6</v>
      </c>
      <c r="M12" s="157">
        <v>2.4</v>
      </c>
      <c r="N12" s="157">
        <v>8.5</v>
      </c>
      <c r="O12" s="157">
        <v>19.100000000000001</v>
      </c>
      <c r="P12" s="157">
        <v>60.6</v>
      </c>
    </row>
    <row r="13" spans="1:16" x14ac:dyDescent="0.2">
      <c r="F13" s="157">
        <v>10</v>
      </c>
      <c r="G13" s="157" t="s">
        <v>51</v>
      </c>
      <c r="H13" s="159">
        <v>0.08</v>
      </c>
      <c r="I13" s="157">
        <v>1.9</v>
      </c>
      <c r="J13" s="157">
        <v>12.65</v>
      </c>
      <c r="K13" s="157">
        <v>1.9</v>
      </c>
      <c r="L13" s="157">
        <v>12.65</v>
      </c>
      <c r="M13" s="157">
        <v>2</v>
      </c>
      <c r="N13" s="157">
        <v>12.6</v>
      </c>
      <c r="O13" s="157">
        <v>19.100000000000001</v>
      </c>
      <c r="P13" s="157">
        <v>72.8</v>
      </c>
    </row>
    <row r="14" spans="1:16" x14ac:dyDescent="0.2">
      <c r="A14" s="123"/>
      <c r="B14" s="123"/>
      <c r="C14" s="123"/>
      <c r="F14" s="157">
        <v>11</v>
      </c>
      <c r="G14" s="157" t="s">
        <v>373</v>
      </c>
      <c r="H14" s="158">
        <v>5.5E-2</v>
      </c>
      <c r="I14" s="157">
        <v>1.1000000000000001</v>
      </c>
      <c r="J14" s="157">
        <v>5.4</v>
      </c>
      <c r="K14" s="157">
        <v>1.1000000000000001</v>
      </c>
      <c r="L14" s="157">
        <v>5.4</v>
      </c>
      <c r="M14" s="157">
        <v>1.3</v>
      </c>
      <c r="N14" s="157">
        <v>4.9000000000000004</v>
      </c>
      <c r="O14" s="157">
        <v>11.9</v>
      </c>
      <c r="P14" s="157">
        <v>37.799999999999997</v>
      </c>
    </row>
    <row r="19" spans="4:15" x14ac:dyDescent="0.2">
      <c r="D19" s="155"/>
    </row>
    <row r="20" spans="4:15" x14ac:dyDescent="0.2">
      <c r="F20" s="157">
        <v>1</v>
      </c>
      <c r="G20" s="157" t="s">
        <v>35</v>
      </c>
      <c r="H20" s="157">
        <v>100</v>
      </c>
      <c r="J20" s="157">
        <v>1</v>
      </c>
      <c r="K20" s="158">
        <v>4.4999999999999998E-2</v>
      </c>
      <c r="N20" s="157">
        <v>1</v>
      </c>
      <c r="O20" s="157" t="s">
        <v>563</v>
      </c>
    </row>
    <row r="21" spans="4:15" x14ac:dyDescent="0.2">
      <c r="F21" s="157">
        <v>2</v>
      </c>
      <c r="G21" s="157" t="s">
        <v>36</v>
      </c>
      <c r="H21" s="157">
        <v>160</v>
      </c>
      <c r="J21" s="157">
        <v>2</v>
      </c>
      <c r="K21" s="158">
        <v>5.5E-2</v>
      </c>
      <c r="N21" s="157">
        <v>2</v>
      </c>
      <c r="O21" s="157" t="s">
        <v>596</v>
      </c>
    </row>
    <row r="22" spans="4:15" x14ac:dyDescent="0.2">
      <c r="F22" s="157">
        <v>3</v>
      </c>
      <c r="G22" s="157" t="s">
        <v>37</v>
      </c>
      <c r="H22" s="157">
        <v>250</v>
      </c>
      <c r="J22" s="157">
        <v>3</v>
      </c>
      <c r="K22" s="159">
        <v>0.08</v>
      </c>
    </row>
    <row r="23" spans="4:15" x14ac:dyDescent="0.2">
      <c r="F23" s="157">
        <v>4</v>
      </c>
      <c r="G23" s="157" t="s">
        <v>38</v>
      </c>
      <c r="H23" s="157">
        <v>400</v>
      </c>
    </row>
    <row r="24" spans="4:15" x14ac:dyDescent="0.2">
      <c r="F24" s="157">
        <v>5</v>
      </c>
      <c r="G24" s="157" t="s">
        <v>39</v>
      </c>
      <c r="H24" s="157">
        <v>630</v>
      </c>
    </row>
    <row r="25" spans="4:15" x14ac:dyDescent="0.2">
      <c r="F25" s="157">
        <v>6</v>
      </c>
      <c r="G25" s="157" t="s">
        <v>51</v>
      </c>
      <c r="H25" s="157">
        <v>1000</v>
      </c>
    </row>
    <row r="26" spans="4:15" x14ac:dyDescent="0.2">
      <c r="F26" s="157">
        <v>7</v>
      </c>
      <c r="G26" s="157" t="s">
        <v>373</v>
      </c>
      <c r="H26" s="157">
        <v>1600</v>
      </c>
    </row>
  </sheetData>
  <mergeCells count="6">
    <mergeCell ref="A1:C1"/>
    <mergeCell ref="F1:F2"/>
    <mergeCell ref="G1:G2"/>
    <mergeCell ref="H1:H2"/>
    <mergeCell ref="I1:L1"/>
    <mergeCell ref="M1:P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6680-BCB1-44CB-A601-471C0227000E}">
  <sheetPr codeName="Лист6"/>
  <dimension ref="A1:E59"/>
  <sheetViews>
    <sheetView tabSelected="1" topLeftCell="A28" workbookViewId="0">
      <selection activeCell="AD34" sqref="AD34"/>
    </sheetView>
  </sheetViews>
  <sheetFormatPr defaultRowHeight="12.75" x14ac:dyDescent="0.2"/>
  <cols>
    <col min="2" max="2" width="11" customWidth="1"/>
    <col min="3" max="3" width="9.5703125" customWidth="1"/>
    <col min="4" max="4" width="7.140625" customWidth="1"/>
    <col min="5" max="5" width="0" hidden="1" customWidth="1"/>
  </cols>
  <sheetData>
    <row r="1" spans="1:5" x14ac:dyDescent="0.2">
      <c r="A1">
        <v>1</v>
      </c>
      <c r="B1" s="252" t="s">
        <v>416</v>
      </c>
      <c r="C1" s="252"/>
      <c r="D1" s="252"/>
      <c r="E1" s="252"/>
    </row>
    <row r="2" spans="1:5" x14ac:dyDescent="0.2">
      <c r="A2">
        <v>2</v>
      </c>
      <c r="B2" s="2" t="s">
        <v>12</v>
      </c>
      <c r="C2" s="76">
        <v>50</v>
      </c>
    </row>
    <row r="3" spans="1:5" x14ac:dyDescent="0.2">
      <c r="A3">
        <v>3</v>
      </c>
      <c r="B3" s="2" t="s">
        <v>13</v>
      </c>
      <c r="C3" s="76">
        <v>105</v>
      </c>
    </row>
    <row r="4" spans="1:5" x14ac:dyDescent="0.2">
      <c r="A4">
        <v>4</v>
      </c>
      <c r="B4" s="2" t="s">
        <v>14</v>
      </c>
      <c r="C4" s="76">
        <v>136</v>
      </c>
    </row>
    <row r="5" spans="1:5" x14ac:dyDescent="0.2">
      <c r="A5">
        <v>5</v>
      </c>
      <c r="B5" s="2" t="s">
        <v>15</v>
      </c>
      <c r="C5" s="76">
        <v>170</v>
      </c>
    </row>
    <row r="6" spans="1:5" x14ac:dyDescent="0.2">
      <c r="A6">
        <v>6</v>
      </c>
      <c r="B6" s="2" t="s">
        <v>16</v>
      </c>
      <c r="C6" s="76">
        <v>215</v>
      </c>
    </row>
    <row r="7" spans="1:5" x14ac:dyDescent="0.2">
      <c r="A7">
        <v>7</v>
      </c>
      <c r="B7" s="2" t="s">
        <v>25</v>
      </c>
      <c r="C7" s="76">
        <v>430</v>
      </c>
    </row>
    <row r="8" spans="1:5" x14ac:dyDescent="0.2">
      <c r="A8">
        <v>8</v>
      </c>
      <c r="B8" s="2" t="s">
        <v>17</v>
      </c>
      <c r="C8" s="76">
        <v>265</v>
      </c>
    </row>
    <row r="9" spans="1:5" x14ac:dyDescent="0.2">
      <c r="A9">
        <v>9</v>
      </c>
      <c r="B9" s="2" t="s">
        <v>18</v>
      </c>
      <c r="C9" s="76">
        <v>320</v>
      </c>
    </row>
    <row r="10" spans="1:5" x14ac:dyDescent="0.2">
      <c r="A10">
        <v>10</v>
      </c>
      <c r="B10" s="2" t="s">
        <v>19</v>
      </c>
      <c r="C10" s="76">
        <v>375</v>
      </c>
    </row>
    <row r="11" spans="1:5" x14ac:dyDescent="0.2">
      <c r="A11">
        <v>11</v>
      </c>
      <c r="B11" s="2" t="s">
        <v>20</v>
      </c>
      <c r="C11" s="76">
        <v>440</v>
      </c>
    </row>
    <row r="12" spans="1:5" x14ac:dyDescent="0.2">
      <c r="A12">
        <v>12</v>
      </c>
      <c r="B12" s="2" t="s">
        <v>21</v>
      </c>
      <c r="C12" s="76">
        <v>500</v>
      </c>
    </row>
    <row r="13" spans="1:5" x14ac:dyDescent="0.2">
      <c r="A13">
        <v>13</v>
      </c>
      <c r="B13" s="2" t="s">
        <v>22</v>
      </c>
      <c r="C13" s="76">
        <v>590</v>
      </c>
    </row>
    <row r="14" spans="1:5" x14ac:dyDescent="0.2">
      <c r="A14">
        <v>14</v>
      </c>
      <c r="B14" s="2" t="s">
        <v>48</v>
      </c>
      <c r="C14" s="76">
        <v>84</v>
      </c>
    </row>
    <row r="15" spans="1:5" x14ac:dyDescent="0.2">
      <c r="A15">
        <v>15</v>
      </c>
      <c r="B15" s="2" t="s">
        <v>49</v>
      </c>
      <c r="C15" s="76">
        <v>111</v>
      </c>
      <c r="E15" s="2"/>
    </row>
    <row r="16" spans="1:5" x14ac:dyDescent="0.2">
      <c r="A16">
        <v>16</v>
      </c>
      <c r="B16" s="2" t="s">
        <v>3</v>
      </c>
      <c r="C16" s="76">
        <v>142</v>
      </c>
      <c r="E16" s="2"/>
    </row>
    <row r="17" spans="1:5" x14ac:dyDescent="0.2">
      <c r="A17">
        <v>17</v>
      </c>
      <c r="B17" s="2" t="s">
        <v>4</v>
      </c>
      <c r="C17" s="76">
        <v>175</v>
      </c>
      <c r="E17" s="2"/>
    </row>
    <row r="18" spans="1:5" x14ac:dyDescent="0.2">
      <c r="A18">
        <v>18</v>
      </c>
      <c r="B18" s="2" t="s">
        <v>5</v>
      </c>
      <c r="C18" s="76">
        <v>210</v>
      </c>
      <c r="E18" s="2"/>
    </row>
    <row r="19" spans="1:5" x14ac:dyDescent="0.2">
      <c r="A19">
        <v>19</v>
      </c>
      <c r="B19" s="2" t="s">
        <v>6</v>
      </c>
      <c r="C19" s="76">
        <v>265</v>
      </c>
      <c r="E19" s="2"/>
    </row>
    <row r="20" spans="1:5" x14ac:dyDescent="0.2">
      <c r="A20">
        <v>20</v>
      </c>
      <c r="B20" s="2" t="s">
        <v>7</v>
      </c>
      <c r="C20" s="76">
        <v>330</v>
      </c>
      <c r="E20" s="2"/>
    </row>
    <row r="21" spans="1:5" x14ac:dyDescent="0.2">
      <c r="A21">
        <v>21</v>
      </c>
      <c r="B21" s="2" t="s">
        <v>8</v>
      </c>
      <c r="C21" s="76">
        <v>390</v>
      </c>
      <c r="E21" s="2"/>
    </row>
    <row r="22" spans="1:5" x14ac:dyDescent="0.2">
      <c r="A22">
        <v>22</v>
      </c>
      <c r="B22" s="2" t="s">
        <v>9</v>
      </c>
      <c r="C22" s="76">
        <v>450</v>
      </c>
      <c r="E22" s="2"/>
    </row>
    <row r="23" spans="1:5" x14ac:dyDescent="0.2">
      <c r="A23">
        <v>23</v>
      </c>
      <c r="B23" s="2" t="s">
        <v>10</v>
      </c>
      <c r="C23" s="76">
        <v>515</v>
      </c>
      <c r="E23" s="2"/>
    </row>
    <row r="24" spans="1:5" x14ac:dyDescent="0.2">
      <c r="A24">
        <v>24</v>
      </c>
      <c r="B24" s="2" t="s">
        <v>24</v>
      </c>
      <c r="C24" s="76">
        <f>265*2</f>
        <v>530</v>
      </c>
      <c r="E24" s="2"/>
    </row>
    <row r="25" spans="1:5" x14ac:dyDescent="0.2">
      <c r="A25">
        <v>25</v>
      </c>
      <c r="B25" s="2" t="s">
        <v>11</v>
      </c>
      <c r="C25" s="76">
        <f>265*2.3</f>
        <v>609.5</v>
      </c>
      <c r="E25" s="2"/>
    </row>
    <row r="26" spans="1:5" x14ac:dyDescent="0.2">
      <c r="A26">
        <v>26</v>
      </c>
      <c r="B26" s="5" t="s">
        <v>379</v>
      </c>
      <c r="C26" s="76">
        <v>245</v>
      </c>
      <c r="E26" s="2"/>
    </row>
    <row r="27" spans="1:5" x14ac:dyDescent="0.2">
      <c r="A27">
        <v>27</v>
      </c>
      <c r="B27" s="5" t="s">
        <v>380</v>
      </c>
      <c r="C27" s="76">
        <v>310</v>
      </c>
    </row>
    <row r="28" spans="1:5" x14ac:dyDescent="0.2">
      <c r="A28">
        <v>28</v>
      </c>
      <c r="B28" s="5" t="s">
        <v>381</v>
      </c>
      <c r="C28" s="76">
        <v>370</v>
      </c>
    </row>
    <row r="29" spans="1:5" x14ac:dyDescent="0.2">
      <c r="A29">
        <v>29</v>
      </c>
      <c r="B29" s="5" t="s">
        <v>382</v>
      </c>
      <c r="C29" s="76">
        <v>430</v>
      </c>
    </row>
    <row r="30" spans="1:5" x14ac:dyDescent="0.2">
      <c r="A30">
        <v>30</v>
      </c>
      <c r="B30" s="5" t="s">
        <v>383</v>
      </c>
      <c r="C30" s="76">
        <v>485</v>
      </c>
    </row>
    <row r="31" spans="1:5" x14ac:dyDescent="0.2">
      <c r="B31" s="253" t="s">
        <v>415</v>
      </c>
      <c r="C31" s="253"/>
      <c r="D31" t="s">
        <v>417</v>
      </c>
    </row>
    <row r="32" spans="1:5" x14ac:dyDescent="0.2">
      <c r="A32">
        <v>1</v>
      </c>
      <c r="B32" s="2" t="s">
        <v>405</v>
      </c>
      <c r="C32" s="77">
        <v>81</v>
      </c>
    </row>
    <row r="33" spans="1:5" x14ac:dyDescent="0.2">
      <c r="A33">
        <v>2</v>
      </c>
      <c r="B33" s="2" t="s">
        <v>406</v>
      </c>
      <c r="C33" s="77">
        <v>107</v>
      </c>
    </row>
    <row r="34" spans="1:5" x14ac:dyDescent="0.2">
      <c r="A34">
        <v>3</v>
      </c>
      <c r="B34" s="2" t="s">
        <v>407</v>
      </c>
      <c r="C34" s="77">
        <v>131</v>
      </c>
    </row>
    <row r="35" spans="1:5" x14ac:dyDescent="0.2">
      <c r="A35">
        <v>4</v>
      </c>
      <c r="B35" s="2" t="s">
        <v>408</v>
      </c>
      <c r="C35" s="77">
        <v>164</v>
      </c>
    </row>
    <row r="36" spans="1:5" x14ac:dyDescent="0.2">
      <c r="A36">
        <v>5</v>
      </c>
      <c r="B36" s="2" t="s">
        <v>409</v>
      </c>
      <c r="C36" s="77">
        <v>210</v>
      </c>
    </row>
    <row r="37" spans="1:5" x14ac:dyDescent="0.2">
      <c r="A37">
        <v>6</v>
      </c>
      <c r="B37" s="2" t="s">
        <v>410</v>
      </c>
      <c r="C37" s="77">
        <v>254</v>
      </c>
    </row>
    <row r="38" spans="1:5" x14ac:dyDescent="0.2">
      <c r="A38">
        <v>7</v>
      </c>
      <c r="B38" s="2" t="s">
        <v>411</v>
      </c>
      <c r="C38" s="78">
        <v>299</v>
      </c>
      <c r="E38" s="20"/>
    </row>
    <row r="39" spans="1:5" x14ac:dyDescent="0.2">
      <c r="A39">
        <v>8</v>
      </c>
      <c r="B39" s="2" t="s">
        <v>412</v>
      </c>
      <c r="C39" s="77">
        <v>344</v>
      </c>
      <c r="D39" s="20"/>
    </row>
    <row r="40" spans="1:5" x14ac:dyDescent="0.2">
      <c r="A40">
        <v>9</v>
      </c>
      <c r="B40" s="2" t="s">
        <v>413</v>
      </c>
      <c r="C40" s="78">
        <v>392</v>
      </c>
    </row>
    <row r="41" spans="1:5" x14ac:dyDescent="0.2">
      <c r="A41">
        <v>10</v>
      </c>
      <c r="B41" s="2" t="s">
        <v>414</v>
      </c>
      <c r="C41" s="78">
        <v>464</v>
      </c>
    </row>
    <row r="42" spans="1:5" x14ac:dyDescent="0.2">
      <c r="A42">
        <v>11</v>
      </c>
      <c r="B42" s="2" t="s">
        <v>13</v>
      </c>
      <c r="C42" s="78">
        <v>62</v>
      </c>
    </row>
    <row r="43" spans="1:5" x14ac:dyDescent="0.2">
      <c r="A43">
        <v>12</v>
      </c>
      <c r="B43" s="2" t="s">
        <v>14</v>
      </c>
      <c r="C43" s="78">
        <v>81</v>
      </c>
    </row>
    <row r="44" spans="1:5" x14ac:dyDescent="0.2">
      <c r="A44">
        <v>13</v>
      </c>
      <c r="B44" s="2" t="s">
        <v>15</v>
      </c>
      <c r="C44" s="78">
        <v>101</v>
      </c>
    </row>
    <row r="45" spans="1:5" x14ac:dyDescent="0.2">
      <c r="A45">
        <v>14</v>
      </c>
      <c r="B45" s="2" t="s">
        <v>16</v>
      </c>
      <c r="C45" s="78">
        <v>126</v>
      </c>
    </row>
    <row r="46" spans="1:5" x14ac:dyDescent="0.2">
      <c r="A46">
        <v>15</v>
      </c>
      <c r="B46" s="2" t="s">
        <v>17</v>
      </c>
      <c r="C46" s="78">
        <v>155</v>
      </c>
    </row>
    <row r="47" spans="1:5" x14ac:dyDescent="0.2">
      <c r="A47">
        <v>16</v>
      </c>
      <c r="B47" s="2" t="s">
        <v>18</v>
      </c>
      <c r="C47" s="78">
        <v>189</v>
      </c>
    </row>
    <row r="48" spans="1:5" x14ac:dyDescent="0.2">
      <c r="A48">
        <v>17</v>
      </c>
      <c r="B48" s="2" t="s">
        <v>19</v>
      </c>
      <c r="C48" s="78">
        <v>219</v>
      </c>
    </row>
    <row r="49" spans="1:3" x14ac:dyDescent="0.2">
      <c r="A49">
        <v>18</v>
      </c>
      <c r="B49" s="2" t="s">
        <v>20</v>
      </c>
      <c r="C49" s="78">
        <v>254</v>
      </c>
    </row>
    <row r="50" spans="1:3" x14ac:dyDescent="0.2">
      <c r="A50">
        <v>19</v>
      </c>
      <c r="B50" s="2" t="s">
        <v>21</v>
      </c>
      <c r="C50" s="78">
        <v>291</v>
      </c>
    </row>
    <row r="51" spans="1:3" x14ac:dyDescent="0.2">
      <c r="A51">
        <v>20</v>
      </c>
      <c r="B51" s="2" t="s">
        <v>22</v>
      </c>
      <c r="C51" s="78">
        <v>343</v>
      </c>
    </row>
    <row r="52" spans="1:3" x14ac:dyDescent="0.2">
      <c r="B52" s="2"/>
    </row>
    <row r="53" spans="1:3" x14ac:dyDescent="0.2">
      <c r="B53" s="2"/>
    </row>
    <row r="54" spans="1:3" x14ac:dyDescent="0.2">
      <c r="B54" s="2"/>
    </row>
    <row r="55" spans="1:3" x14ac:dyDescent="0.2">
      <c r="B55" s="2"/>
    </row>
    <row r="56" spans="1:3" x14ac:dyDescent="0.2">
      <c r="B56" s="2"/>
    </row>
    <row r="57" spans="1:3" x14ac:dyDescent="0.2">
      <c r="B57" s="2"/>
    </row>
    <row r="58" spans="1:3" x14ac:dyDescent="0.2">
      <c r="B58" s="2"/>
    </row>
    <row r="59" spans="1:3" x14ac:dyDescent="0.2">
      <c r="B59" s="2"/>
    </row>
  </sheetData>
  <mergeCells count="2">
    <mergeCell ref="B1:E1"/>
    <mergeCell ref="B31:C31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C948-BD94-487A-955B-28FDB758389C}">
  <sheetPr codeName="Лист7"/>
  <dimension ref="A1:B4"/>
  <sheetViews>
    <sheetView tabSelected="1" workbookViewId="0">
      <selection activeCell="AD34" sqref="AD34"/>
    </sheetView>
  </sheetViews>
  <sheetFormatPr defaultRowHeight="12.75" x14ac:dyDescent="0.2"/>
  <cols>
    <col min="1" max="1" width="3.7109375" customWidth="1"/>
    <col min="2" max="2" width="15.140625" customWidth="1"/>
  </cols>
  <sheetData>
    <row r="1" spans="1:2" s="19" customFormat="1" ht="14.1" customHeight="1" x14ac:dyDescent="0.2">
      <c r="A1" s="19">
        <v>1</v>
      </c>
      <c r="B1" s="21" t="s">
        <v>398</v>
      </c>
    </row>
    <row r="2" spans="1:2" x14ac:dyDescent="0.2">
      <c r="A2" s="19">
        <v>2</v>
      </c>
      <c r="B2" s="21" t="s">
        <v>856</v>
      </c>
    </row>
    <row r="3" spans="1:2" x14ac:dyDescent="0.2">
      <c r="A3" s="19">
        <v>3</v>
      </c>
      <c r="B3" s="21" t="s">
        <v>785</v>
      </c>
    </row>
    <row r="4" spans="1:2" x14ac:dyDescent="0.2">
      <c r="A4" s="19"/>
      <c r="B4" s="21"/>
    </row>
  </sheetData>
  <phoneticPr fontId="4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063C-CDB4-4CD7-850A-C5399340D177}">
  <sheetPr codeName="Лист8"/>
  <dimension ref="A1:G13"/>
  <sheetViews>
    <sheetView tabSelected="1" workbookViewId="0">
      <selection activeCell="AD34" sqref="AD34"/>
    </sheetView>
  </sheetViews>
  <sheetFormatPr defaultRowHeight="12.75" x14ac:dyDescent="0.2"/>
  <cols>
    <col min="1" max="1" width="5.85546875" customWidth="1"/>
    <col min="2" max="2" width="14.5703125" style="1" customWidth="1"/>
    <col min="3" max="3" width="7.7109375" style="1" customWidth="1"/>
    <col min="4" max="4" width="9" style="1" customWidth="1"/>
    <col min="5" max="5" width="13.85546875" customWidth="1"/>
    <col min="6" max="6" width="11.140625" customWidth="1"/>
    <col min="7" max="7" width="20.85546875" customWidth="1"/>
    <col min="9" max="9" width="8.7109375" customWidth="1"/>
    <col min="10" max="10" width="2.28515625" customWidth="1"/>
  </cols>
  <sheetData>
    <row r="1" spans="1:7" x14ac:dyDescent="0.2">
      <c r="B1"/>
      <c r="C1" s="1" t="s">
        <v>40</v>
      </c>
      <c r="D1" s="1" t="s">
        <v>41</v>
      </c>
    </row>
    <row r="2" spans="1:7" x14ac:dyDescent="0.2">
      <c r="A2">
        <v>1</v>
      </c>
      <c r="B2" s="5" t="s">
        <v>42</v>
      </c>
      <c r="C2" s="1">
        <v>1.3</v>
      </c>
      <c r="D2" s="1">
        <v>3.5</v>
      </c>
      <c r="E2" t="s">
        <v>50</v>
      </c>
      <c r="F2" t="s">
        <v>371</v>
      </c>
    </row>
    <row r="3" spans="1:7" x14ac:dyDescent="0.2">
      <c r="A3">
        <v>2</v>
      </c>
      <c r="B3" s="5" t="s">
        <v>43</v>
      </c>
      <c r="C3" s="1">
        <v>1.6</v>
      </c>
      <c r="D3" s="1">
        <v>4.5</v>
      </c>
      <c r="E3" t="s">
        <v>597</v>
      </c>
      <c r="F3" t="s">
        <v>43</v>
      </c>
    </row>
    <row r="4" spans="1:7" x14ac:dyDescent="0.2">
      <c r="A4">
        <v>3</v>
      </c>
      <c r="B4" s="5" t="s">
        <v>44</v>
      </c>
      <c r="C4" s="1">
        <v>1.8</v>
      </c>
      <c r="D4" s="1">
        <v>1.5</v>
      </c>
      <c r="E4" t="s">
        <v>73</v>
      </c>
      <c r="F4" t="s">
        <v>371</v>
      </c>
    </row>
    <row r="5" spans="1:7" x14ac:dyDescent="0.2">
      <c r="A5">
        <v>4</v>
      </c>
      <c r="B5" s="5" t="s">
        <v>45</v>
      </c>
      <c r="C5" s="1">
        <v>1.5</v>
      </c>
      <c r="D5" s="1">
        <v>1.5</v>
      </c>
      <c r="E5" t="s">
        <v>74</v>
      </c>
      <c r="F5" t="s">
        <v>371</v>
      </c>
    </row>
    <row r="6" spans="1:7" x14ac:dyDescent="0.2">
      <c r="A6">
        <v>5</v>
      </c>
      <c r="B6" s="5" t="s">
        <v>47</v>
      </c>
      <c r="C6" s="1">
        <v>1.8</v>
      </c>
      <c r="D6" s="1">
        <v>1.5</v>
      </c>
      <c r="E6" t="s">
        <v>74</v>
      </c>
      <c r="F6" t="s">
        <v>43</v>
      </c>
    </row>
    <row r="7" spans="1:7" x14ac:dyDescent="0.2">
      <c r="A7">
        <v>6</v>
      </c>
      <c r="B7" s="5" t="s">
        <v>395</v>
      </c>
      <c r="C7" s="1">
        <v>1.1499999999999999</v>
      </c>
      <c r="D7" s="1">
        <v>3</v>
      </c>
      <c r="E7" t="s">
        <v>50</v>
      </c>
      <c r="F7" t="s">
        <v>372</v>
      </c>
      <c r="G7" s="19" t="s">
        <v>353</v>
      </c>
    </row>
    <row r="8" spans="1:7" x14ac:dyDescent="0.2">
      <c r="A8">
        <v>7</v>
      </c>
      <c r="B8" s="5" t="s">
        <v>386</v>
      </c>
      <c r="C8" s="1">
        <v>1.5</v>
      </c>
      <c r="D8" s="1">
        <v>3.5</v>
      </c>
      <c r="E8" t="s">
        <v>50</v>
      </c>
      <c r="F8" t="s">
        <v>371</v>
      </c>
      <c r="G8" s="19" t="s">
        <v>387</v>
      </c>
    </row>
    <row r="9" spans="1:7" x14ac:dyDescent="0.2">
      <c r="A9">
        <v>8</v>
      </c>
      <c r="B9" s="5" t="s">
        <v>396</v>
      </c>
      <c r="C9" s="1">
        <v>1.3</v>
      </c>
      <c r="D9" s="1">
        <v>3.5</v>
      </c>
      <c r="E9" t="s">
        <v>50</v>
      </c>
      <c r="F9" t="s">
        <v>372</v>
      </c>
      <c r="G9" s="19" t="s">
        <v>387</v>
      </c>
    </row>
    <row r="10" spans="1:7" x14ac:dyDescent="0.2">
      <c r="A10">
        <v>9</v>
      </c>
      <c r="B10" s="5" t="s">
        <v>397</v>
      </c>
      <c r="C10" s="1">
        <v>1.5</v>
      </c>
      <c r="D10" s="1">
        <v>1.4</v>
      </c>
      <c r="E10" t="s">
        <v>50</v>
      </c>
      <c r="F10" t="s">
        <v>372</v>
      </c>
      <c r="G10" s="19"/>
    </row>
    <row r="11" spans="1:7" x14ac:dyDescent="0.2">
      <c r="A11">
        <v>10</v>
      </c>
      <c r="B11" s="62" t="s">
        <v>361</v>
      </c>
      <c r="C11" s="1">
        <v>1.3</v>
      </c>
      <c r="D11" s="1">
        <v>1.2</v>
      </c>
      <c r="G11" s="19" t="s">
        <v>362</v>
      </c>
    </row>
    <row r="12" spans="1:7" x14ac:dyDescent="0.2">
      <c r="A12" s="19" t="s">
        <v>46</v>
      </c>
      <c r="B12"/>
      <c r="C12"/>
      <c r="D12"/>
    </row>
    <row r="13" spans="1:7" x14ac:dyDescent="0.2">
      <c r="A13" s="19" t="s">
        <v>46</v>
      </c>
      <c r="B13"/>
      <c r="C13"/>
      <c r="D13"/>
      <c r="G13" t="s">
        <v>23</v>
      </c>
    </row>
  </sheetData>
  <phoneticPr fontId="4" type="noConversion"/>
  <pageMargins left="0.75" right="0.75" top="1" bottom="1" header="0.5" footer="0.5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DA8C-A328-4C39-BA7A-587A721210D1}">
  <sheetPr codeName="Лист9"/>
  <dimension ref="A1:F43"/>
  <sheetViews>
    <sheetView tabSelected="1" workbookViewId="0">
      <selection activeCell="AD34" sqref="AD34"/>
    </sheetView>
  </sheetViews>
  <sheetFormatPr defaultRowHeight="12.75" x14ac:dyDescent="0.2"/>
  <cols>
    <col min="1" max="1" width="4.140625" style="1" customWidth="1"/>
    <col min="2" max="2" width="11.85546875" style="1" customWidth="1"/>
    <col min="3" max="3" width="6.5703125" style="1" customWidth="1"/>
    <col min="4" max="4" width="5.42578125" customWidth="1"/>
    <col min="5" max="5" width="6.5703125" customWidth="1"/>
  </cols>
  <sheetData>
    <row r="1" spans="1:6" x14ac:dyDescent="0.2">
      <c r="A1" s="17">
        <v>1</v>
      </c>
      <c r="B1" s="17" t="s">
        <v>52</v>
      </c>
      <c r="C1" s="17">
        <v>14.3</v>
      </c>
      <c r="F1" s="17">
        <v>125</v>
      </c>
    </row>
    <row r="2" spans="1:6" x14ac:dyDescent="0.2">
      <c r="A2" s="17">
        <v>2</v>
      </c>
      <c r="B2" s="17" t="s">
        <v>53</v>
      </c>
      <c r="C2" s="17">
        <v>18.350000000000001</v>
      </c>
      <c r="F2" s="17">
        <v>160</v>
      </c>
    </row>
    <row r="3" spans="1:6" x14ac:dyDescent="0.2">
      <c r="A3" s="17">
        <v>3</v>
      </c>
      <c r="B3" s="17" t="s">
        <v>54</v>
      </c>
      <c r="C3" s="1">
        <v>23</v>
      </c>
      <c r="D3" s="22">
        <v>23.7</v>
      </c>
      <c r="E3" s="1"/>
      <c r="F3" s="17">
        <v>200</v>
      </c>
    </row>
    <row r="4" spans="1:6" x14ac:dyDescent="0.2">
      <c r="A4" s="17">
        <v>4</v>
      </c>
      <c r="B4" s="17" t="s">
        <v>55</v>
      </c>
      <c r="C4" s="17">
        <v>30</v>
      </c>
      <c r="F4" s="17">
        <v>250</v>
      </c>
    </row>
    <row r="5" spans="1:6" x14ac:dyDescent="0.2">
      <c r="A5" s="17">
        <v>5</v>
      </c>
      <c r="B5" s="23" t="s">
        <v>71</v>
      </c>
      <c r="C5" s="23">
        <v>36</v>
      </c>
      <c r="F5" s="23">
        <v>300</v>
      </c>
    </row>
    <row r="6" spans="1:6" x14ac:dyDescent="0.2">
      <c r="A6" s="17">
        <v>6</v>
      </c>
      <c r="B6" s="23" t="s">
        <v>72</v>
      </c>
      <c r="C6" s="23">
        <v>36</v>
      </c>
      <c r="F6" s="23">
        <v>315</v>
      </c>
    </row>
    <row r="7" spans="1:6" x14ac:dyDescent="0.2">
      <c r="A7" s="17">
        <v>7</v>
      </c>
      <c r="B7" s="17" t="s">
        <v>56</v>
      </c>
      <c r="C7" s="17">
        <v>39</v>
      </c>
      <c r="F7" s="17">
        <v>320</v>
      </c>
    </row>
    <row r="8" spans="1:6" x14ac:dyDescent="0.2">
      <c r="A8" s="17">
        <v>8</v>
      </c>
      <c r="B8" s="17" t="s">
        <v>57</v>
      </c>
      <c r="C8" s="17">
        <v>46</v>
      </c>
      <c r="F8" s="17">
        <v>400</v>
      </c>
    </row>
    <row r="9" spans="1:6" x14ac:dyDescent="0.2">
      <c r="A9" s="17">
        <v>9</v>
      </c>
      <c r="B9" s="17" t="s">
        <v>58</v>
      </c>
      <c r="C9" s="17">
        <v>51.5</v>
      </c>
      <c r="F9" s="17">
        <v>450</v>
      </c>
    </row>
    <row r="10" spans="1:6" x14ac:dyDescent="0.2">
      <c r="A10" s="17">
        <v>10</v>
      </c>
      <c r="B10" s="17" t="s">
        <v>59</v>
      </c>
      <c r="C10" s="17">
        <v>56.5</v>
      </c>
      <c r="F10" s="17">
        <v>500</v>
      </c>
    </row>
    <row r="11" spans="1:6" x14ac:dyDescent="0.2">
      <c r="A11" s="17">
        <v>11</v>
      </c>
      <c r="B11" s="17" t="s">
        <v>70</v>
      </c>
      <c r="C11" s="17">
        <v>68</v>
      </c>
      <c r="F11" s="17">
        <v>560</v>
      </c>
    </row>
    <row r="12" spans="1:6" x14ac:dyDescent="0.2">
      <c r="A12" s="17">
        <v>12</v>
      </c>
      <c r="B12" s="17" t="s">
        <v>60</v>
      </c>
      <c r="C12" s="17">
        <v>72</v>
      </c>
      <c r="F12" s="17">
        <v>630</v>
      </c>
    </row>
    <row r="13" spans="1:6" x14ac:dyDescent="0.2">
      <c r="A13" s="17">
        <v>13</v>
      </c>
      <c r="B13" s="17" t="s">
        <v>69</v>
      </c>
      <c r="C13" s="17">
        <v>80</v>
      </c>
      <c r="F13" s="17">
        <v>710</v>
      </c>
    </row>
    <row r="14" spans="1:6" x14ac:dyDescent="0.2">
      <c r="A14" s="17">
        <v>14</v>
      </c>
      <c r="B14" s="17" t="s">
        <v>61</v>
      </c>
      <c r="C14" s="17">
        <v>90.7</v>
      </c>
      <c r="F14" s="17">
        <v>800</v>
      </c>
    </row>
    <row r="15" spans="1:6" x14ac:dyDescent="0.2">
      <c r="A15" s="17">
        <v>15</v>
      </c>
      <c r="B15" s="17" t="s">
        <v>62</v>
      </c>
      <c r="C15" s="17">
        <v>112</v>
      </c>
      <c r="F15" s="17">
        <v>1000</v>
      </c>
    </row>
    <row r="16" spans="1:6" x14ac:dyDescent="0.2">
      <c r="A16" s="17">
        <v>16</v>
      </c>
      <c r="B16" s="17" t="s">
        <v>63</v>
      </c>
      <c r="C16" s="17">
        <v>139</v>
      </c>
      <c r="F16" s="17">
        <v>1250</v>
      </c>
    </row>
    <row r="17" spans="1:6" x14ac:dyDescent="0.2">
      <c r="A17" s="17">
        <v>17</v>
      </c>
      <c r="B17" s="17" t="s">
        <v>64</v>
      </c>
      <c r="C17" s="17">
        <v>178</v>
      </c>
      <c r="F17" s="17">
        <v>1600</v>
      </c>
    </row>
    <row r="18" spans="1:6" x14ac:dyDescent="0.2">
      <c r="A18" s="17">
        <v>18</v>
      </c>
      <c r="B18" s="17" t="s">
        <v>65</v>
      </c>
      <c r="C18" s="17">
        <v>221</v>
      </c>
      <c r="F18" s="17">
        <v>2000</v>
      </c>
    </row>
    <row r="19" spans="1:6" x14ac:dyDescent="0.2">
      <c r="A19" s="17">
        <v>19</v>
      </c>
      <c r="B19" s="17" t="s">
        <v>66</v>
      </c>
      <c r="C19" s="17">
        <v>276</v>
      </c>
      <c r="F19" s="17">
        <v>2500</v>
      </c>
    </row>
    <row r="20" spans="1:6" x14ac:dyDescent="0.2">
      <c r="A20" s="17">
        <v>20</v>
      </c>
      <c r="B20" s="17" t="s">
        <v>67</v>
      </c>
      <c r="C20" s="17">
        <v>439</v>
      </c>
      <c r="F20" s="17">
        <v>4000</v>
      </c>
    </row>
    <row r="21" spans="1:6" x14ac:dyDescent="0.2">
      <c r="A21" s="17">
        <v>21</v>
      </c>
      <c r="B21" s="17" t="s">
        <v>68</v>
      </c>
      <c r="C21" s="17">
        <v>696</v>
      </c>
      <c r="F21" s="17">
        <v>6300</v>
      </c>
    </row>
    <row r="22" spans="1:6" x14ac:dyDescent="0.2">
      <c r="A22" s="17">
        <v>22</v>
      </c>
      <c r="C22" s="17"/>
    </row>
    <row r="23" spans="1:6" x14ac:dyDescent="0.2">
      <c r="A23" s="17">
        <v>23</v>
      </c>
      <c r="B23" s="17"/>
      <c r="C23" s="17"/>
    </row>
    <row r="24" spans="1:6" x14ac:dyDescent="0.2">
      <c r="A24" s="17">
        <v>24</v>
      </c>
    </row>
    <row r="25" spans="1:6" ht="14.25" customHeight="1" x14ac:dyDescent="0.2">
      <c r="A25" s="17">
        <v>25</v>
      </c>
    </row>
    <row r="26" spans="1:6" x14ac:dyDescent="0.2">
      <c r="A26" s="17">
        <v>26</v>
      </c>
    </row>
    <row r="27" spans="1:6" x14ac:dyDescent="0.2">
      <c r="A27" s="17">
        <v>27</v>
      </c>
    </row>
    <row r="28" spans="1:6" x14ac:dyDescent="0.2">
      <c r="A28" s="17"/>
    </row>
    <row r="29" spans="1:6" x14ac:dyDescent="0.2">
      <c r="A29" s="17"/>
    </row>
    <row r="30" spans="1:6" x14ac:dyDescent="0.2">
      <c r="A30" s="17"/>
    </row>
    <row r="31" spans="1:6" x14ac:dyDescent="0.2">
      <c r="A31" s="17"/>
    </row>
    <row r="32" spans="1:6" x14ac:dyDescent="0.2">
      <c r="A32" s="17"/>
    </row>
    <row r="33" spans="1:1" x14ac:dyDescent="0.2">
      <c r="A33" s="17"/>
    </row>
    <row r="34" spans="1:1" x14ac:dyDescent="0.2">
      <c r="A34" s="17"/>
    </row>
    <row r="35" spans="1:1" x14ac:dyDescent="0.2">
      <c r="A35" s="17"/>
    </row>
    <row r="36" spans="1:1" x14ac:dyDescent="0.2">
      <c r="A36" s="17"/>
    </row>
    <row r="37" spans="1:1" x14ac:dyDescent="0.2">
      <c r="A37" s="17"/>
    </row>
    <row r="38" spans="1:1" x14ac:dyDescent="0.2">
      <c r="A38" s="17"/>
    </row>
    <row r="39" spans="1:1" x14ac:dyDescent="0.2">
      <c r="A39" s="17"/>
    </row>
    <row r="40" spans="1:1" x14ac:dyDescent="0.2">
      <c r="A40" s="17"/>
    </row>
    <row r="41" spans="1:1" x14ac:dyDescent="0.2">
      <c r="A41" s="17"/>
    </row>
    <row r="42" spans="1:1" x14ac:dyDescent="0.2">
      <c r="A42" s="17"/>
    </row>
    <row r="43" spans="1:1" x14ac:dyDescent="0.2">
      <c r="A43" s="17"/>
    </row>
  </sheetData>
  <phoneticPr fontId="4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4536-1255-4465-A76D-CDD170155CFF}">
  <sheetPr codeName="Лист10"/>
  <dimension ref="A2:C11"/>
  <sheetViews>
    <sheetView tabSelected="1" workbookViewId="0">
      <selection activeCell="AD34" sqref="AD34"/>
    </sheetView>
  </sheetViews>
  <sheetFormatPr defaultRowHeight="12.75" x14ac:dyDescent="0.2"/>
  <cols>
    <col min="1" max="1" width="3.7109375" customWidth="1"/>
    <col min="3" max="3" width="18.28515625" customWidth="1"/>
  </cols>
  <sheetData>
    <row r="2" spans="1:3" x14ac:dyDescent="0.2">
      <c r="A2" s="62">
        <v>1</v>
      </c>
      <c r="B2" s="62" t="s">
        <v>363</v>
      </c>
      <c r="C2" t="s">
        <v>818</v>
      </c>
    </row>
    <row r="3" spans="1:3" x14ac:dyDescent="0.2">
      <c r="A3" s="62">
        <v>2</v>
      </c>
      <c r="B3" s="62" t="s">
        <v>819</v>
      </c>
      <c r="C3" t="s">
        <v>899</v>
      </c>
    </row>
    <row r="4" spans="1:3" x14ac:dyDescent="0.2">
      <c r="A4" s="62">
        <v>3</v>
      </c>
      <c r="B4" s="62" t="s">
        <v>364</v>
      </c>
      <c r="C4" t="s">
        <v>900</v>
      </c>
    </row>
    <row r="5" spans="1:3" x14ac:dyDescent="0.2">
      <c r="A5" s="62">
        <v>4</v>
      </c>
      <c r="B5" s="62" t="s">
        <v>365</v>
      </c>
      <c r="C5" t="s">
        <v>843</v>
      </c>
    </row>
    <row r="6" spans="1:3" x14ac:dyDescent="0.2">
      <c r="A6" s="62">
        <v>5</v>
      </c>
      <c r="B6" s="62" t="s">
        <v>366</v>
      </c>
      <c r="C6" t="s">
        <v>887</v>
      </c>
    </row>
    <row r="7" spans="1:3" x14ac:dyDescent="0.2">
      <c r="A7" s="62">
        <v>6</v>
      </c>
      <c r="B7" s="62" t="s">
        <v>820</v>
      </c>
      <c r="C7" t="s">
        <v>821</v>
      </c>
    </row>
    <row r="8" spans="1:3" x14ac:dyDescent="0.2">
      <c r="A8" s="62">
        <v>7</v>
      </c>
      <c r="B8" s="62" t="s">
        <v>367</v>
      </c>
      <c r="C8" t="s">
        <v>727</v>
      </c>
    </row>
    <row r="9" spans="1:3" x14ac:dyDescent="0.2">
      <c r="A9" s="62">
        <v>8</v>
      </c>
      <c r="B9" s="62" t="s">
        <v>368</v>
      </c>
      <c r="C9" t="s">
        <v>817</v>
      </c>
    </row>
    <row r="10" spans="1:3" x14ac:dyDescent="0.2">
      <c r="A10" s="62">
        <v>9</v>
      </c>
      <c r="B10" s="62" t="s">
        <v>369</v>
      </c>
      <c r="C10" t="s">
        <v>389</v>
      </c>
    </row>
    <row r="11" spans="1:3" x14ac:dyDescent="0.2">
      <c r="A11" s="62">
        <v>10</v>
      </c>
      <c r="B11" s="62" t="s">
        <v>370</v>
      </c>
    </row>
  </sheetData>
  <phoneticPr fontId="4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70D0-AF89-4FF1-8CD2-65FACDEBEF38}">
  <sheetPr codeName="Лист11"/>
  <dimension ref="B2:L32"/>
  <sheetViews>
    <sheetView tabSelected="1" topLeftCell="A13" workbookViewId="0">
      <selection activeCell="AD34" sqref="AD34"/>
    </sheetView>
  </sheetViews>
  <sheetFormatPr defaultRowHeight="12.75" x14ac:dyDescent="0.2"/>
  <cols>
    <col min="1" max="1" width="3.5703125" customWidth="1"/>
    <col min="5" max="5" width="7.140625" customWidth="1"/>
    <col min="6" max="6" width="6" customWidth="1"/>
    <col min="7" max="7" width="6.7109375" customWidth="1"/>
  </cols>
  <sheetData>
    <row r="2" spans="2:12" ht="13.5" thickBot="1" x14ac:dyDescent="0.25"/>
    <row r="3" spans="2:12" ht="12.75" customHeight="1" x14ac:dyDescent="0.2">
      <c r="B3" s="270" t="s">
        <v>434</v>
      </c>
      <c r="C3" s="269" t="s">
        <v>435</v>
      </c>
      <c r="D3" s="269"/>
      <c r="E3" s="258" t="s">
        <v>438</v>
      </c>
      <c r="F3" s="258"/>
      <c r="G3" s="258"/>
      <c r="H3" s="258"/>
      <c r="I3" s="260" t="s">
        <v>439</v>
      </c>
      <c r="J3" s="260"/>
      <c r="K3" s="263" t="s">
        <v>445</v>
      </c>
      <c r="L3" s="279" t="s">
        <v>446</v>
      </c>
    </row>
    <row r="4" spans="2:12" x14ac:dyDescent="0.2">
      <c r="B4" s="271"/>
      <c r="C4" s="256"/>
      <c r="D4" s="256"/>
      <c r="E4" s="259"/>
      <c r="F4" s="259"/>
      <c r="G4" s="259"/>
      <c r="H4" s="259"/>
      <c r="I4" s="261"/>
      <c r="J4" s="261"/>
      <c r="K4" s="264"/>
      <c r="L4" s="280"/>
    </row>
    <row r="5" spans="2:12" x14ac:dyDescent="0.2">
      <c r="B5" s="271"/>
      <c r="C5" s="254" t="s">
        <v>436</v>
      </c>
      <c r="D5" s="254" t="s">
        <v>437</v>
      </c>
      <c r="E5" s="256">
        <v>0.5</v>
      </c>
      <c r="F5" s="256">
        <v>1</v>
      </c>
      <c r="G5" s="256">
        <v>3</v>
      </c>
      <c r="H5" s="256">
        <v>10</v>
      </c>
      <c r="I5" s="261"/>
      <c r="J5" s="261"/>
      <c r="K5" s="264"/>
      <c r="L5" s="280"/>
    </row>
    <row r="6" spans="2:12" x14ac:dyDescent="0.2">
      <c r="B6" s="271"/>
      <c r="C6" s="254"/>
      <c r="D6" s="254"/>
      <c r="E6" s="256"/>
      <c r="F6" s="256"/>
      <c r="G6" s="256"/>
      <c r="H6" s="256"/>
      <c r="I6" s="261"/>
      <c r="J6" s="261"/>
      <c r="K6" s="264"/>
      <c r="L6" s="280"/>
    </row>
    <row r="7" spans="2:12" ht="13.5" thickBot="1" x14ac:dyDescent="0.25">
      <c r="B7" s="272"/>
      <c r="C7" s="255"/>
      <c r="D7" s="255"/>
      <c r="E7" s="257"/>
      <c r="F7" s="257"/>
      <c r="G7" s="257"/>
      <c r="H7" s="257"/>
      <c r="I7" s="262"/>
      <c r="J7" s="262"/>
      <c r="K7" s="265"/>
      <c r="L7" s="281"/>
    </row>
    <row r="8" spans="2:12" x14ac:dyDescent="0.2">
      <c r="B8" s="266" t="s">
        <v>440</v>
      </c>
      <c r="C8" s="98">
        <v>50</v>
      </c>
      <c r="D8" s="282">
        <v>5</v>
      </c>
      <c r="E8" s="269"/>
      <c r="F8" s="269"/>
      <c r="G8" s="269"/>
      <c r="H8" s="92">
        <v>10</v>
      </c>
      <c r="I8" s="273"/>
      <c r="J8" s="274"/>
      <c r="K8" s="282">
        <v>10</v>
      </c>
      <c r="L8" s="285">
        <v>4</v>
      </c>
    </row>
    <row r="9" spans="2:12" x14ac:dyDescent="0.2">
      <c r="B9" s="267"/>
      <c r="C9" s="15">
        <v>75</v>
      </c>
      <c r="D9" s="283"/>
      <c r="E9" s="256"/>
      <c r="F9" s="256"/>
      <c r="G9" s="256"/>
      <c r="H9" s="44">
        <v>20</v>
      </c>
      <c r="I9" s="275"/>
      <c r="J9" s="276"/>
      <c r="K9" s="283"/>
      <c r="L9" s="286"/>
    </row>
    <row r="10" spans="2:12" x14ac:dyDescent="0.2">
      <c r="B10" s="267"/>
      <c r="C10" s="15">
        <v>100</v>
      </c>
      <c r="D10" s="283"/>
      <c r="E10" s="256"/>
      <c r="F10" s="256"/>
      <c r="G10" s="256"/>
      <c r="H10" s="44">
        <v>20</v>
      </c>
      <c r="I10" s="275"/>
      <c r="J10" s="276"/>
      <c r="K10" s="283"/>
      <c r="L10" s="286"/>
    </row>
    <row r="11" spans="2:12" ht="13.5" thickBot="1" x14ac:dyDescent="0.25">
      <c r="B11" s="268"/>
      <c r="C11" s="99">
        <v>150</v>
      </c>
      <c r="D11" s="283"/>
      <c r="E11" s="257"/>
      <c r="F11" s="257"/>
      <c r="G11" s="257"/>
      <c r="H11" s="100">
        <v>30</v>
      </c>
      <c r="I11" s="277"/>
      <c r="J11" s="278"/>
      <c r="K11" s="283"/>
      <c r="L11" s="286"/>
    </row>
    <row r="12" spans="2:12" x14ac:dyDescent="0.2">
      <c r="B12" s="266" t="s">
        <v>441</v>
      </c>
      <c r="C12" s="96">
        <v>100</v>
      </c>
      <c r="D12" s="283"/>
      <c r="E12" s="269"/>
      <c r="F12" s="269"/>
      <c r="G12" s="101"/>
      <c r="H12" s="102">
        <v>20</v>
      </c>
      <c r="I12" s="273"/>
      <c r="J12" s="274"/>
      <c r="K12" s="283"/>
      <c r="L12" s="286"/>
    </row>
    <row r="13" spans="2:12" x14ac:dyDescent="0.2">
      <c r="B13" s="267"/>
      <c r="C13" s="38">
        <v>150</v>
      </c>
      <c r="D13" s="283"/>
      <c r="E13" s="256"/>
      <c r="F13" s="256"/>
      <c r="G13" s="90"/>
      <c r="H13" s="33">
        <v>30</v>
      </c>
      <c r="I13" s="275"/>
      <c r="J13" s="276"/>
      <c r="K13" s="283"/>
      <c r="L13" s="286"/>
    </row>
    <row r="14" spans="2:12" x14ac:dyDescent="0.2">
      <c r="B14" s="267"/>
      <c r="C14" s="38">
        <v>200</v>
      </c>
      <c r="D14" s="283"/>
      <c r="E14" s="256"/>
      <c r="F14" s="256"/>
      <c r="G14" s="90"/>
      <c r="H14" s="33">
        <v>40</v>
      </c>
      <c r="I14" s="275"/>
      <c r="J14" s="276"/>
      <c r="K14" s="283"/>
      <c r="L14" s="286"/>
    </row>
    <row r="15" spans="2:12" ht="13.5" thickBot="1" x14ac:dyDescent="0.25">
      <c r="B15" s="268"/>
      <c r="C15" s="99">
        <v>300</v>
      </c>
      <c r="D15" s="283"/>
      <c r="E15" s="257"/>
      <c r="F15" s="257"/>
      <c r="G15" s="95">
        <v>30</v>
      </c>
      <c r="H15" s="93"/>
      <c r="I15" s="277">
        <v>7</v>
      </c>
      <c r="J15" s="278"/>
      <c r="K15" s="283"/>
      <c r="L15" s="286"/>
    </row>
    <row r="16" spans="2:12" x14ac:dyDescent="0.2">
      <c r="B16" s="266" t="s">
        <v>442</v>
      </c>
      <c r="C16" s="96">
        <v>200</v>
      </c>
      <c r="D16" s="283"/>
      <c r="E16" s="269"/>
      <c r="F16" s="101"/>
      <c r="G16" s="101"/>
      <c r="H16" s="102">
        <v>40</v>
      </c>
      <c r="I16" s="273"/>
      <c r="J16" s="274"/>
      <c r="K16" s="283"/>
      <c r="L16" s="286"/>
    </row>
    <row r="17" spans="2:12" x14ac:dyDescent="0.2">
      <c r="B17" s="267"/>
      <c r="C17" s="38">
        <v>300</v>
      </c>
      <c r="D17" s="283"/>
      <c r="E17" s="256"/>
      <c r="F17" s="90"/>
      <c r="G17" s="90">
        <v>30</v>
      </c>
      <c r="H17" s="15"/>
      <c r="I17" s="275">
        <v>7</v>
      </c>
      <c r="J17" s="276"/>
      <c r="K17" s="283"/>
      <c r="L17" s="286"/>
    </row>
    <row r="18" spans="2:12" x14ac:dyDescent="0.2">
      <c r="B18" s="267"/>
      <c r="C18" s="38">
        <v>400</v>
      </c>
      <c r="D18" s="283"/>
      <c r="E18" s="256"/>
      <c r="F18" s="90"/>
      <c r="G18" s="90">
        <v>40</v>
      </c>
      <c r="H18" s="15"/>
      <c r="I18" s="275">
        <v>8</v>
      </c>
      <c r="J18" s="276"/>
      <c r="K18" s="283"/>
      <c r="L18" s="286"/>
    </row>
    <row r="19" spans="2:12" ht="13.5" thickBot="1" x14ac:dyDescent="0.25">
      <c r="B19" s="268"/>
      <c r="C19" s="99">
        <v>600</v>
      </c>
      <c r="D19" s="283"/>
      <c r="E19" s="257"/>
      <c r="F19" s="94">
        <v>30</v>
      </c>
      <c r="G19" s="94"/>
      <c r="H19" s="93"/>
      <c r="I19" s="277">
        <v>14</v>
      </c>
      <c r="J19" s="278"/>
      <c r="K19" s="284"/>
      <c r="L19" s="287"/>
    </row>
    <row r="20" spans="2:12" x14ac:dyDescent="0.2">
      <c r="B20" s="266" t="s">
        <v>442</v>
      </c>
      <c r="C20" s="96">
        <v>200</v>
      </c>
      <c r="D20" s="283"/>
      <c r="E20" s="101"/>
      <c r="F20" s="101">
        <v>30</v>
      </c>
      <c r="G20" s="269"/>
      <c r="H20" s="98"/>
      <c r="I20" s="273">
        <v>9</v>
      </c>
      <c r="J20" s="274"/>
      <c r="K20" s="282">
        <v>20</v>
      </c>
      <c r="L20" s="285">
        <v>3</v>
      </c>
    </row>
    <row r="21" spans="2:12" x14ac:dyDescent="0.2">
      <c r="B21" s="267"/>
      <c r="C21" s="38">
        <v>300</v>
      </c>
      <c r="D21" s="283"/>
      <c r="E21" s="90">
        <v>30</v>
      </c>
      <c r="F21" s="90"/>
      <c r="G21" s="256"/>
      <c r="H21" s="15"/>
      <c r="I21" s="275">
        <v>14</v>
      </c>
      <c r="J21" s="276"/>
      <c r="K21" s="283"/>
      <c r="L21" s="288"/>
    </row>
    <row r="22" spans="2:12" x14ac:dyDescent="0.2">
      <c r="B22" s="267"/>
      <c r="C22" s="38">
        <v>400</v>
      </c>
      <c r="D22" s="283"/>
      <c r="E22" s="90">
        <v>30</v>
      </c>
      <c r="F22" s="90"/>
      <c r="G22" s="256"/>
      <c r="H22" s="15"/>
      <c r="I22" s="275">
        <v>18</v>
      </c>
      <c r="J22" s="276"/>
      <c r="K22" s="283"/>
      <c r="L22" s="288"/>
    </row>
    <row r="23" spans="2:12" ht="13.5" thickBot="1" x14ac:dyDescent="0.25">
      <c r="B23" s="268"/>
      <c r="C23" s="99">
        <v>600</v>
      </c>
      <c r="D23" s="283"/>
      <c r="E23" s="94">
        <v>30</v>
      </c>
      <c r="F23" s="94"/>
      <c r="G23" s="257"/>
      <c r="H23" s="93"/>
      <c r="I23" s="277">
        <v>24</v>
      </c>
      <c r="J23" s="278"/>
      <c r="K23" s="284"/>
      <c r="L23" s="289"/>
    </row>
    <row r="24" spans="2:12" x14ac:dyDescent="0.2">
      <c r="B24" s="266" t="s">
        <v>443</v>
      </c>
      <c r="C24" s="96">
        <v>600</v>
      </c>
      <c r="D24" s="283"/>
      <c r="E24" s="97">
        <v>30</v>
      </c>
      <c r="F24" s="269"/>
      <c r="G24" s="269"/>
      <c r="H24" s="98"/>
      <c r="I24" s="273">
        <v>27</v>
      </c>
      <c r="J24" s="274"/>
      <c r="K24" s="282">
        <v>20</v>
      </c>
      <c r="L24" s="285">
        <v>3</v>
      </c>
    </row>
    <row r="25" spans="2:12" x14ac:dyDescent="0.2">
      <c r="B25" s="267"/>
      <c r="C25" s="38">
        <v>800</v>
      </c>
      <c r="D25" s="283"/>
      <c r="E25" s="91">
        <v>30</v>
      </c>
      <c r="F25" s="256"/>
      <c r="G25" s="256"/>
      <c r="H25" s="15"/>
      <c r="I25" s="275">
        <v>25</v>
      </c>
      <c r="J25" s="276"/>
      <c r="K25" s="283"/>
      <c r="L25" s="288"/>
    </row>
    <row r="26" spans="2:12" x14ac:dyDescent="0.2">
      <c r="B26" s="267"/>
      <c r="C26" s="38">
        <v>1000</v>
      </c>
      <c r="D26" s="283"/>
      <c r="E26" s="91">
        <v>30</v>
      </c>
      <c r="F26" s="256"/>
      <c r="G26" s="256"/>
      <c r="H26" s="15"/>
      <c r="I26" s="275">
        <v>20</v>
      </c>
      <c r="J26" s="276"/>
      <c r="K26" s="283"/>
      <c r="L26" s="288"/>
    </row>
    <row r="27" spans="2:12" ht="13.5" thickBot="1" x14ac:dyDescent="0.25">
      <c r="B27" s="268"/>
      <c r="C27" s="99">
        <v>1200</v>
      </c>
      <c r="D27" s="283"/>
      <c r="E27" s="103">
        <v>30</v>
      </c>
      <c r="F27" s="257"/>
      <c r="G27" s="257"/>
      <c r="H27" s="93"/>
      <c r="I27" s="277">
        <v>16</v>
      </c>
      <c r="J27" s="278"/>
      <c r="K27" s="283"/>
      <c r="L27" s="288"/>
    </row>
    <row r="28" spans="2:12" x14ac:dyDescent="0.2">
      <c r="B28" s="266" t="s">
        <v>444</v>
      </c>
      <c r="C28" s="96">
        <v>600</v>
      </c>
      <c r="D28" s="283"/>
      <c r="E28" s="97">
        <v>30</v>
      </c>
      <c r="F28" s="269"/>
      <c r="G28" s="269"/>
      <c r="H28" s="98"/>
      <c r="I28" s="273">
        <v>27</v>
      </c>
      <c r="J28" s="274"/>
      <c r="K28" s="283"/>
      <c r="L28" s="288"/>
    </row>
    <row r="29" spans="2:12" x14ac:dyDescent="0.2">
      <c r="B29" s="267"/>
      <c r="C29" s="38">
        <v>750</v>
      </c>
      <c r="D29" s="283"/>
      <c r="E29" s="91">
        <v>30</v>
      </c>
      <c r="F29" s="256"/>
      <c r="G29" s="256"/>
      <c r="H29" s="15"/>
      <c r="I29" s="275">
        <v>26</v>
      </c>
      <c r="J29" s="276"/>
      <c r="K29" s="283"/>
      <c r="L29" s="288"/>
    </row>
    <row r="30" spans="2:12" x14ac:dyDescent="0.2">
      <c r="B30" s="267"/>
      <c r="C30" s="38">
        <v>1000</v>
      </c>
      <c r="D30" s="283"/>
      <c r="E30" s="91">
        <v>30</v>
      </c>
      <c r="F30" s="256"/>
      <c r="G30" s="256"/>
      <c r="H30" s="15"/>
      <c r="I30" s="275">
        <v>20</v>
      </c>
      <c r="J30" s="276"/>
      <c r="K30" s="283"/>
      <c r="L30" s="288"/>
    </row>
    <row r="31" spans="2:12" x14ac:dyDescent="0.2">
      <c r="B31" s="267"/>
      <c r="C31" s="38">
        <v>1500</v>
      </c>
      <c r="D31" s="283"/>
      <c r="E31" s="91">
        <v>30</v>
      </c>
      <c r="F31" s="256"/>
      <c r="G31" s="256"/>
      <c r="H31" s="15"/>
      <c r="I31" s="275">
        <v>15</v>
      </c>
      <c r="J31" s="276"/>
      <c r="K31" s="283"/>
      <c r="L31" s="288"/>
    </row>
    <row r="32" spans="2:12" ht="13.5" thickBot="1" x14ac:dyDescent="0.25">
      <c r="B32" s="268"/>
      <c r="C32" s="93"/>
      <c r="D32" s="284"/>
      <c r="E32" s="94"/>
      <c r="F32" s="257"/>
      <c r="G32" s="257"/>
      <c r="H32" s="93"/>
      <c r="I32" s="277"/>
      <c r="J32" s="278"/>
      <c r="K32" s="284"/>
      <c r="L32" s="289"/>
    </row>
  </sheetData>
  <mergeCells count="61">
    <mergeCell ref="L3:L7"/>
    <mergeCell ref="I32:J32"/>
    <mergeCell ref="D8:D32"/>
    <mergeCell ref="K8:K19"/>
    <mergeCell ref="K20:K23"/>
    <mergeCell ref="K24:K32"/>
    <mergeCell ref="L8:L19"/>
    <mergeCell ref="L20:L23"/>
    <mergeCell ref="L24:L32"/>
    <mergeCell ref="I26:J26"/>
    <mergeCell ref="I27:J27"/>
    <mergeCell ref="I28:J28"/>
    <mergeCell ref="I29:J29"/>
    <mergeCell ref="I30:J30"/>
    <mergeCell ref="I31:J31"/>
    <mergeCell ref="I20:J20"/>
    <mergeCell ref="I21:J21"/>
    <mergeCell ref="I22:J22"/>
    <mergeCell ref="I23:J23"/>
    <mergeCell ref="I24:J24"/>
    <mergeCell ref="I25:J25"/>
    <mergeCell ref="I14:J14"/>
    <mergeCell ref="I15:J15"/>
    <mergeCell ref="I16:J16"/>
    <mergeCell ref="I17:J17"/>
    <mergeCell ref="I18:J18"/>
    <mergeCell ref="I19:J19"/>
    <mergeCell ref="I8:J8"/>
    <mergeCell ref="I9:J9"/>
    <mergeCell ref="I10:J10"/>
    <mergeCell ref="I11:J11"/>
    <mergeCell ref="I12:J12"/>
    <mergeCell ref="I13:J13"/>
    <mergeCell ref="F24:F27"/>
    <mergeCell ref="F28:F32"/>
    <mergeCell ref="G8:G11"/>
    <mergeCell ref="G20:G23"/>
    <mergeCell ref="G24:G27"/>
    <mergeCell ref="G28:G32"/>
    <mergeCell ref="B20:B23"/>
    <mergeCell ref="B24:B27"/>
    <mergeCell ref="B28:B32"/>
    <mergeCell ref="E8:E11"/>
    <mergeCell ref="E12:E15"/>
    <mergeCell ref="E16:E19"/>
    <mergeCell ref="I3:J7"/>
    <mergeCell ref="K3:K7"/>
    <mergeCell ref="B8:B11"/>
    <mergeCell ref="B12:B15"/>
    <mergeCell ref="B16:B19"/>
    <mergeCell ref="F8:F11"/>
    <mergeCell ref="F12:F15"/>
    <mergeCell ref="B3:B7"/>
    <mergeCell ref="C3:D4"/>
    <mergeCell ref="C5:C7"/>
    <mergeCell ref="D5:D7"/>
    <mergeCell ref="E5:E7"/>
    <mergeCell ref="F5:F7"/>
    <mergeCell ref="E3:H4"/>
    <mergeCell ref="G5:G7"/>
    <mergeCell ref="H5:H7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8D1A-404C-4220-BD1E-353B721C8A2B}">
  <sheetPr codeName="Лист12"/>
  <dimension ref="A1:G12"/>
  <sheetViews>
    <sheetView tabSelected="1" workbookViewId="0">
      <selection activeCell="AD34" sqref="AD34"/>
    </sheetView>
  </sheetViews>
  <sheetFormatPr defaultRowHeight="12.75" x14ac:dyDescent="0.2"/>
  <cols>
    <col min="1" max="1" width="5.28515625" style="2" customWidth="1"/>
    <col min="2" max="2" width="14.140625" style="2" customWidth="1"/>
    <col min="3" max="16384" width="9.140625" style="2"/>
  </cols>
  <sheetData>
    <row r="1" spans="1:7" ht="15.75" x14ac:dyDescent="0.2">
      <c r="A1" s="156" t="s">
        <v>560</v>
      </c>
      <c r="B1" s="156" t="s">
        <v>568</v>
      </c>
      <c r="C1" s="156" t="s">
        <v>569</v>
      </c>
      <c r="D1" s="156" t="s">
        <v>570</v>
      </c>
      <c r="E1" s="156" t="s">
        <v>571</v>
      </c>
      <c r="F1" s="156" t="s">
        <v>566</v>
      </c>
      <c r="G1" s="156" t="s">
        <v>567</v>
      </c>
    </row>
    <row r="2" spans="1:7" x14ac:dyDescent="0.2">
      <c r="A2" s="156">
        <v>1</v>
      </c>
      <c r="B2" s="156" t="s">
        <v>572</v>
      </c>
      <c r="C2" s="156">
        <v>1250</v>
      </c>
      <c r="D2" s="109">
        <v>3.4000000000000002E-2</v>
      </c>
      <c r="E2" s="109">
        <v>1.6E-2</v>
      </c>
      <c r="F2" s="109">
        <v>5.3999999999999999E-2</v>
      </c>
      <c r="G2" s="109">
        <v>5.2999999999999999E-2</v>
      </c>
    </row>
    <row r="3" spans="1:7" x14ac:dyDescent="0.2">
      <c r="A3" s="156">
        <v>2</v>
      </c>
      <c r="B3" s="156" t="s">
        <v>573</v>
      </c>
      <c r="C3" s="156">
        <v>1600</v>
      </c>
      <c r="D3" s="109">
        <v>0.03</v>
      </c>
      <c r="E3" s="109">
        <v>1.4E-2</v>
      </c>
      <c r="F3" s="109">
        <v>3.6999999999999998E-2</v>
      </c>
      <c r="G3" s="109">
        <v>4.2000000000000003E-2</v>
      </c>
    </row>
    <row r="4" spans="1:7" x14ac:dyDescent="0.2">
      <c r="A4" s="156">
        <v>3</v>
      </c>
      <c r="B4" s="156" t="s">
        <v>574</v>
      </c>
      <c r="C4" s="156">
        <v>3200</v>
      </c>
      <c r="D4" s="109">
        <v>0.01</v>
      </c>
      <c r="E4" s="109">
        <v>5.0000000000000001E-3</v>
      </c>
      <c r="F4" s="109">
        <v>6.4000000000000001E-2</v>
      </c>
      <c r="G4" s="109">
        <v>3.5000000000000003E-2</v>
      </c>
    </row>
    <row r="5" spans="1:7" x14ac:dyDescent="0.2">
      <c r="A5" s="156">
        <v>4</v>
      </c>
      <c r="B5" s="156" t="s">
        <v>575</v>
      </c>
      <c r="C5" s="156">
        <v>2500</v>
      </c>
      <c r="D5" s="109">
        <v>0.02</v>
      </c>
      <c r="E5" s="109">
        <v>0.02</v>
      </c>
      <c r="F5" s="109">
        <v>7.0000000000000007E-2</v>
      </c>
      <c r="G5" s="109">
        <v>4.4999999999999998E-2</v>
      </c>
    </row>
    <row r="6" spans="1:7" x14ac:dyDescent="0.2">
      <c r="A6" s="156">
        <v>5</v>
      </c>
      <c r="B6" s="156" t="s">
        <v>576</v>
      </c>
      <c r="C6" s="156">
        <v>4000</v>
      </c>
      <c r="D6" s="109">
        <v>1.2999999999999999E-2</v>
      </c>
      <c r="E6" s="109">
        <v>1.4999999999999999E-2</v>
      </c>
      <c r="F6" s="109">
        <v>7.0000000000000007E-2</v>
      </c>
      <c r="G6" s="109">
        <v>4.4999999999999998E-2</v>
      </c>
    </row>
    <row r="7" spans="1:7" x14ac:dyDescent="0.2">
      <c r="A7" s="156">
        <v>6</v>
      </c>
      <c r="B7" s="156" t="s">
        <v>577</v>
      </c>
      <c r="C7" s="156">
        <v>250</v>
      </c>
      <c r="D7" s="109">
        <v>0.21</v>
      </c>
      <c r="E7" s="109">
        <v>0.21</v>
      </c>
      <c r="F7" s="109">
        <v>0.12</v>
      </c>
      <c r="G7" s="109">
        <v>0.21</v>
      </c>
    </row>
    <row r="8" spans="1:7" x14ac:dyDescent="0.2">
      <c r="A8" s="156">
        <v>7</v>
      </c>
      <c r="B8" s="156" t="s">
        <v>578</v>
      </c>
      <c r="C8" s="156">
        <v>400</v>
      </c>
      <c r="D8" s="109">
        <v>0.15</v>
      </c>
      <c r="E8" s="109">
        <v>0.17</v>
      </c>
      <c r="F8" s="109">
        <v>0.16200000000000001</v>
      </c>
      <c r="G8" s="109">
        <v>0.16400000000000001</v>
      </c>
    </row>
    <row r="9" spans="1:7" x14ac:dyDescent="0.2">
      <c r="A9" s="156">
        <v>8</v>
      </c>
      <c r="B9" s="156" t="s">
        <v>579</v>
      </c>
      <c r="C9" s="156">
        <v>630</v>
      </c>
      <c r="D9" s="109">
        <v>0.1</v>
      </c>
      <c r="E9" s="109">
        <v>0.13</v>
      </c>
      <c r="F9" s="109">
        <v>0.16200000000000001</v>
      </c>
      <c r="G9" s="109">
        <v>0.16400000000000001</v>
      </c>
    </row>
    <row r="10" spans="1:7" x14ac:dyDescent="0.2">
      <c r="A10" s="156">
        <v>9</v>
      </c>
      <c r="B10" s="156" t="s">
        <v>580</v>
      </c>
      <c r="C10" s="156" t="str">
        <f>"---"</f>
        <v>---</v>
      </c>
      <c r="D10" s="109">
        <v>2.4E-2</v>
      </c>
      <c r="E10" s="109">
        <v>0.11700000000000001</v>
      </c>
      <c r="F10" s="109">
        <v>0.20100000000000001</v>
      </c>
      <c r="G10" s="109">
        <v>0.57199999999999995</v>
      </c>
    </row>
    <row r="11" spans="1:7" x14ac:dyDescent="0.2">
      <c r="A11" s="156">
        <v>10</v>
      </c>
      <c r="B11" s="156" t="s">
        <v>581</v>
      </c>
      <c r="C11" s="156" t="str">
        <f>"---"</f>
        <v>---</v>
      </c>
      <c r="D11" s="156">
        <v>2.5499999999999998E-2</v>
      </c>
      <c r="E11" s="109">
        <v>0.12</v>
      </c>
      <c r="F11" s="109">
        <v>0.21099999999999999</v>
      </c>
      <c r="G11" s="109">
        <v>0.53500000000000003</v>
      </c>
    </row>
    <row r="12" spans="1:7" x14ac:dyDescent="0.2">
      <c r="A12" s="156">
        <v>11</v>
      </c>
      <c r="B12" s="156"/>
      <c r="C12" s="156"/>
      <c r="D12" s="156" t="str">
        <f>"---"</f>
        <v>---</v>
      </c>
      <c r="E12" s="156" t="str">
        <f>"---"</f>
        <v>---</v>
      </c>
      <c r="F12" s="156" t="str">
        <f>"---"</f>
        <v>---</v>
      </c>
      <c r="G12" s="156" t="str">
        <f>"---"</f>
        <v>---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DE35-7328-4EA5-8411-7B3098D70ED4}">
  <sheetPr codeName="Лист13"/>
  <dimension ref="A1:D12"/>
  <sheetViews>
    <sheetView tabSelected="1" workbookViewId="0">
      <selection activeCell="AD34" sqref="AD34"/>
    </sheetView>
  </sheetViews>
  <sheetFormatPr defaultRowHeight="12.75" x14ac:dyDescent="0.2"/>
  <sheetData>
    <row r="1" spans="1:4" x14ac:dyDescent="0.2">
      <c r="A1" s="15" t="s">
        <v>560</v>
      </c>
      <c r="B1" s="15" t="s">
        <v>584</v>
      </c>
      <c r="C1" s="15" t="s">
        <v>582</v>
      </c>
      <c r="D1" s="15" t="s">
        <v>583</v>
      </c>
    </row>
    <row r="2" spans="1:4" x14ac:dyDescent="0.2">
      <c r="A2" s="15">
        <v>1</v>
      </c>
      <c r="B2" s="15" t="s">
        <v>585</v>
      </c>
      <c r="C2" s="15">
        <v>7</v>
      </c>
      <c r="D2" s="15">
        <v>4.5</v>
      </c>
    </row>
    <row r="3" spans="1:4" x14ac:dyDescent="0.2">
      <c r="A3" s="15">
        <v>2</v>
      </c>
      <c r="B3" s="15" t="s">
        <v>586</v>
      </c>
      <c r="C3" s="15">
        <v>3.5</v>
      </c>
      <c r="D3" s="15">
        <v>2</v>
      </c>
    </row>
    <row r="4" spans="1:4" x14ac:dyDescent="0.2">
      <c r="A4" s="15">
        <v>3</v>
      </c>
      <c r="B4" s="15" t="s">
        <v>587</v>
      </c>
      <c r="C4" s="15">
        <v>2.15</v>
      </c>
      <c r="D4" s="15">
        <v>1.2</v>
      </c>
    </row>
    <row r="5" spans="1:4" x14ac:dyDescent="0.2">
      <c r="A5" s="15">
        <v>4</v>
      </c>
      <c r="B5" s="15" t="s">
        <v>588</v>
      </c>
      <c r="C5" s="15">
        <v>1.3</v>
      </c>
      <c r="D5" s="15">
        <v>0.7</v>
      </c>
    </row>
    <row r="6" spans="1:4" x14ac:dyDescent="0.2">
      <c r="A6" s="15">
        <v>5</v>
      </c>
      <c r="B6" s="15" t="s">
        <v>589</v>
      </c>
      <c r="C6" s="15">
        <v>1.1000000000000001</v>
      </c>
      <c r="D6" s="15">
        <v>0.5</v>
      </c>
    </row>
    <row r="7" spans="1:4" x14ac:dyDescent="0.2">
      <c r="A7" s="15">
        <v>6</v>
      </c>
      <c r="B7" s="15" t="s">
        <v>590</v>
      </c>
      <c r="C7" s="15">
        <v>0.65</v>
      </c>
      <c r="D7" s="15">
        <v>0.17</v>
      </c>
    </row>
    <row r="8" spans="1:4" x14ac:dyDescent="0.2">
      <c r="A8" s="15">
        <v>7</v>
      </c>
      <c r="B8" s="15" t="s">
        <v>591</v>
      </c>
      <c r="C8" s="15">
        <v>0.41</v>
      </c>
      <c r="D8" s="15">
        <v>0.13</v>
      </c>
    </row>
    <row r="9" spans="1:4" x14ac:dyDescent="0.2">
      <c r="A9" s="15">
        <v>8</v>
      </c>
      <c r="B9" s="15" t="s">
        <v>592</v>
      </c>
      <c r="C9" s="15">
        <v>0.25</v>
      </c>
      <c r="D9" s="15">
        <v>0.1</v>
      </c>
    </row>
    <row r="10" spans="1:4" x14ac:dyDescent="0.2">
      <c r="A10" s="15">
        <v>9</v>
      </c>
      <c r="B10" s="15" t="s">
        <v>593</v>
      </c>
      <c r="C10" s="15">
        <v>0.14000000000000001</v>
      </c>
      <c r="D10" s="15">
        <v>0.08</v>
      </c>
    </row>
    <row r="11" spans="1:4" x14ac:dyDescent="0.2">
      <c r="A11" s="15">
        <v>10</v>
      </c>
      <c r="B11" s="15" t="s">
        <v>594</v>
      </c>
      <c r="C11" s="15">
        <v>0.13</v>
      </c>
      <c r="D11" s="15">
        <v>7.0000000000000007E-2</v>
      </c>
    </row>
    <row r="12" spans="1:4" x14ac:dyDescent="0.2">
      <c r="A12" s="15">
        <v>11</v>
      </c>
      <c r="B12" s="15" t="s">
        <v>595</v>
      </c>
      <c r="C12" s="15">
        <v>0.1</v>
      </c>
      <c r="D12" s="1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Провода</vt:lpstr>
      <vt:lpstr>Кабели</vt:lpstr>
      <vt:lpstr>Реактансы и письма</vt:lpstr>
      <vt:lpstr>Реактансы</vt:lpstr>
      <vt:lpstr>Трансформаторы</vt:lpstr>
      <vt:lpstr>Длительно доп.ток</vt:lpstr>
      <vt:lpstr>Расчет провел</vt:lpstr>
      <vt:lpstr>Реле</vt:lpstr>
      <vt:lpstr>Двигатели</vt:lpstr>
      <vt:lpstr>СР</vt:lpstr>
      <vt:lpstr>Параметры Т.Т.</vt:lpstr>
      <vt:lpstr>Шинопровод</vt:lpstr>
      <vt:lpstr>Автоматы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Kudinov</dc:creator>
  <cp:lastModifiedBy>Александр Набиоков</cp:lastModifiedBy>
  <cp:lastPrinted>2024-01-09T09:01:15Z</cp:lastPrinted>
  <dcterms:created xsi:type="dcterms:W3CDTF">2006-09-21T04:48:07Z</dcterms:created>
  <dcterms:modified xsi:type="dcterms:W3CDTF">2026-03-31T11:45:44Z</dcterms:modified>
</cp:coreProperties>
</file>