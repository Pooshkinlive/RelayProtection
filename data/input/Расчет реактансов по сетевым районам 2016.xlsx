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E:\AI Projects\RelayProtection\rza_calculator\data\input\"/>
    </mc:Choice>
  </mc:AlternateContent>
  <xr:revisionPtr revIDLastSave="0" documentId="13_ncr:1_{8EA76C96-9BDA-4D31-A0F7-B5C545D06E74}" xr6:coauthVersionLast="47" xr6:coauthVersionMax="47" xr10:uidLastSave="{00000000-0000-0000-0000-000000000000}"/>
  <bookViews>
    <workbookView xWindow="0" yWindow="3900" windowWidth="38400" windowHeight="15345" tabRatio="881" activeTab="12" xr2:uid="{19650E00-1E6D-49C7-BB94-F9735AB3B21D}"/>
  </bookViews>
  <sheets>
    <sheet name="Мартыновская" sheetId="37" r:id="rId1"/>
    <sheet name="СР1" sheetId="1" r:id="rId2"/>
    <sheet name="СР1 (М=Черногор)" sheetId="36" r:id="rId3"/>
    <sheet name="СР2" sheetId="3" r:id="rId4"/>
    <sheet name="СР1(1)" sheetId="6" r:id="rId5"/>
    <sheet name="СР4" sheetId="2" r:id="rId6"/>
    <sheet name="СР5" sheetId="7" r:id="rId7"/>
    <sheet name="СР6 сущ.схема" sheetId="28" r:id="rId8"/>
    <sheet name="СР6 перевод на Баграс" sheetId="8" r:id="rId9"/>
    <sheet name="СР7" sheetId="9" r:id="rId10"/>
    <sheet name="СР8" sheetId="10" r:id="rId11"/>
    <sheet name="СР9 " sheetId="33" r:id="rId12"/>
    <sheet name="СР10" sheetId="34" r:id="rId13"/>
    <sheet name="СР3" sheetId="15" r:id="rId14"/>
    <sheet name="Аригольская" sheetId="5" r:id="rId15"/>
    <sheet name="Чистинное" sheetId="26" r:id="rId16"/>
    <sheet name="СР1(РУ)" sheetId="17" r:id="rId17"/>
    <sheet name="СР2(РУ)" sheetId="18" r:id="rId18"/>
    <sheet name="СР3(РУ)" sheetId="19" r:id="rId19"/>
    <sheet name="СР4(РУ)" sheetId="20" r:id="rId20"/>
    <sheet name="СР5(РУ)" sheetId="21" r:id="rId21"/>
    <sheet name="СР6(РУ) сущ.схема" sheetId="29" r:id="rId22"/>
    <sheet name="СР6(РУ) перевод на Баграс" sheetId="25" r:id="rId23"/>
    <sheet name="СР7(РУ)" sheetId="22" r:id="rId24"/>
    <sheet name="СР8(РУ)" sheetId="24" r:id="rId25"/>
    <sheet name="СР 9 (РУ)" sheetId="35" r:id="rId26"/>
    <sheet name="СР10(РУ)" sheetId="31" r:id="rId27"/>
    <sheet name="СР11(РУ)" sheetId="23" r:id="rId28"/>
    <sheet name="Чистинное(РУ)" sheetId="30" r:id="rId29"/>
  </sheets>
  <externalReferences>
    <externalReference r:id="rId3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26" l="1"/>
  <c r="P16" i="26"/>
  <c r="P17" i="26"/>
  <c r="O15" i="26"/>
  <c r="O16" i="26"/>
  <c r="O17" i="26"/>
  <c r="P14" i="26"/>
  <c r="O14" i="26"/>
  <c r="Q12" i="35"/>
  <c r="P12" i="35"/>
  <c r="Q11" i="35"/>
  <c r="P11" i="35"/>
  <c r="Q19" i="15"/>
  <c r="Q18" i="15"/>
  <c r="P19" i="15"/>
  <c r="P18" i="15"/>
  <c r="R18" i="15"/>
  <c r="T18" i="15"/>
  <c r="AD17" i="26"/>
  <c r="N17" i="26"/>
  <c r="M17" i="26"/>
  <c r="AD16" i="26"/>
  <c r="N16" i="26"/>
  <c r="M16" i="26"/>
  <c r="AD15" i="26"/>
  <c r="N15" i="26"/>
  <c r="M15" i="26"/>
  <c r="AD14" i="26"/>
  <c r="N14" i="26"/>
  <c r="M14" i="26"/>
  <c r="AE26" i="15"/>
  <c r="Q26" i="15"/>
  <c r="P26" i="15"/>
  <c r="AE25" i="15"/>
  <c r="Q25" i="15"/>
  <c r="P25" i="15"/>
  <c r="AE24" i="15"/>
  <c r="Q24" i="15"/>
  <c r="P24" i="15"/>
  <c r="AE23" i="15"/>
  <c r="Q23" i="15"/>
  <c r="P23" i="15"/>
  <c r="AE22" i="15"/>
  <c r="Q22" i="15"/>
  <c r="P22" i="15"/>
  <c r="AE21" i="15"/>
  <c r="Q21" i="15"/>
  <c r="P21" i="15"/>
  <c r="AE20" i="15"/>
  <c r="Q20" i="15"/>
  <c r="P20" i="15"/>
  <c r="AE19" i="15"/>
  <c r="AE18" i="15"/>
  <c r="P56" i="19"/>
  <c r="O56" i="19"/>
  <c r="P55" i="19"/>
  <c r="O55" i="19"/>
  <c r="H51" i="8"/>
  <c r="T51" i="8"/>
  <c r="H50" i="8"/>
  <c r="T50" i="8"/>
  <c r="H48" i="8"/>
  <c r="H17" i="8"/>
  <c r="G52" i="8"/>
  <c r="G51" i="8"/>
  <c r="G48" i="8"/>
  <c r="S48" i="8"/>
  <c r="G22" i="8"/>
  <c r="G11" i="8"/>
  <c r="G12" i="8"/>
  <c r="H57" i="28"/>
  <c r="H55" i="28"/>
  <c r="H21" i="28"/>
  <c r="G58" i="28"/>
  <c r="G22" i="28"/>
  <c r="G18" i="28"/>
  <c r="G21" i="28"/>
  <c r="G11" i="28"/>
  <c r="H21" i="6"/>
  <c r="G21" i="6"/>
  <c r="H16" i="6"/>
  <c r="H14" i="6"/>
  <c r="G16" i="6"/>
  <c r="G14" i="6"/>
  <c r="G12" i="6"/>
  <c r="G7" i="6"/>
  <c r="H49" i="3"/>
  <c r="H25" i="3"/>
  <c r="H20" i="3"/>
  <c r="H15" i="37"/>
  <c r="H21" i="8"/>
  <c r="G50" i="3"/>
  <c r="G26" i="3"/>
  <c r="H15" i="1"/>
  <c r="G37" i="1"/>
  <c r="H16" i="1"/>
  <c r="H38" i="37"/>
  <c r="H16" i="37"/>
  <c r="H12" i="6"/>
  <c r="G16" i="37"/>
  <c r="G18" i="8"/>
  <c r="G15" i="37"/>
  <c r="G19" i="3"/>
  <c r="H48" i="3"/>
  <c r="H40" i="3"/>
  <c r="H36" i="3"/>
  <c r="H34" i="3"/>
  <c r="H12" i="3"/>
  <c r="G48" i="3"/>
  <c r="G40" i="3"/>
  <c r="G36" i="3"/>
  <c r="G30" i="3"/>
  <c r="G35" i="3"/>
  <c r="G29" i="3"/>
  <c r="H18" i="3"/>
  <c r="H16" i="3"/>
  <c r="G15" i="3"/>
  <c r="G12" i="3"/>
  <c r="H6" i="3"/>
  <c r="H54" i="3"/>
  <c r="H5" i="3"/>
  <c r="G5" i="3"/>
  <c r="G47" i="3"/>
  <c r="H6" i="8"/>
  <c r="H26" i="28"/>
  <c r="H5" i="8"/>
  <c r="H25" i="6"/>
  <c r="G5" i="8"/>
  <c r="G6" i="8"/>
  <c r="G6" i="3"/>
  <c r="G16" i="3"/>
  <c r="H30" i="28"/>
  <c r="AH30" i="28"/>
  <c r="H18" i="29"/>
  <c r="G40" i="28"/>
  <c r="G38" i="28"/>
  <c r="G36" i="28"/>
  <c r="G34" i="28"/>
  <c r="G32" i="28"/>
  <c r="G30" i="28"/>
  <c r="G28" i="28"/>
  <c r="G26" i="28"/>
  <c r="G24" i="28"/>
  <c r="H39" i="28"/>
  <c r="H37" i="28"/>
  <c r="R37" i="28"/>
  <c r="H35" i="28"/>
  <c r="H33" i="28"/>
  <c r="H29" i="28"/>
  <c r="H27" i="28"/>
  <c r="H25" i="28"/>
  <c r="H23" i="28"/>
  <c r="G35" i="28"/>
  <c r="G31" i="28"/>
  <c r="G27" i="28"/>
  <c r="H27" i="6"/>
  <c r="H23" i="6"/>
  <c r="G28" i="6"/>
  <c r="G26" i="6"/>
  <c r="G24" i="6"/>
  <c r="G27" i="6"/>
  <c r="H47" i="1"/>
  <c r="G48" i="1"/>
  <c r="H47" i="37"/>
  <c r="G48" i="37"/>
  <c r="G47" i="37"/>
  <c r="H39" i="8"/>
  <c r="G40" i="8"/>
  <c r="H35" i="8"/>
  <c r="G36" i="8"/>
  <c r="G30" i="8"/>
  <c r="H30" i="8"/>
  <c r="H29" i="8"/>
  <c r="H27" i="8"/>
  <c r="G29" i="8"/>
  <c r="G28" i="8"/>
  <c r="H25" i="8"/>
  <c r="G26" i="8"/>
  <c r="H19" i="8"/>
  <c r="G20" i="8"/>
  <c r="G19" i="8"/>
  <c r="H15" i="8"/>
  <c r="G16" i="8"/>
  <c r="H13" i="8"/>
  <c r="G14" i="8"/>
  <c r="H21" i="7"/>
  <c r="G21" i="7"/>
  <c r="G47" i="7"/>
  <c r="G75" i="7"/>
  <c r="G73" i="7"/>
  <c r="G71" i="7"/>
  <c r="G63" i="7"/>
  <c r="H23" i="7"/>
  <c r="AG23" i="7"/>
  <c r="AM23" i="7"/>
  <c r="G55" i="7"/>
  <c r="G53" i="7"/>
  <c r="AH53" i="7"/>
  <c r="G49" i="7"/>
  <c r="G24" i="7"/>
  <c r="G23" i="7"/>
  <c r="G22" i="7"/>
  <c r="G50" i="7"/>
  <c r="G76" i="7"/>
  <c r="AD67" i="8"/>
  <c r="N67" i="8"/>
  <c r="M67" i="8"/>
  <c r="P67" i="8"/>
  <c r="R67" i="8"/>
  <c r="AD66" i="8"/>
  <c r="N66" i="8"/>
  <c r="M66" i="8"/>
  <c r="AD65" i="8"/>
  <c r="AD64" i="8"/>
  <c r="AD12" i="26"/>
  <c r="AD11" i="26"/>
  <c r="N11" i="26"/>
  <c r="N12" i="26"/>
  <c r="M11" i="26"/>
  <c r="M12" i="26"/>
  <c r="N12" i="30"/>
  <c r="N11" i="30"/>
  <c r="M11" i="30"/>
  <c r="M7" i="30"/>
  <c r="M8" i="30"/>
  <c r="M9" i="30"/>
  <c r="M10" i="30"/>
  <c r="M12" i="30"/>
  <c r="N10" i="30"/>
  <c r="AB10" i="34"/>
  <c r="AB13" i="34"/>
  <c r="AD10" i="26"/>
  <c r="AD9" i="26"/>
  <c r="AD8" i="26"/>
  <c r="AD7" i="26"/>
  <c r="AD6" i="26"/>
  <c r="AD5" i="26"/>
  <c r="N49" i="2"/>
  <c r="O48" i="2"/>
  <c r="O47" i="2"/>
  <c r="N48" i="2"/>
  <c r="N47" i="2"/>
  <c r="AC58" i="2"/>
  <c r="O58" i="2"/>
  <c r="N58" i="2"/>
  <c r="AC57" i="2"/>
  <c r="O57" i="2"/>
  <c r="N57" i="2"/>
  <c r="AC56" i="2"/>
  <c r="AD56" i="2"/>
  <c r="O56" i="2"/>
  <c r="N56" i="2"/>
  <c r="AC55" i="2"/>
  <c r="O55" i="2"/>
  <c r="N55" i="2"/>
  <c r="AC54" i="2"/>
  <c r="O54" i="2"/>
  <c r="N54" i="2"/>
  <c r="AC53" i="2"/>
  <c r="O53" i="2"/>
  <c r="N53" i="2"/>
  <c r="AC52" i="2"/>
  <c r="O52" i="2"/>
  <c r="N52" i="2"/>
  <c r="AC51" i="2"/>
  <c r="O51" i="2"/>
  <c r="N51" i="2"/>
  <c r="AC50" i="2"/>
  <c r="O50" i="2"/>
  <c r="N50" i="2"/>
  <c r="AC49" i="2"/>
  <c r="O49" i="2"/>
  <c r="AC48" i="2"/>
  <c r="AC47" i="2"/>
  <c r="P6" i="37"/>
  <c r="Q6" i="37"/>
  <c r="R6" i="37"/>
  <c r="T6" i="37"/>
  <c r="P5" i="37"/>
  <c r="AE48" i="37"/>
  <c r="Q48" i="37"/>
  <c r="P48" i="37"/>
  <c r="AE47" i="37"/>
  <c r="Q47" i="37"/>
  <c r="P47" i="37"/>
  <c r="AE46" i="37"/>
  <c r="Q46" i="37"/>
  <c r="P46" i="37"/>
  <c r="AE45" i="37"/>
  <c r="Q45" i="37"/>
  <c r="P45" i="37"/>
  <c r="AE44" i="37"/>
  <c r="Q44" i="37"/>
  <c r="P44" i="37"/>
  <c r="AE43" i="37"/>
  <c r="Q43" i="37"/>
  <c r="P43" i="37"/>
  <c r="AE42" i="37"/>
  <c r="Q42" i="37"/>
  <c r="P42" i="37"/>
  <c r="AG42" i="37"/>
  <c r="AE41" i="37"/>
  <c r="Q41" i="37"/>
  <c r="P41" i="37"/>
  <c r="AE40" i="37"/>
  <c r="Q40" i="37"/>
  <c r="P40" i="37"/>
  <c r="AE39" i="37"/>
  <c r="Q39" i="37"/>
  <c r="P39" i="37"/>
  <c r="AF39" i="37"/>
  <c r="AE38" i="37"/>
  <c r="Q38" i="37"/>
  <c r="P38" i="37"/>
  <c r="AE37" i="37"/>
  <c r="Q37" i="37"/>
  <c r="P37" i="37"/>
  <c r="AI36" i="37"/>
  <c r="AO36" i="37"/>
  <c r="AE36" i="37"/>
  <c r="AH36" i="37"/>
  <c r="AN36" i="37"/>
  <c r="Q36" i="37"/>
  <c r="P36" i="37"/>
  <c r="S36" i="37"/>
  <c r="AE35" i="37"/>
  <c r="Q35" i="37"/>
  <c r="P35" i="37"/>
  <c r="AE34" i="37"/>
  <c r="Q34" i="37"/>
  <c r="P34" i="37"/>
  <c r="R34" i="37"/>
  <c r="AE33" i="37"/>
  <c r="Q33" i="37"/>
  <c r="P33" i="37"/>
  <c r="AE32" i="37"/>
  <c r="Q32" i="37"/>
  <c r="AI32" i="37"/>
  <c r="AO32" i="37"/>
  <c r="P32" i="37"/>
  <c r="AE31" i="37"/>
  <c r="Q31" i="37"/>
  <c r="P31" i="37"/>
  <c r="AE30" i="37"/>
  <c r="Q30" i="37"/>
  <c r="P30" i="37"/>
  <c r="AE29" i="37"/>
  <c r="Q29" i="37"/>
  <c r="P29" i="37"/>
  <c r="AE28" i="37"/>
  <c r="Q28" i="37"/>
  <c r="P28" i="37"/>
  <c r="AH28" i="37"/>
  <c r="AN28" i="37"/>
  <c r="AE27" i="37"/>
  <c r="Q27" i="37"/>
  <c r="P27" i="37"/>
  <c r="AE26" i="37"/>
  <c r="Q26" i="37"/>
  <c r="AJ26" i="37"/>
  <c r="P26" i="37"/>
  <c r="AE25" i="37"/>
  <c r="Q25" i="37"/>
  <c r="P25" i="37"/>
  <c r="AE24" i="37"/>
  <c r="AG24" i="37"/>
  <c r="Q24" i="37"/>
  <c r="P24" i="37"/>
  <c r="AE23" i="37"/>
  <c r="AH23" i="37"/>
  <c r="Q23" i="37"/>
  <c r="P23" i="37"/>
  <c r="AN23" i="37"/>
  <c r="AE22" i="37"/>
  <c r="Q22" i="37"/>
  <c r="P22" i="37"/>
  <c r="AE21" i="37"/>
  <c r="Q21" i="37"/>
  <c r="P21" i="37"/>
  <c r="AE20" i="37"/>
  <c r="Q20" i="37"/>
  <c r="S20" i="37"/>
  <c r="P20" i="37"/>
  <c r="AE19" i="37"/>
  <c r="AH19" i="37"/>
  <c r="AN19" i="37"/>
  <c r="Q19" i="37"/>
  <c r="P19" i="37"/>
  <c r="AE18" i="37"/>
  <c r="Q18" i="37"/>
  <c r="P18" i="37"/>
  <c r="AE17" i="37"/>
  <c r="Q17" i="37"/>
  <c r="AH17" i="37"/>
  <c r="AN17" i="37"/>
  <c r="P17" i="37"/>
  <c r="AE16" i="37"/>
  <c r="Q16" i="37"/>
  <c r="P16" i="37"/>
  <c r="AE15" i="37"/>
  <c r="Q15" i="37"/>
  <c r="U15" i="37"/>
  <c r="P15" i="37"/>
  <c r="AE14" i="37"/>
  <c r="Q14" i="37"/>
  <c r="P14" i="37"/>
  <c r="AE13" i="37"/>
  <c r="Q13" i="37"/>
  <c r="P13" i="37"/>
  <c r="AE12" i="37"/>
  <c r="Q12" i="37"/>
  <c r="P12" i="37"/>
  <c r="T12" i="37"/>
  <c r="AE11" i="37"/>
  <c r="Q11" i="37"/>
  <c r="P11" i="37"/>
  <c r="U11" i="37"/>
  <c r="AE10" i="37"/>
  <c r="Q10" i="37"/>
  <c r="AJ10" i="37"/>
  <c r="P10" i="37"/>
  <c r="AE9" i="37"/>
  <c r="Q9" i="37"/>
  <c r="T9" i="37"/>
  <c r="P9" i="37"/>
  <c r="S9" i="37"/>
  <c r="AE8" i="37"/>
  <c r="Q8" i="37"/>
  <c r="P8" i="37"/>
  <c r="AE7" i="37"/>
  <c r="Q7" i="37"/>
  <c r="P7" i="37"/>
  <c r="AE6" i="37"/>
  <c r="AE5" i="37"/>
  <c r="Q5" i="37"/>
  <c r="AD9" i="33"/>
  <c r="P9" i="33"/>
  <c r="O9" i="33"/>
  <c r="AD8" i="33"/>
  <c r="P8" i="33"/>
  <c r="R8" i="33"/>
  <c r="T8" i="33"/>
  <c r="O8" i="33"/>
  <c r="AD48" i="28"/>
  <c r="P48" i="28"/>
  <c r="O48" i="28"/>
  <c r="AD47" i="28"/>
  <c r="P47" i="28"/>
  <c r="O47" i="28"/>
  <c r="AD46" i="28"/>
  <c r="P46" i="28"/>
  <c r="AG46" i="28"/>
  <c r="AM46" i="28"/>
  <c r="O46" i="28"/>
  <c r="R46" i="28"/>
  <c r="AD45" i="28"/>
  <c r="P45" i="28"/>
  <c r="O45" i="28"/>
  <c r="R45" i="28"/>
  <c r="AD44" i="28"/>
  <c r="P44" i="28"/>
  <c r="O44" i="28"/>
  <c r="AD43" i="28"/>
  <c r="P43" i="28"/>
  <c r="S43" i="28"/>
  <c r="O43" i="28"/>
  <c r="AD42" i="28"/>
  <c r="P42" i="28"/>
  <c r="O42" i="28"/>
  <c r="AD41" i="28"/>
  <c r="P41" i="28"/>
  <c r="O41" i="28"/>
  <c r="AD22" i="9"/>
  <c r="P22" i="9"/>
  <c r="AI22" i="9"/>
  <c r="O22" i="9"/>
  <c r="AD21" i="9"/>
  <c r="P21" i="9"/>
  <c r="O21" i="9"/>
  <c r="P54" i="19"/>
  <c r="O54" i="19"/>
  <c r="P53" i="19"/>
  <c r="O53" i="19"/>
  <c r="O10" i="19"/>
  <c r="AC76" i="3"/>
  <c r="O76" i="3"/>
  <c r="N76" i="3"/>
  <c r="AC75" i="3"/>
  <c r="O75" i="3"/>
  <c r="N75" i="3"/>
  <c r="AC74" i="3"/>
  <c r="O74" i="3"/>
  <c r="N74" i="3"/>
  <c r="AC73" i="3"/>
  <c r="O73" i="3"/>
  <c r="N73" i="3"/>
  <c r="AC72" i="3"/>
  <c r="O72" i="3"/>
  <c r="N72" i="3"/>
  <c r="AC71" i="3"/>
  <c r="O71" i="3"/>
  <c r="N71" i="3"/>
  <c r="AE71" i="3"/>
  <c r="AC70" i="3"/>
  <c r="O70" i="3"/>
  <c r="N70" i="3"/>
  <c r="AC69" i="3"/>
  <c r="O69" i="3"/>
  <c r="S69" i="3"/>
  <c r="N69" i="3"/>
  <c r="AC68" i="3"/>
  <c r="O68" i="3"/>
  <c r="N68" i="3"/>
  <c r="AC67" i="3"/>
  <c r="O67" i="3"/>
  <c r="N67" i="3"/>
  <c r="N60" i="3"/>
  <c r="AC63" i="3"/>
  <c r="O63" i="3"/>
  <c r="N63" i="3"/>
  <c r="AC62" i="3"/>
  <c r="O62" i="3"/>
  <c r="N62" i="3"/>
  <c r="AC61" i="3"/>
  <c r="O61" i="3"/>
  <c r="N61" i="3"/>
  <c r="AC60" i="3"/>
  <c r="O60" i="3"/>
  <c r="N28" i="17"/>
  <c r="M28" i="17"/>
  <c r="N27" i="17"/>
  <c r="M27" i="17"/>
  <c r="N26" i="17"/>
  <c r="M26" i="17"/>
  <c r="N25" i="17"/>
  <c r="O25" i="17"/>
  <c r="M25" i="17"/>
  <c r="AD8" i="36"/>
  <c r="S8" i="36"/>
  <c r="R8" i="36"/>
  <c r="Q8" i="36"/>
  <c r="AD7" i="36"/>
  <c r="S7" i="36"/>
  <c r="R7" i="36"/>
  <c r="Q7" i="36"/>
  <c r="P5" i="15"/>
  <c r="Q8" i="35"/>
  <c r="P8" i="35"/>
  <c r="Q7" i="35"/>
  <c r="P7" i="35"/>
  <c r="R7" i="35"/>
  <c r="T7" i="35"/>
  <c r="Q6" i="35"/>
  <c r="Q5" i="35"/>
  <c r="P6" i="35"/>
  <c r="P5" i="35"/>
  <c r="AD20" i="9"/>
  <c r="P20" i="9"/>
  <c r="O20" i="9"/>
  <c r="AD19" i="9"/>
  <c r="P19" i="9"/>
  <c r="O19" i="9"/>
  <c r="Q10" i="31"/>
  <c r="Q9" i="31"/>
  <c r="P10" i="31"/>
  <c r="P9" i="31"/>
  <c r="AS27" i="34"/>
  <c r="AR27" i="34"/>
  <c r="AS26" i="34"/>
  <c r="AR26" i="34"/>
  <c r="AS23" i="34"/>
  <c r="AR23" i="34"/>
  <c r="AS22" i="34"/>
  <c r="AR22" i="34"/>
  <c r="AP24" i="34"/>
  <c r="AQ27" i="34"/>
  <c r="AP27" i="34"/>
  <c r="AO27" i="34"/>
  <c r="AQ26" i="34"/>
  <c r="AP26" i="34"/>
  <c r="AO26" i="34"/>
  <c r="AQ25" i="34"/>
  <c r="AP25" i="34"/>
  <c r="AO25" i="34"/>
  <c r="AQ24" i="34"/>
  <c r="AO24" i="34"/>
  <c r="AQ23" i="34"/>
  <c r="AP23" i="34"/>
  <c r="AO23" i="34"/>
  <c r="AQ22" i="34"/>
  <c r="AP22" i="34"/>
  <c r="AO22" i="34"/>
  <c r="AQ21" i="34"/>
  <c r="AP21" i="34"/>
  <c r="AS21" i="34"/>
  <c r="AO21" i="34"/>
  <c r="AQ20" i="34"/>
  <c r="AP20" i="34"/>
  <c r="AO20" i="34"/>
  <c r="AQ19" i="34"/>
  <c r="AP19" i="34"/>
  <c r="AO19" i="34"/>
  <c r="AQ18" i="34"/>
  <c r="AP18" i="34"/>
  <c r="AO18" i="34"/>
  <c r="AQ17" i="34"/>
  <c r="AP17" i="34"/>
  <c r="AO17" i="34"/>
  <c r="AQ16" i="34"/>
  <c r="AP16" i="34"/>
  <c r="AO16" i="34"/>
  <c r="AQ14" i="34"/>
  <c r="AP14" i="34"/>
  <c r="AO14" i="34"/>
  <c r="AQ13" i="34"/>
  <c r="AP13" i="34"/>
  <c r="AO13" i="34"/>
  <c r="AQ11" i="34"/>
  <c r="AP11" i="34"/>
  <c r="AO11" i="34"/>
  <c r="AQ10" i="34"/>
  <c r="AP10" i="34"/>
  <c r="AO10" i="34"/>
  <c r="AD5" i="33"/>
  <c r="P5" i="33"/>
  <c r="O5" i="33"/>
  <c r="O20" i="34"/>
  <c r="M16" i="34"/>
  <c r="N16" i="34"/>
  <c r="O16" i="34"/>
  <c r="AB16" i="34"/>
  <c r="M17" i="34"/>
  <c r="N17" i="34"/>
  <c r="O17" i="34"/>
  <c r="AB17" i="34"/>
  <c r="M18" i="34"/>
  <c r="N18" i="34"/>
  <c r="T18" i="34"/>
  <c r="O18" i="34"/>
  <c r="AB18" i="34"/>
  <c r="M19" i="34"/>
  <c r="N19" i="34"/>
  <c r="T19" i="34"/>
  <c r="O19" i="34"/>
  <c r="AB19" i="34"/>
  <c r="M20" i="34"/>
  <c r="N20" i="34"/>
  <c r="T20" i="34"/>
  <c r="M21" i="34"/>
  <c r="N21" i="34"/>
  <c r="O21" i="34"/>
  <c r="AB27" i="34"/>
  <c r="O27" i="34"/>
  <c r="N27" i="34"/>
  <c r="T27" i="34"/>
  <c r="M27" i="34"/>
  <c r="AB26" i="34"/>
  <c r="O26" i="34"/>
  <c r="N26" i="34"/>
  <c r="M26" i="34"/>
  <c r="AB25" i="34"/>
  <c r="O25" i="34"/>
  <c r="N25" i="34"/>
  <c r="M25" i="34"/>
  <c r="AB24" i="34"/>
  <c r="O24" i="34"/>
  <c r="N24" i="34"/>
  <c r="M24" i="34"/>
  <c r="AB23" i="34"/>
  <c r="O23" i="34"/>
  <c r="N23" i="34"/>
  <c r="T23" i="34"/>
  <c r="M23" i="34"/>
  <c r="AB22" i="34"/>
  <c r="O22" i="34"/>
  <c r="T22" i="34"/>
  <c r="N22" i="34"/>
  <c r="M22" i="34"/>
  <c r="AB14" i="34"/>
  <c r="O14" i="34"/>
  <c r="N14" i="34"/>
  <c r="M14" i="34"/>
  <c r="F14" i="34"/>
  <c r="E14" i="34"/>
  <c r="O13" i="34"/>
  <c r="N13" i="34"/>
  <c r="M13" i="34"/>
  <c r="F13" i="34"/>
  <c r="E13" i="34"/>
  <c r="AB11" i="34"/>
  <c r="O11" i="34"/>
  <c r="N11" i="34"/>
  <c r="M11" i="34"/>
  <c r="F11" i="34"/>
  <c r="E11" i="34"/>
  <c r="O10" i="34"/>
  <c r="N10" i="34"/>
  <c r="M10" i="34"/>
  <c r="F10" i="34"/>
  <c r="E10" i="34"/>
  <c r="P7" i="33"/>
  <c r="P6" i="33"/>
  <c r="S6" i="33"/>
  <c r="O6" i="33"/>
  <c r="P4" i="33"/>
  <c r="O7" i="33"/>
  <c r="AD4" i="33"/>
  <c r="O4" i="33"/>
  <c r="R4" i="33"/>
  <c r="T4" i="33"/>
  <c r="Q6" i="31"/>
  <c r="Q7" i="31"/>
  <c r="Q8" i="31"/>
  <c r="Q5" i="31"/>
  <c r="P6" i="31"/>
  <c r="P7" i="31"/>
  <c r="P8" i="31"/>
  <c r="P5" i="31"/>
  <c r="O53" i="8"/>
  <c r="P53" i="8"/>
  <c r="AD53" i="8"/>
  <c r="O54" i="8"/>
  <c r="P54" i="8"/>
  <c r="AD54" i="8"/>
  <c r="AE36" i="1"/>
  <c r="Q36" i="1"/>
  <c r="P36" i="1"/>
  <c r="AE35" i="1"/>
  <c r="Q35" i="1"/>
  <c r="S35" i="1"/>
  <c r="P35" i="1"/>
  <c r="AE14" i="1"/>
  <c r="AK14" i="1"/>
  <c r="AL14" i="1"/>
  <c r="Q14" i="1"/>
  <c r="P14" i="1"/>
  <c r="AE13" i="1"/>
  <c r="Q13" i="1"/>
  <c r="P13" i="1"/>
  <c r="N25" i="3"/>
  <c r="N7" i="30"/>
  <c r="N8" i="30"/>
  <c r="M6" i="30"/>
  <c r="N6" i="30"/>
  <c r="N9" i="30"/>
  <c r="M5" i="30"/>
  <c r="N5" i="30"/>
  <c r="N10" i="26"/>
  <c r="M10" i="26"/>
  <c r="N9" i="26"/>
  <c r="M9" i="26"/>
  <c r="N40" i="10"/>
  <c r="O40" i="10"/>
  <c r="N39" i="10"/>
  <c r="O39" i="10"/>
  <c r="N26" i="10"/>
  <c r="O26" i="10"/>
  <c r="N25" i="10"/>
  <c r="O25" i="10"/>
  <c r="AC42" i="7"/>
  <c r="AC41" i="7"/>
  <c r="N41" i="7"/>
  <c r="O41" i="7"/>
  <c r="N42" i="7"/>
  <c r="O42" i="7"/>
  <c r="P48" i="8"/>
  <c r="R9" i="21"/>
  <c r="AQ13" i="3"/>
  <c r="AR13" i="3"/>
  <c r="I76" i="15"/>
  <c r="I58" i="15"/>
  <c r="Q58" i="15"/>
  <c r="Q59" i="15"/>
  <c r="Q34" i="29"/>
  <c r="P34" i="29"/>
  <c r="Q33" i="29"/>
  <c r="P33" i="29"/>
  <c r="Q32" i="29"/>
  <c r="P32" i="29"/>
  <c r="Q31" i="29"/>
  <c r="P31" i="29"/>
  <c r="Q30" i="29"/>
  <c r="P30" i="29"/>
  <c r="Q29" i="29"/>
  <c r="P29" i="29"/>
  <c r="Q28" i="29"/>
  <c r="P28" i="29"/>
  <c r="Q27" i="29"/>
  <c r="P27" i="29"/>
  <c r="Q26" i="29"/>
  <c r="P26" i="29"/>
  <c r="Q25" i="29"/>
  <c r="P25" i="29"/>
  <c r="Q24" i="29"/>
  <c r="P24" i="29"/>
  <c r="Q23" i="29"/>
  <c r="P23" i="29"/>
  <c r="Q22" i="29"/>
  <c r="P22" i="29"/>
  <c r="Q21" i="29"/>
  <c r="P21" i="29"/>
  <c r="Q20" i="29"/>
  <c r="P20" i="29"/>
  <c r="Q19" i="29"/>
  <c r="P19" i="29"/>
  <c r="Q18" i="29"/>
  <c r="P18" i="29"/>
  <c r="Q17" i="29"/>
  <c r="P17" i="29"/>
  <c r="Q16" i="29"/>
  <c r="P16" i="29"/>
  <c r="Q15" i="29"/>
  <c r="P15" i="29"/>
  <c r="Q14" i="29"/>
  <c r="P14" i="29"/>
  <c r="Q13" i="29"/>
  <c r="P13" i="29"/>
  <c r="Q12" i="29"/>
  <c r="P12" i="29"/>
  <c r="Q11" i="29"/>
  <c r="P11" i="29"/>
  <c r="Q10" i="29"/>
  <c r="P10" i="29"/>
  <c r="Q9" i="29"/>
  <c r="P9" i="29"/>
  <c r="Q8" i="29"/>
  <c r="P8" i="29"/>
  <c r="Q7" i="29"/>
  <c r="P7" i="29"/>
  <c r="Q6" i="29"/>
  <c r="P6" i="29"/>
  <c r="Q5" i="29"/>
  <c r="P5" i="29"/>
  <c r="AD60" i="28"/>
  <c r="P60" i="28"/>
  <c r="O60" i="28"/>
  <c r="AD59" i="28"/>
  <c r="P59" i="28"/>
  <c r="O59" i="28"/>
  <c r="AD58" i="28"/>
  <c r="P58" i="28"/>
  <c r="O58" i="28"/>
  <c r="AD57" i="28"/>
  <c r="P57" i="28"/>
  <c r="O57" i="28"/>
  <c r="AD56" i="28"/>
  <c r="P56" i="28"/>
  <c r="O56" i="28"/>
  <c r="AD55" i="28"/>
  <c r="P55" i="28"/>
  <c r="O55" i="28"/>
  <c r="AD54" i="28"/>
  <c r="P54" i="28"/>
  <c r="O54" i="28"/>
  <c r="AD53" i="28"/>
  <c r="P53" i="28"/>
  <c r="O53" i="28"/>
  <c r="AD52" i="28"/>
  <c r="P52" i="28"/>
  <c r="O52" i="28"/>
  <c r="AD51" i="28"/>
  <c r="P51" i="28"/>
  <c r="O51" i="28"/>
  <c r="AD50" i="28"/>
  <c r="P50" i="28"/>
  <c r="AH50" i="28"/>
  <c r="H28" i="29"/>
  <c r="O50" i="28"/>
  <c r="AD49" i="28"/>
  <c r="P49" i="28"/>
  <c r="AI49" i="28"/>
  <c r="O49" i="28"/>
  <c r="AD40" i="28"/>
  <c r="P40" i="28"/>
  <c r="O40" i="28"/>
  <c r="AD39" i="28"/>
  <c r="P39" i="28"/>
  <c r="O39" i="28"/>
  <c r="AD20" i="28"/>
  <c r="P20" i="28"/>
  <c r="O20" i="28"/>
  <c r="AD19" i="28"/>
  <c r="P19" i="28"/>
  <c r="S19" i="28"/>
  <c r="O19" i="28"/>
  <c r="AD36" i="28"/>
  <c r="P36" i="28"/>
  <c r="O36" i="28"/>
  <c r="AD35" i="28"/>
  <c r="P35" i="28"/>
  <c r="O35" i="28"/>
  <c r="AD16" i="28"/>
  <c r="P16" i="28"/>
  <c r="O16" i="28"/>
  <c r="AD15" i="28"/>
  <c r="P15" i="28"/>
  <c r="O15" i="28"/>
  <c r="AD14" i="28"/>
  <c r="P14" i="28"/>
  <c r="O14" i="28"/>
  <c r="AD13" i="28"/>
  <c r="P13" i="28"/>
  <c r="O13" i="28"/>
  <c r="AD30" i="28"/>
  <c r="P30" i="28"/>
  <c r="O30" i="28"/>
  <c r="AD29" i="28"/>
  <c r="P29" i="28"/>
  <c r="O29" i="28"/>
  <c r="AD28" i="28"/>
  <c r="P28" i="28"/>
  <c r="O28" i="28"/>
  <c r="AD27" i="28"/>
  <c r="P27" i="28"/>
  <c r="O27" i="28"/>
  <c r="AD26" i="28"/>
  <c r="P26" i="28"/>
  <c r="S26" i="28"/>
  <c r="O26" i="28"/>
  <c r="AD25" i="28"/>
  <c r="P25" i="28"/>
  <c r="O25" i="28"/>
  <c r="AD6" i="28"/>
  <c r="P6" i="28"/>
  <c r="O6" i="28"/>
  <c r="AD5" i="28"/>
  <c r="P5" i="28"/>
  <c r="O5" i="28"/>
  <c r="AD22" i="28"/>
  <c r="P22" i="28"/>
  <c r="O22" i="28"/>
  <c r="AD21" i="28"/>
  <c r="P21" i="28"/>
  <c r="O21" i="28"/>
  <c r="AD38" i="28"/>
  <c r="P38" i="28"/>
  <c r="O38" i="28"/>
  <c r="AD37" i="28"/>
  <c r="P37" i="28"/>
  <c r="O37" i="28"/>
  <c r="AD18" i="28"/>
  <c r="P18" i="28"/>
  <c r="O18" i="28"/>
  <c r="AD17" i="28"/>
  <c r="P17" i="28"/>
  <c r="O17" i="28"/>
  <c r="AD34" i="28"/>
  <c r="P34" i="28"/>
  <c r="O34" i="28"/>
  <c r="Q34" i="28"/>
  <c r="AD33" i="28"/>
  <c r="P33" i="28"/>
  <c r="O33" i="28"/>
  <c r="AD32" i="28"/>
  <c r="P32" i="28"/>
  <c r="O32" i="28"/>
  <c r="AD31" i="28"/>
  <c r="P31" i="28"/>
  <c r="O31" i="28"/>
  <c r="S31" i="28"/>
  <c r="AD12" i="28"/>
  <c r="P12" i="28"/>
  <c r="O12" i="28"/>
  <c r="AD11" i="28"/>
  <c r="P11" i="28"/>
  <c r="O11" i="28"/>
  <c r="AD10" i="28"/>
  <c r="P10" i="28"/>
  <c r="O10" i="28"/>
  <c r="AD9" i="28"/>
  <c r="P9" i="28"/>
  <c r="O9" i="28"/>
  <c r="AD8" i="28"/>
  <c r="P8" i="28"/>
  <c r="O8" i="28"/>
  <c r="AD7" i="28"/>
  <c r="P7" i="28"/>
  <c r="O7" i="28"/>
  <c r="AD24" i="28"/>
  <c r="P24" i="28"/>
  <c r="O24" i="28"/>
  <c r="AD23" i="28"/>
  <c r="P23" i="28"/>
  <c r="O23" i="28"/>
  <c r="Q34" i="25"/>
  <c r="P34" i="25"/>
  <c r="Q33" i="25"/>
  <c r="P33" i="25"/>
  <c r="Q32" i="25"/>
  <c r="P32" i="25"/>
  <c r="Q31" i="25"/>
  <c r="P31" i="25"/>
  <c r="Q30" i="25"/>
  <c r="P30" i="25"/>
  <c r="Q29" i="25"/>
  <c r="P29" i="25"/>
  <c r="Q28" i="25"/>
  <c r="P28" i="25"/>
  <c r="Q27" i="25"/>
  <c r="P27" i="25"/>
  <c r="Q6" i="25"/>
  <c r="Q7" i="25"/>
  <c r="Q8" i="25"/>
  <c r="Q9" i="25"/>
  <c r="Q10" i="25"/>
  <c r="Q11" i="25"/>
  <c r="Q12" i="25"/>
  <c r="Q13" i="25"/>
  <c r="Q14" i="25"/>
  <c r="Q15" i="25"/>
  <c r="Q16" i="25"/>
  <c r="Q17" i="25"/>
  <c r="Q18" i="25"/>
  <c r="Q19" i="25"/>
  <c r="Q20" i="25"/>
  <c r="Q21" i="25"/>
  <c r="Q22" i="25"/>
  <c r="Q23" i="25"/>
  <c r="Q24" i="25"/>
  <c r="Q25" i="25"/>
  <c r="Q26" i="25"/>
  <c r="P26" i="25"/>
  <c r="P6" i="25"/>
  <c r="P7" i="25"/>
  <c r="P8" i="25"/>
  <c r="P9" i="25"/>
  <c r="P10" i="25"/>
  <c r="P11" i="25"/>
  <c r="P12" i="25"/>
  <c r="P13" i="25"/>
  <c r="P14" i="25"/>
  <c r="P15" i="25"/>
  <c r="P16" i="25"/>
  <c r="P17" i="25"/>
  <c r="P18" i="25"/>
  <c r="P19" i="25"/>
  <c r="P20" i="25"/>
  <c r="P21" i="25"/>
  <c r="P22" i="25"/>
  <c r="P23" i="25"/>
  <c r="P24" i="25"/>
  <c r="P25" i="25"/>
  <c r="Q5" i="25"/>
  <c r="P5" i="25"/>
  <c r="R23" i="21"/>
  <c r="R24" i="21"/>
  <c r="R25" i="21"/>
  <c r="R26" i="21"/>
  <c r="R27" i="21"/>
  <c r="R5" i="21"/>
  <c r="R6" i="21"/>
  <c r="R7" i="21"/>
  <c r="R8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32" i="18"/>
  <c r="Q32" i="18"/>
  <c r="R31" i="18"/>
  <c r="Q31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3" i="18"/>
  <c r="R34" i="18"/>
  <c r="R35" i="18"/>
  <c r="R36" i="18"/>
  <c r="Q6" i="18"/>
  <c r="Q7" i="18"/>
  <c r="Q8" i="18"/>
  <c r="Q9" i="18"/>
  <c r="Q10" i="18"/>
  <c r="Q11" i="18"/>
  <c r="Q12" i="18"/>
  <c r="Q13" i="18"/>
  <c r="Q14" i="18"/>
  <c r="Q15" i="18"/>
  <c r="T15" i="18"/>
  <c r="V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3" i="18"/>
  <c r="Q34" i="18"/>
  <c r="Q35" i="18"/>
  <c r="Q36" i="18"/>
  <c r="R5" i="18"/>
  <c r="Q5" i="18"/>
  <c r="Q21" i="1"/>
  <c r="O49" i="8"/>
  <c r="AD52" i="8"/>
  <c r="P52" i="8"/>
  <c r="O52" i="8"/>
  <c r="AD51" i="8"/>
  <c r="P51" i="8"/>
  <c r="O51" i="8"/>
  <c r="AD50" i="8"/>
  <c r="AF50" i="8"/>
  <c r="P50" i="8"/>
  <c r="O50" i="8"/>
  <c r="AD49" i="8"/>
  <c r="P49" i="8"/>
  <c r="AD48" i="8"/>
  <c r="O48" i="8"/>
  <c r="AD47" i="8"/>
  <c r="P47" i="8"/>
  <c r="O47" i="8"/>
  <c r="P41" i="8"/>
  <c r="P42" i="8"/>
  <c r="P43" i="8"/>
  <c r="P44" i="8"/>
  <c r="AG44" i="8"/>
  <c r="O41" i="8"/>
  <c r="O42" i="8"/>
  <c r="O43" i="8"/>
  <c r="O44" i="8"/>
  <c r="R44" i="8"/>
  <c r="O45" i="8"/>
  <c r="AD42" i="8"/>
  <c r="AD41" i="8"/>
  <c r="AD44" i="8"/>
  <c r="AD43" i="8"/>
  <c r="AD36" i="8"/>
  <c r="P36" i="8"/>
  <c r="O36" i="8"/>
  <c r="AD35" i="8"/>
  <c r="P35" i="8"/>
  <c r="O35" i="8"/>
  <c r="AD30" i="8"/>
  <c r="P30" i="8"/>
  <c r="O30" i="8"/>
  <c r="AD29" i="8"/>
  <c r="P29" i="8"/>
  <c r="O29" i="8"/>
  <c r="O39" i="8"/>
  <c r="Q32" i="20"/>
  <c r="P32" i="20"/>
  <c r="Q31" i="20"/>
  <c r="P31" i="20"/>
  <c r="P48" i="19"/>
  <c r="O48" i="19"/>
  <c r="P47" i="19"/>
  <c r="O47" i="19"/>
  <c r="P46" i="19"/>
  <c r="O46" i="19"/>
  <c r="P45" i="19"/>
  <c r="O45" i="19"/>
  <c r="P44" i="19"/>
  <c r="O44" i="19"/>
  <c r="P43" i="19"/>
  <c r="O43" i="19"/>
  <c r="P42" i="19"/>
  <c r="O42" i="19"/>
  <c r="P41" i="19"/>
  <c r="O41" i="19"/>
  <c r="P40" i="19"/>
  <c r="O40" i="19"/>
  <c r="P39" i="19"/>
  <c r="O39" i="19"/>
  <c r="P38" i="19"/>
  <c r="O38" i="19"/>
  <c r="AD28" i="6"/>
  <c r="P28" i="6"/>
  <c r="O28" i="6"/>
  <c r="AD27" i="6"/>
  <c r="P27" i="6"/>
  <c r="Q27" i="6"/>
  <c r="O27" i="6"/>
  <c r="AD26" i="6"/>
  <c r="AG26" i="6"/>
  <c r="P26" i="6"/>
  <c r="O26" i="6"/>
  <c r="AE26" i="6"/>
  <c r="AD25" i="6"/>
  <c r="P25" i="6"/>
  <c r="O25" i="6"/>
  <c r="AD24" i="6"/>
  <c r="P24" i="6"/>
  <c r="O24" i="6"/>
  <c r="S24" i="6"/>
  <c r="AD23" i="6"/>
  <c r="P23" i="6"/>
  <c r="O23" i="6"/>
  <c r="AE48" i="1"/>
  <c r="Q48" i="1"/>
  <c r="P48" i="1"/>
  <c r="AE47" i="1"/>
  <c r="Q47" i="1"/>
  <c r="P47" i="1"/>
  <c r="O33" i="19"/>
  <c r="P33" i="19"/>
  <c r="O34" i="19"/>
  <c r="P34" i="19"/>
  <c r="O22" i="19"/>
  <c r="P22" i="19"/>
  <c r="O23" i="19"/>
  <c r="P23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4" i="19"/>
  <c r="P25" i="19"/>
  <c r="P26" i="19"/>
  <c r="P27" i="19"/>
  <c r="P28" i="19"/>
  <c r="P29" i="19"/>
  <c r="P30" i="19"/>
  <c r="P31" i="19"/>
  <c r="P32" i="19"/>
  <c r="P35" i="19"/>
  <c r="P36" i="19"/>
  <c r="P37" i="19"/>
  <c r="O6" i="19"/>
  <c r="O7" i="19"/>
  <c r="O8" i="19"/>
  <c r="O9" i="19"/>
  <c r="O11" i="19"/>
  <c r="O12" i="19"/>
  <c r="O13" i="19"/>
  <c r="O14" i="19"/>
  <c r="O15" i="19"/>
  <c r="O16" i="19"/>
  <c r="O17" i="19"/>
  <c r="O18" i="19"/>
  <c r="O19" i="19"/>
  <c r="O20" i="19"/>
  <c r="O21" i="19"/>
  <c r="O24" i="19"/>
  <c r="O25" i="19"/>
  <c r="O26" i="19"/>
  <c r="O27" i="19"/>
  <c r="O28" i="19"/>
  <c r="O29" i="19"/>
  <c r="O30" i="19"/>
  <c r="O31" i="19"/>
  <c r="O32" i="19"/>
  <c r="O35" i="19"/>
  <c r="O36" i="19"/>
  <c r="O37" i="19"/>
  <c r="P5" i="19"/>
  <c r="O5" i="19"/>
  <c r="M5" i="17"/>
  <c r="P17" i="9"/>
  <c r="O17" i="9"/>
  <c r="AC49" i="7"/>
  <c r="AF49" i="7"/>
  <c r="AL49" i="7"/>
  <c r="AC50" i="7"/>
  <c r="O36" i="2"/>
  <c r="AC76" i="2"/>
  <c r="O76" i="2"/>
  <c r="N76" i="2"/>
  <c r="P76" i="2"/>
  <c r="AC75" i="2"/>
  <c r="O75" i="2"/>
  <c r="N75" i="2"/>
  <c r="AC74" i="2"/>
  <c r="O74" i="2"/>
  <c r="N74" i="2"/>
  <c r="AD74" i="2"/>
  <c r="AC73" i="2"/>
  <c r="O73" i="2"/>
  <c r="N73" i="2"/>
  <c r="AC72" i="2"/>
  <c r="O72" i="2"/>
  <c r="N72" i="2"/>
  <c r="Q72" i="2"/>
  <c r="AC71" i="2"/>
  <c r="O71" i="2"/>
  <c r="N71" i="2"/>
  <c r="AC70" i="2"/>
  <c r="O70" i="2"/>
  <c r="N70" i="2"/>
  <c r="AC69" i="2"/>
  <c r="O69" i="2"/>
  <c r="N69" i="2"/>
  <c r="O18" i="6"/>
  <c r="O5" i="3"/>
  <c r="AC51" i="3"/>
  <c r="AC52" i="3"/>
  <c r="AC53" i="3"/>
  <c r="N53" i="3"/>
  <c r="O53" i="3"/>
  <c r="N51" i="3"/>
  <c r="O51" i="3"/>
  <c r="N52" i="3"/>
  <c r="O52" i="3"/>
  <c r="AF52" i="3"/>
  <c r="AL52" i="3"/>
  <c r="P24" i="1"/>
  <c r="U24" i="1"/>
  <c r="P28" i="1"/>
  <c r="P38" i="1"/>
  <c r="P45" i="1"/>
  <c r="AC5" i="5"/>
  <c r="N6" i="5"/>
  <c r="N5" i="5"/>
  <c r="N50" i="7"/>
  <c r="O50" i="7"/>
  <c r="N49" i="7"/>
  <c r="O49" i="7"/>
  <c r="AC53" i="7"/>
  <c r="AC54" i="7"/>
  <c r="O53" i="7"/>
  <c r="O54" i="7"/>
  <c r="N53" i="7"/>
  <c r="P53" i="7"/>
  <c r="N54" i="7"/>
  <c r="AD46" i="8"/>
  <c r="AD45" i="8"/>
  <c r="P46" i="8"/>
  <c r="O46" i="8"/>
  <c r="P45" i="8"/>
  <c r="AI45" i="8"/>
  <c r="P18" i="6"/>
  <c r="O40" i="8"/>
  <c r="AD40" i="8"/>
  <c r="AD39" i="8"/>
  <c r="P40" i="8"/>
  <c r="P39" i="8"/>
  <c r="AC64" i="7"/>
  <c r="O64" i="7"/>
  <c r="N64" i="7"/>
  <c r="AC63" i="7"/>
  <c r="O63" i="7"/>
  <c r="N63" i="7"/>
  <c r="AC84" i="7"/>
  <c r="O84" i="7"/>
  <c r="N84" i="7"/>
  <c r="Q84" i="7"/>
  <c r="AC83" i="7"/>
  <c r="O83" i="7"/>
  <c r="N83" i="7"/>
  <c r="AC82" i="7"/>
  <c r="O82" i="7"/>
  <c r="N82" i="7"/>
  <c r="AC81" i="7"/>
  <c r="O81" i="7"/>
  <c r="N81" i="7"/>
  <c r="AC80" i="7"/>
  <c r="O80" i="7"/>
  <c r="S80" i="7"/>
  <c r="N80" i="7"/>
  <c r="AC79" i="7"/>
  <c r="AH79" i="7"/>
  <c r="O79" i="7"/>
  <c r="N79" i="7"/>
  <c r="AC21" i="3"/>
  <c r="AC47" i="3"/>
  <c r="AC48" i="3"/>
  <c r="O47" i="3"/>
  <c r="O48" i="3"/>
  <c r="N47" i="3"/>
  <c r="N48" i="3"/>
  <c r="AC22" i="3"/>
  <c r="O21" i="3"/>
  <c r="O22" i="3"/>
  <c r="N21" i="3"/>
  <c r="N22" i="3"/>
  <c r="N27" i="3"/>
  <c r="P23" i="1"/>
  <c r="P34" i="1"/>
  <c r="U34" i="1"/>
  <c r="M5" i="26"/>
  <c r="N8" i="26"/>
  <c r="M8" i="26"/>
  <c r="N7" i="26"/>
  <c r="M7" i="26"/>
  <c r="N6" i="26"/>
  <c r="M6" i="26"/>
  <c r="N5" i="26"/>
  <c r="AC27" i="3"/>
  <c r="O19" i="2"/>
  <c r="AC54" i="3"/>
  <c r="N54" i="3"/>
  <c r="O54" i="3"/>
  <c r="AC28" i="3"/>
  <c r="N28" i="3"/>
  <c r="O28" i="3"/>
  <c r="O27" i="3"/>
  <c r="Q27" i="3"/>
  <c r="P12" i="23"/>
  <c r="O12" i="23"/>
  <c r="P11" i="15"/>
  <c r="AE14" i="15"/>
  <c r="Q14" i="15"/>
  <c r="P14" i="15"/>
  <c r="AF14" i="15"/>
  <c r="AE13" i="15"/>
  <c r="AH13" i="15"/>
  <c r="AN13" i="15"/>
  <c r="Q13" i="15"/>
  <c r="P13" i="15"/>
  <c r="AE12" i="15"/>
  <c r="Q12" i="15"/>
  <c r="P12" i="15"/>
  <c r="AE11" i="15"/>
  <c r="Q11" i="15"/>
  <c r="Q5" i="21"/>
  <c r="O25" i="8"/>
  <c r="Q46" i="1"/>
  <c r="Q45" i="1"/>
  <c r="P46" i="1"/>
  <c r="U46" i="1"/>
  <c r="P19" i="6"/>
  <c r="O19" i="6"/>
  <c r="AE46" i="1"/>
  <c r="AE45" i="1"/>
  <c r="AE38" i="1"/>
  <c r="AE37" i="1"/>
  <c r="Q37" i="1"/>
  <c r="Q38" i="1"/>
  <c r="P37" i="1"/>
  <c r="O13" i="6"/>
  <c r="O14" i="6"/>
  <c r="O12" i="6"/>
  <c r="AD15" i="6"/>
  <c r="AD11" i="6"/>
  <c r="AD12" i="6"/>
  <c r="AD13" i="6"/>
  <c r="AD14" i="6"/>
  <c r="AD21" i="6"/>
  <c r="AD22" i="6"/>
  <c r="P13" i="6"/>
  <c r="P14" i="6"/>
  <c r="P21" i="6"/>
  <c r="P22" i="6"/>
  <c r="O21" i="6"/>
  <c r="O22" i="6"/>
  <c r="O11" i="6"/>
  <c r="P12" i="6"/>
  <c r="P11" i="6"/>
  <c r="AE15" i="15"/>
  <c r="AE5" i="15"/>
  <c r="AE6" i="15"/>
  <c r="Q5" i="15"/>
  <c r="AG5" i="15"/>
  <c r="Q6" i="15"/>
  <c r="P6" i="15"/>
  <c r="P6" i="24"/>
  <c r="Q6" i="24"/>
  <c r="S6" i="24"/>
  <c r="P7" i="24"/>
  <c r="P8" i="24"/>
  <c r="P9" i="24"/>
  <c r="P10" i="24"/>
  <c r="P11" i="24"/>
  <c r="P12" i="24"/>
  <c r="P13" i="24"/>
  <c r="P14" i="24"/>
  <c r="P15" i="24"/>
  <c r="P16" i="24"/>
  <c r="P17" i="24"/>
  <c r="P18" i="24"/>
  <c r="O18" i="24"/>
  <c r="O6" i="24"/>
  <c r="O7" i="24"/>
  <c r="O8" i="24"/>
  <c r="O9" i="24"/>
  <c r="O10" i="24"/>
  <c r="O11" i="24"/>
  <c r="O12" i="24"/>
  <c r="O13" i="24"/>
  <c r="O14" i="24"/>
  <c r="O15" i="24"/>
  <c r="O16" i="24"/>
  <c r="O17" i="24"/>
  <c r="P5" i="24"/>
  <c r="O5" i="24"/>
  <c r="P6" i="23"/>
  <c r="P7" i="23"/>
  <c r="P8" i="23"/>
  <c r="P9" i="23"/>
  <c r="P10" i="23"/>
  <c r="P11" i="23"/>
  <c r="P14" i="23"/>
  <c r="P15" i="23"/>
  <c r="P16" i="23"/>
  <c r="P5" i="23"/>
  <c r="O6" i="23"/>
  <c r="O7" i="23"/>
  <c r="O8" i="23"/>
  <c r="O9" i="23"/>
  <c r="O10" i="23"/>
  <c r="O11" i="23"/>
  <c r="O14" i="23"/>
  <c r="O15" i="23"/>
  <c r="O16" i="23"/>
  <c r="O5" i="23"/>
  <c r="L6" i="22"/>
  <c r="L7" i="22"/>
  <c r="L8" i="22"/>
  <c r="K6" i="22"/>
  <c r="M6" i="22"/>
  <c r="O6" i="22"/>
  <c r="K7" i="22"/>
  <c r="K8" i="22"/>
  <c r="L5" i="22"/>
  <c r="K5" i="22"/>
  <c r="Q6" i="21"/>
  <c r="S6" i="21"/>
  <c r="Q7" i="21"/>
  <c r="Q8" i="21"/>
  <c r="Q9" i="21"/>
  <c r="Q10" i="21"/>
  <c r="Q11" i="21"/>
  <c r="Q12" i="21"/>
  <c r="Q13" i="21"/>
  <c r="S13" i="21"/>
  <c r="U13" i="21"/>
  <c r="Q14" i="21"/>
  <c r="Q15" i="21"/>
  <c r="Q16" i="21"/>
  <c r="Q17" i="21"/>
  <c r="Q18" i="21"/>
  <c r="Q19" i="21"/>
  <c r="Q20" i="21"/>
  <c r="Q21" i="21"/>
  <c r="Q22" i="21"/>
  <c r="T22" i="21"/>
  <c r="Q23" i="21"/>
  <c r="T23" i="21"/>
  <c r="V23" i="21"/>
  <c r="Q24" i="21"/>
  <c r="Q25" i="21"/>
  <c r="Q26" i="21"/>
  <c r="Q27" i="21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Q5" i="20"/>
  <c r="P5" i="20"/>
  <c r="Q7" i="15"/>
  <c r="Q8" i="15"/>
  <c r="AI8" i="15"/>
  <c r="AO8" i="15"/>
  <c r="Q9" i="15"/>
  <c r="AJ9" i="15"/>
  <c r="Q10" i="15"/>
  <c r="Q15" i="15"/>
  <c r="Q16" i="15"/>
  <c r="P15" i="15"/>
  <c r="P16" i="15"/>
  <c r="P7" i="15"/>
  <c r="AJ7" i="15"/>
  <c r="P8" i="15"/>
  <c r="P9" i="15"/>
  <c r="O45" i="3"/>
  <c r="P44" i="1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Q43" i="1"/>
  <c r="O33" i="10"/>
  <c r="O34" i="10"/>
  <c r="O35" i="10"/>
  <c r="O36" i="10"/>
  <c r="O31" i="10"/>
  <c r="O32" i="10"/>
  <c r="O29" i="10"/>
  <c r="O30" i="10"/>
  <c r="O37" i="10"/>
  <c r="O28" i="10"/>
  <c r="AG28" i="10"/>
  <c r="P20" i="6"/>
  <c r="P9" i="6"/>
  <c r="P10" i="6"/>
  <c r="P17" i="6"/>
  <c r="O20" i="6"/>
  <c r="O9" i="6"/>
  <c r="O10" i="6"/>
  <c r="O17" i="6"/>
  <c r="AD10" i="6"/>
  <c r="AD9" i="6"/>
  <c r="AD20" i="6"/>
  <c r="AD19" i="6"/>
  <c r="AD18" i="6"/>
  <c r="AD17" i="6"/>
  <c r="Q41" i="1"/>
  <c r="Q42" i="1"/>
  <c r="Q33" i="1"/>
  <c r="P41" i="1"/>
  <c r="AF41" i="1"/>
  <c r="P42" i="1"/>
  <c r="R42" i="1"/>
  <c r="P43" i="1"/>
  <c r="P5" i="1"/>
  <c r="Q23" i="1"/>
  <c r="S23" i="1"/>
  <c r="AC56" i="3"/>
  <c r="O56" i="3"/>
  <c r="N56" i="3"/>
  <c r="AC55" i="3"/>
  <c r="O55" i="3"/>
  <c r="N55" i="3"/>
  <c r="P55" i="3"/>
  <c r="AC30" i="3"/>
  <c r="AH30" i="3"/>
  <c r="O30" i="3"/>
  <c r="N30" i="3"/>
  <c r="AC29" i="3"/>
  <c r="O29" i="3"/>
  <c r="N29" i="3"/>
  <c r="AD18" i="9"/>
  <c r="P18" i="9"/>
  <c r="O18" i="9"/>
  <c r="AD17" i="9"/>
  <c r="AH17" i="9"/>
  <c r="AN17" i="9"/>
  <c r="P10" i="15"/>
  <c r="AE16" i="15"/>
  <c r="AI16" i="15"/>
  <c r="AE10" i="15"/>
  <c r="AH10" i="15"/>
  <c r="AE9" i="15"/>
  <c r="AE8" i="15"/>
  <c r="AH8" i="15"/>
  <c r="AN8" i="15"/>
  <c r="AE7" i="15"/>
  <c r="AC10" i="10"/>
  <c r="O10" i="10"/>
  <c r="N10" i="10"/>
  <c r="AC9" i="10"/>
  <c r="O9" i="10"/>
  <c r="N9" i="10"/>
  <c r="O5" i="5"/>
  <c r="O6" i="5"/>
  <c r="AC6" i="5"/>
  <c r="N7" i="5"/>
  <c r="O7" i="5"/>
  <c r="AC7" i="5"/>
  <c r="N8" i="5"/>
  <c r="O8" i="5"/>
  <c r="S8" i="5"/>
  <c r="AC8" i="5"/>
  <c r="N9" i="5"/>
  <c r="O9" i="5"/>
  <c r="AC9" i="5"/>
  <c r="N10" i="5"/>
  <c r="Q10" i="5"/>
  <c r="O10" i="5"/>
  <c r="P10" i="5"/>
  <c r="AC10" i="5"/>
  <c r="N5" i="10"/>
  <c r="O5" i="10"/>
  <c r="AC5" i="10"/>
  <c r="AG5" i="10"/>
  <c r="H7" i="24"/>
  <c r="N6" i="10"/>
  <c r="O6" i="10"/>
  <c r="AC6" i="10"/>
  <c r="N19" i="10"/>
  <c r="O19" i="10"/>
  <c r="AC19" i="10"/>
  <c r="AE19" i="10"/>
  <c r="N20" i="10"/>
  <c r="O20" i="10"/>
  <c r="R20" i="10"/>
  <c r="AC20" i="10"/>
  <c r="N15" i="10"/>
  <c r="O15" i="10"/>
  <c r="AC15" i="10"/>
  <c r="N16" i="10"/>
  <c r="O16" i="10"/>
  <c r="AC16" i="10"/>
  <c r="AF16" i="10"/>
  <c r="N21" i="10"/>
  <c r="O21" i="10"/>
  <c r="AC21" i="10"/>
  <c r="N22" i="10"/>
  <c r="O22" i="10"/>
  <c r="R22" i="10"/>
  <c r="AC22" i="10"/>
  <c r="N17" i="10"/>
  <c r="O17" i="10"/>
  <c r="AC17" i="10"/>
  <c r="N18" i="10"/>
  <c r="Q18" i="10"/>
  <c r="O18" i="10"/>
  <c r="R18" i="10"/>
  <c r="AC18" i="10"/>
  <c r="N11" i="10"/>
  <c r="O11" i="10"/>
  <c r="AE11" i="10"/>
  <c r="AC11" i="10"/>
  <c r="N12" i="10"/>
  <c r="O12" i="10"/>
  <c r="AC12" i="10"/>
  <c r="N7" i="10"/>
  <c r="O7" i="10"/>
  <c r="AC7" i="10"/>
  <c r="N8" i="10"/>
  <c r="O8" i="10"/>
  <c r="AC8" i="10"/>
  <c r="N13" i="10"/>
  <c r="O13" i="10"/>
  <c r="AC13" i="10"/>
  <c r="N14" i="10"/>
  <c r="O14" i="10"/>
  <c r="AC14" i="10"/>
  <c r="N23" i="10"/>
  <c r="O23" i="10"/>
  <c r="AC23" i="10"/>
  <c r="AH23" i="10"/>
  <c r="N24" i="10"/>
  <c r="O24" i="10"/>
  <c r="AC24" i="10"/>
  <c r="N27" i="10"/>
  <c r="O27" i="10"/>
  <c r="AC27" i="10"/>
  <c r="N28" i="10"/>
  <c r="AC28" i="10"/>
  <c r="N33" i="10"/>
  <c r="AC33" i="10"/>
  <c r="N34" i="10"/>
  <c r="AC34" i="10"/>
  <c r="N35" i="10"/>
  <c r="AC35" i="10"/>
  <c r="N36" i="10"/>
  <c r="AI36" i="10"/>
  <c r="AC36" i="10"/>
  <c r="N31" i="10"/>
  <c r="AC31" i="10"/>
  <c r="N32" i="10"/>
  <c r="AC32" i="10"/>
  <c r="N29" i="10"/>
  <c r="AC29" i="10"/>
  <c r="N30" i="10"/>
  <c r="AC30" i="10"/>
  <c r="AF30" i="10"/>
  <c r="AL30" i="10"/>
  <c r="N37" i="10"/>
  <c r="AC37" i="10"/>
  <c r="N38" i="10"/>
  <c r="Q38" i="10"/>
  <c r="O38" i="10"/>
  <c r="AC38" i="10"/>
  <c r="O5" i="9"/>
  <c r="P5" i="9"/>
  <c r="AD5" i="9"/>
  <c r="O6" i="9"/>
  <c r="P6" i="9"/>
  <c r="AD6" i="9"/>
  <c r="O9" i="9"/>
  <c r="P9" i="9"/>
  <c r="AD9" i="9"/>
  <c r="O10" i="9"/>
  <c r="P10" i="9"/>
  <c r="AD10" i="9"/>
  <c r="O11" i="9"/>
  <c r="P11" i="9"/>
  <c r="R11" i="9"/>
  <c r="AD11" i="9"/>
  <c r="O12" i="9"/>
  <c r="P12" i="9"/>
  <c r="AD12" i="9"/>
  <c r="O7" i="9"/>
  <c r="P7" i="9"/>
  <c r="AD7" i="9"/>
  <c r="O8" i="9"/>
  <c r="P8" i="9"/>
  <c r="AD8" i="9"/>
  <c r="O13" i="9"/>
  <c r="P13" i="9"/>
  <c r="AD13" i="9"/>
  <c r="O14" i="9"/>
  <c r="P14" i="9"/>
  <c r="AH14" i="9"/>
  <c r="AM14" i="9"/>
  <c r="AD14" i="9"/>
  <c r="O15" i="9"/>
  <c r="AI15" i="9"/>
  <c r="P15" i="9"/>
  <c r="AD15" i="9"/>
  <c r="O16" i="9"/>
  <c r="P16" i="9"/>
  <c r="AD16" i="9"/>
  <c r="O5" i="8"/>
  <c r="Q5" i="8"/>
  <c r="P5" i="8"/>
  <c r="AD5" i="8"/>
  <c r="O6" i="8"/>
  <c r="P6" i="8"/>
  <c r="AD6" i="8"/>
  <c r="O7" i="8"/>
  <c r="P7" i="8"/>
  <c r="AD7" i="8"/>
  <c r="O8" i="8"/>
  <c r="T8" i="8"/>
  <c r="P8" i="8"/>
  <c r="AD8" i="8"/>
  <c r="O9" i="8"/>
  <c r="T9" i="8"/>
  <c r="P9" i="8"/>
  <c r="AD9" i="8"/>
  <c r="O10" i="8"/>
  <c r="P10" i="8"/>
  <c r="AD10" i="8"/>
  <c r="O15" i="8"/>
  <c r="P15" i="8"/>
  <c r="AD15" i="8"/>
  <c r="O16" i="8"/>
  <c r="P16" i="8"/>
  <c r="AD16" i="8"/>
  <c r="O13" i="8"/>
  <c r="P13" i="8"/>
  <c r="AD13" i="8"/>
  <c r="O14" i="8"/>
  <c r="AI14" i="8"/>
  <c r="P14" i="8"/>
  <c r="AD14" i="8"/>
  <c r="O19" i="8"/>
  <c r="P19" i="8"/>
  <c r="AD19" i="8"/>
  <c r="O20" i="8"/>
  <c r="P20" i="8"/>
  <c r="AD20" i="8"/>
  <c r="O21" i="8"/>
  <c r="P21" i="8"/>
  <c r="AD21" i="8"/>
  <c r="O22" i="8"/>
  <c r="P22" i="8"/>
  <c r="AD22" i="8"/>
  <c r="O17" i="8"/>
  <c r="P17" i="8"/>
  <c r="AD17" i="8"/>
  <c r="O18" i="8"/>
  <c r="P18" i="8"/>
  <c r="AD18" i="8"/>
  <c r="O11" i="8"/>
  <c r="P11" i="8"/>
  <c r="AD11" i="8"/>
  <c r="O12" i="8"/>
  <c r="P12" i="8"/>
  <c r="S12" i="8"/>
  <c r="AD12" i="8"/>
  <c r="O23" i="8"/>
  <c r="P23" i="8"/>
  <c r="AD23" i="8"/>
  <c r="O24" i="8"/>
  <c r="P24" i="8"/>
  <c r="AD24" i="8"/>
  <c r="P25" i="8"/>
  <c r="AD25" i="8"/>
  <c r="O26" i="8"/>
  <c r="P26" i="8"/>
  <c r="AD26" i="8"/>
  <c r="O27" i="8"/>
  <c r="P27" i="8"/>
  <c r="AD27" i="8"/>
  <c r="O28" i="8"/>
  <c r="P28" i="8"/>
  <c r="AD28" i="8"/>
  <c r="O33" i="8"/>
  <c r="P33" i="8"/>
  <c r="AD33" i="8"/>
  <c r="O34" i="8"/>
  <c r="P34" i="8"/>
  <c r="AD34" i="8"/>
  <c r="O31" i="8"/>
  <c r="P31" i="8"/>
  <c r="AD31" i="8"/>
  <c r="O32" i="8"/>
  <c r="AG32" i="8"/>
  <c r="P32" i="8"/>
  <c r="T32" i="8"/>
  <c r="AD32" i="8"/>
  <c r="O37" i="8"/>
  <c r="P37" i="8"/>
  <c r="AD37" i="8"/>
  <c r="O38" i="8"/>
  <c r="P38" i="8"/>
  <c r="S38" i="8"/>
  <c r="AD38" i="8"/>
  <c r="N9" i="7"/>
  <c r="O9" i="7"/>
  <c r="Q9" i="7"/>
  <c r="AC9" i="7"/>
  <c r="N10" i="7"/>
  <c r="O10" i="7"/>
  <c r="S10" i="7"/>
  <c r="AC10" i="7"/>
  <c r="N13" i="7"/>
  <c r="O13" i="7"/>
  <c r="AC13" i="7"/>
  <c r="N14" i="7"/>
  <c r="O14" i="7"/>
  <c r="AC14" i="7"/>
  <c r="N15" i="7"/>
  <c r="O15" i="7"/>
  <c r="AC15" i="7"/>
  <c r="N16" i="7"/>
  <c r="O16" i="7"/>
  <c r="AC16" i="7"/>
  <c r="N17" i="7"/>
  <c r="O17" i="7"/>
  <c r="AI17" i="7"/>
  <c r="AC17" i="7"/>
  <c r="AF17" i="7"/>
  <c r="N18" i="7"/>
  <c r="O18" i="7"/>
  <c r="AI18" i="7"/>
  <c r="AC18" i="7"/>
  <c r="N19" i="7"/>
  <c r="O19" i="7"/>
  <c r="AC19" i="7"/>
  <c r="N20" i="7"/>
  <c r="O20" i="7"/>
  <c r="AC20" i="7"/>
  <c r="N21" i="7"/>
  <c r="O21" i="7"/>
  <c r="AC21" i="7"/>
  <c r="N22" i="7"/>
  <c r="O22" i="7"/>
  <c r="AC22" i="7"/>
  <c r="N35" i="7"/>
  <c r="O35" i="7"/>
  <c r="AC35" i="7"/>
  <c r="N36" i="7"/>
  <c r="O36" i="7"/>
  <c r="AC36" i="7"/>
  <c r="N37" i="7"/>
  <c r="O37" i="7"/>
  <c r="AC37" i="7"/>
  <c r="N38" i="7"/>
  <c r="O38" i="7"/>
  <c r="AC38" i="7"/>
  <c r="N25" i="7"/>
  <c r="O25" i="7"/>
  <c r="AC25" i="7"/>
  <c r="N26" i="7"/>
  <c r="AD26" i="7"/>
  <c r="O26" i="7"/>
  <c r="AC26" i="7"/>
  <c r="N39" i="7"/>
  <c r="O39" i="7"/>
  <c r="AC39" i="7"/>
  <c r="AF39" i="7"/>
  <c r="N40" i="7"/>
  <c r="O40" i="7"/>
  <c r="AH40" i="7"/>
  <c r="AC40" i="7"/>
  <c r="N43" i="7"/>
  <c r="O43" i="7"/>
  <c r="AC43" i="7"/>
  <c r="N44" i="7"/>
  <c r="AD44" i="7"/>
  <c r="O44" i="7"/>
  <c r="AC44" i="7"/>
  <c r="N45" i="7"/>
  <c r="O45" i="7"/>
  <c r="AC45" i="7"/>
  <c r="N46" i="7"/>
  <c r="O46" i="7"/>
  <c r="AC46" i="7"/>
  <c r="N27" i="7"/>
  <c r="O27" i="7"/>
  <c r="P27" i="7"/>
  <c r="AC27" i="7"/>
  <c r="N28" i="7"/>
  <c r="O28" i="7"/>
  <c r="AC28" i="7"/>
  <c r="N29" i="7"/>
  <c r="O29" i="7"/>
  <c r="AC29" i="7"/>
  <c r="N30" i="7"/>
  <c r="O30" i="7"/>
  <c r="AC30" i="7"/>
  <c r="N31" i="7"/>
  <c r="O31" i="7"/>
  <c r="AC31" i="7"/>
  <c r="N32" i="7"/>
  <c r="O32" i="7"/>
  <c r="AC32" i="7"/>
  <c r="N33" i="7"/>
  <c r="P33" i="7"/>
  <c r="O33" i="7"/>
  <c r="AC33" i="7"/>
  <c r="AH33" i="7"/>
  <c r="N34" i="7"/>
  <c r="AE34" i="7"/>
  <c r="O34" i="7"/>
  <c r="AC34" i="7"/>
  <c r="N23" i="7"/>
  <c r="O23" i="7"/>
  <c r="AC23" i="7"/>
  <c r="N24" i="7"/>
  <c r="O24" i="7"/>
  <c r="AC24" i="7"/>
  <c r="N11" i="7"/>
  <c r="O11" i="7"/>
  <c r="AC11" i="7"/>
  <c r="N12" i="7"/>
  <c r="Q12" i="7"/>
  <c r="O12" i="7"/>
  <c r="R12" i="7"/>
  <c r="AC12" i="7"/>
  <c r="N5" i="7"/>
  <c r="O5" i="7"/>
  <c r="AC5" i="7"/>
  <c r="N6" i="7"/>
  <c r="O6" i="7"/>
  <c r="AC6" i="7"/>
  <c r="N7" i="7"/>
  <c r="O7" i="7"/>
  <c r="AC7" i="7"/>
  <c r="N8" i="7"/>
  <c r="O8" i="7"/>
  <c r="AI8" i="7"/>
  <c r="AC8" i="7"/>
  <c r="N51" i="7"/>
  <c r="O51" i="7"/>
  <c r="AC51" i="7"/>
  <c r="N52" i="7"/>
  <c r="O52" i="7"/>
  <c r="AC52" i="7"/>
  <c r="N55" i="7"/>
  <c r="O55" i="7"/>
  <c r="AC55" i="7"/>
  <c r="AH55" i="7"/>
  <c r="N56" i="7"/>
  <c r="O56" i="7"/>
  <c r="AC56" i="7"/>
  <c r="N57" i="7"/>
  <c r="P57" i="7"/>
  <c r="O57" i="7"/>
  <c r="AC57" i="7"/>
  <c r="N58" i="7"/>
  <c r="O58" i="7"/>
  <c r="AC58" i="7"/>
  <c r="N71" i="7"/>
  <c r="O71" i="7"/>
  <c r="AC71" i="7"/>
  <c r="N72" i="7"/>
  <c r="O72" i="7"/>
  <c r="AC72" i="7"/>
  <c r="N73" i="7"/>
  <c r="P73" i="7"/>
  <c r="O73" i="7"/>
  <c r="R73" i="7"/>
  <c r="AC73" i="7"/>
  <c r="N74" i="7"/>
  <c r="O74" i="7"/>
  <c r="AC74" i="7"/>
  <c r="N61" i="7"/>
  <c r="O61" i="7"/>
  <c r="R61" i="7"/>
  <c r="AC61" i="7"/>
  <c r="N62" i="7"/>
  <c r="O62" i="7"/>
  <c r="AC62" i="7"/>
  <c r="N75" i="7"/>
  <c r="O75" i="7"/>
  <c r="R75" i="7"/>
  <c r="AC75" i="7"/>
  <c r="N76" i="7"/>
  <c r="O76" i="7"/>
  <c r="AC76" i="7"/>
  <c r="N77" i="7"/>
  <c r="O77" i="7"/>
  <c r="AC77" i="7"/>
  <c r="N78" i="7"/>
  <c r="O78" i="7"/>
  <c r="AC78" i="7"/>
  <c r="N65" i="7"/>
  <c r="Q65" i="7"/>
  <c r="O65" i="7"/>
  <c r="AC65" i="7"/>
  <c r="N66" i="7"/>
  <c r="O66" i="7"/>
  <c r="AC66" i="7"/>
  <c r="N67" i="7"/>
  <c r="S67" i="7"/>
  <c r="O67" i="7"/>
  <c r="AC67" i="7"/>
  <c r="N68" i="7"/>
  <c r="O68" i="7"/>
  <c r="AC68" i="7"/>
  <c r="N69" i="7"/>
  <c r="O69" i="7"/>
  <c r="AC69" i="7"/>
  <c r="N70" i="7"/>
  <c r="O70" i="7"/>
  <c r="S70" i="7"/>
  <c r="AC70" i="7"/>
  <c r="N59" i="7"/>
  <c r="O59" i="7"/>
  <c r="R59" i="7"/>
  <c r="AC59" i="7"/>
  <c r="N60" i="7"/>
  <c r="O60" i="7"/>
  <c r="AC60" i="7"/>
  <c r="AH60" i="7"/>
  <c r="N47" i="7"/>
  <c r="P47" i="7"/>
  <c r="O47" i="7"/>
  <c r="AC47" i="7"/>
  <c r="N48" i="7"/>
  <c r="O48" i="7"/>
  <c r="AC48" i="7"/>
  <c r="N19" i="2"/>
  <c r="AC19" i="2"/>
  <c r="N20" i="2"/>
  <c r="O20" i="2"/>
  <c r="AC20" i="2"/>
  <c r="N21" i="2"/>
  <c r="Q21" i="2"/>
  <c r="O21" i="2"/>
  <c r="AC21" i="2"/>
  <c r="N22" i="2"/>
  <c r="O22" i="2"/>
  <c r="AC22" i="2"/>
  <c r="N29" i="2"/>
  <c r="O29" i="2"/>
  <c r="AC29" i="2"/>
  <c r="N30" i="2"/>
  <c r="Q30" i="2"/>
  <c r="O30" i="2"/>
  <c r="AC30" i="2"/>
  <c r="N23" i="2"/>
  <c r="O23" i="2"/>
  <c r="AC23" i="2"/>
  <c r="N24" i="2"/>
  <c r="O24" i="2"/>
  <c r="R24" i="2"/>
  <c r="AC24" i="2"/>
  <c r="N25" i="2"/>
  <c r="O25" i="2"/>
  <c r="AC25" i="2"/>
  <c r="N26" i="2"/>
  <c r="O26" i="2"/>
  <c r="AC26" i="2"/>
  <c r="N27" i="2"/>
  <c r="O27" i="2"/>
  <c r="AC27" i="2"/>
  <c r="N28" i="2"/>
  <c r="P28" i="2"/>
  <c r="O28" i="2"/>
  <c r="AC28" i="2"/>
  <c r="N15" i="2"/>
  <c r="O15" i="2"/>
  <c r="AC15" i="2"/>
  <c r="N16" i="2"/>
  <c r="O16" i="2"/>
  <c r="Q16" i="2"/>
  <c r="AC16" i="2"/>
  <c r="N17" i="2"/>
  <c r="O17" i="2"/>
  <c r="AC17" i="2"/>
  <c r="N18" i="2"/>
  <c r="O18" i="2"/>
  <c r="AC18" i="2"/>
  <c r="N5" i="2"/>
  <c r="O5" i="2"/>
  <c r="AC5" i="2"/>
  <c r="N6" i="2"/>
  <c r="O6" i="2"/>
  <c r="AC6" i="2"/>
  <c r="N7" i="2"/>
  <c r="O7" i="2"/>
  <c r="AC7" i="2"/>
  <c r="N8" i="2"/>
  <c r="O8" i="2"/>
  <c r="AC8" i="2"/>
  <c r="N9" i="2"/>
  <c r="O9" i="2"/>
  <c r="AC9" i="2"/>
  <c r="N10" i="2"/>
  <c r="P10" i="2"/>
  <c r="O10" i="2"/>
  <c r="AC10" i="2"/>
  <c r="N11" i="2"/>
  <c r="O11" i="2"/>
  <c r="AC11" i="2"/>
  <c r="N12" i="2"/>
  <c r="S12" i="2"/>
  <c r="O12" i="2"/>
  <c r="AC12" i="2"/>
  <c r="N13" i="2"/>
  <c r="O13" i="2"/>
  <c r="AC13" i="2"/>
  <c r="N14" i="2"/>
  <c r="P14" i="2"/>
  <c r="O14" i="2"/>
  <c r="AC14" i="2"/>
  <c r="N45" i="2"/>
  <c r="O45" i="2"/>
  <c r="AC45" i="2"/>
  <c r="N46" i="2"/>
  <c r="O46" i="2"/>
  <c r="AC46" i="2"/>
  <c r="AF46" i="2"/>
  <c r="N59" i="2"/>
  <c r="O59" i="2"/>
  <c r="AC59" i="2"/>
  <c r="N60" i="2"/>
  <c r="O60" i="2"/>
  <c r="AC60" i="2"/>
  <c r="N61" i="2"/>
  <c r="O61" i="2"/>
  <c r="AC61" i="2"/>
  <c r="N62" i="2"/>
  <c r="O62" i="2"/>
  <c r="P62" i="2"/>
  <c r="AC62" i="2"/>
  <c r="N63" i="2"/>
  <c r="O63" i="2"/>
  <c r="AC63" i="2"/>
  <c r="N64" i="2"/>
  <c r="O64" i="2"/>
  <c r="AC64" i="2"/>
  <c r="N65" i="2"/>
  <c r="O65" i="2"/>
  <c r="AC65" i="2"/>
  <c r="N66" i="2"/>
  <c r="O66" i="2"/>
  <c r="R66" i="2"/>
  <c r="AC66" i="2"/>
  <c r="N41" i="2"/>
  <c r="P41" i="2"/>
  <c r="O41" i="2"/>
  <c r="AC41" i="2"/>
  <c r="N42" i="2"/>
  <c r="O42" i="2"/>
  <c r="AC42" i="2"/>
  <c r="N43" i="2"/>
  <c r="O43" i="2"/>
  <c r="P43" i="2"/>
  <c r="AC43" i="2"/>
  <c r="N44" i="2"/>
  <c r="R44" i="2"/>
  <c r="O44" i="2"/>
  <c r="AC44" i="2"/>
  <c r="N31" i="2"/>
  <c r="O31" i="2"/>
  <c r="AC31" i="2"/>
  <c r="N32" i="2"/>
  <c r="O32" i="2"/>
  <c r="AC32" i="2"/>
  <c r="N33" i="2"/>
  <c r="S33" i="2"/>
  <c r="O33" i="2"/>
  <c r="AC33" i="2"/>
  <c r="N34" i="2"/>
  <c r="AF34" i="2"/>
  <c r="AL34" i="2"/>
  <c r="O34" i="2"/>
  <c r="R34" i="2"/>
  <c r="AC34" i="2"/>
  <c r="N35" i="2"/>
  <c r="O35" i="2"/>
  <c r="Q35" i="2"/>
  <c r="AC35" i="2"/>
  <c r="N36" i="2"/>
  <c r="AC36" i="2"/>
  <c r="N37" i="2"/>
  <c r="O37" i="2"/>
  <c r="AC37" i="2"/>
  <c r="N38" i="2"/>
  <c r="O38" i="2"/>
  <c r="AC38" i="2"/>
  <c r="N39" i="2"/>
  <c r="O39" i="2"/>
  <c r="AC39" i="2"/>
  <c r="N40" i="2"/>
  <c r="O40" i="2"/>
  <c r="AC40" i="2"/>
  <c r="N67" i="2"/>
  <c r="O67" i="2"/>
  <c r="AC67" i="2"/>
  <c r="N68" i="2"/>
  <c r="O68" i="2"/>
  <c r="AC68" i="2"/>
  <c r="O5" i="6"/>
  <c r="P5" i="6"/>
  <c r="AD5" i="6"/>
  <c r="O6" i="6"/>
  <c r="P6" i="6"/>
  <c r="AD6" i="6"/>
  <c r="O7" i="6"/>
  <c r="P7" i="6"/>
  <c r="AD7" i="6"/>
  <c r="O8" i="6"/>
  <c r="P8" i="6"/>
  <c r="AD8" i="6"/>
  <c r="O15" i="6"/>
  <c r="P15" i="6"/>
  <c r="O16" i="6"/>
  <c r="R16" i="6"/>
  <c r="P16" i="6"/>
  <c r="AD16" i="6"/>
  <c r="N5" i="3"/>
  <c r="AC5" i="3"/>
  <c r="N6" i="3"/>
  <c r="AI6" i="3"/>
  <c r="O6" i="3"/>
  <c r="AC6" i="3"/>
  <c r="N7" i="3"/>
  <c r="O7" i="3"/>
  <c r="AH7" i="3"/>
  <c r="AC7" i="3"/>
  <c r="N8" i="3"/>
  <c r="O8" i="3"/>
  <c r="AC8" i="3"/>
  <c r="N9" i="3"/>
  <c r="O9" i="3"/>
  <c r="R9" i="3"/>
  <c r="AC9" i="3"/>
  <c r="N10" i="3"/>
  <c r="S10" i="3"/>
  <c r="O10" i="3"/>
  <c r="AC10" i="3"/>
  <c r="N11" i="3"/>
  <c r="O11" i="3"/>
  <c r="AC11" i="3"/>
  <c r="N12" i="3"/>
  <c r="O12" i="3"/>
  <c r="AC12" i="3"/>
  <c r="N13" i="3"/>
  <c r="O13" i="3"/>
  <c r="AC13" i="3"/>
  <c r="N14" i="3"/>
  <c r="O14" i="3"/>
  <c r="AC14" i="3"/>
  <c r="N15" i="3"/>
  <c r="O15" i="3"/>
  <c r="AC15" i="3"/>
  <c r="N16" i="3"/>
  <c r="O16" i="3"/>
  <c r="AC16" i="3"/>
  <c r="AF16" i="3"/>
  <c r="AL16" i="3"/>
  <c r="N17" i="3"/>
  <c r="O17" i="3"/>
  <c r="AC17" i="3"/>
  <c r="N18" i="3"/>
  <c r="O18" i="3"/>
  <c r="AC18" i="3"/>
  <c r="N19" i="3"/>
  <c r="O19" i="3"/>
  <c r="AC19" i="3"/>
  <c r="N20" i="3"/>
  <c r="O20" i="3"/>
  <c r="AC20" i="3"/>
  <c r="N23" i="3"/>
  <c r="AD23" i="3"/>
  <c r="O23" i="3"/>
  <c r="AC23" i="3"/>
  <c r="N24" i="3"/>
  <c r="O24" i="3"/>
  <c r="AF24" i="3"/>
  <c r="AL24" i="3"/>
  <c r="AC24" i="3"/>
  <c r="O25" i="3"/>
  <c r="AC25" i="3"/>
  <c r="N26" i="3"/>
  <c r="AH26" i="3"/>
  <c r="O26" i="3"/>
  <c r="AC26" i="3"/>
  <c r="N31" i="3"/>
  <c r="O31" i="3"/>
  <c r="AC31" i="3"/>
  <c r="N32" i="3"/>
  <c r="R32" i="3"/>
  <c r="O32" i="3"/>
  <c r="AC32" i="3"/>
  <c r="AG32" i="3"/>
  <c r="AM32" i="3"/>
  <c r="N33" i="3"/>
  <c r="O33" i="3"/>
  <c r="AC33" i="3"/>
  <c r="N34" i="3"/>
  <c r="O34" i="3"/>
  <c r="AC34" i="3"/>
  <c r="N35" i="3"/>
  <c r="P35" i="3"/>
  <c r="O35" i="3"/>
  <c r="AC35" i="3"/>
  <c r="N36" i="3"/>
  <c r="O36" i="3"/>
  <c r="AC36" i="3"/>
  <c r="N37" i="3"/>
  <c r="O37" i="3"/>
  <c r="AC37" i="3"/>
  <c r="N38" i="3"/>
  <c r="O38" i="3"/>
  <c r="R38" i="3"/>
  <c r="AC38" i="3"/>
  <c r="N39" i="3"/>
  <c r="O39" i="3"/>
  <c r="AC39" i="3"/>
  <c r="N40" i="3"/>
  <c r="O40" i="3"/>
  <c r="AC40" i="3"/>
  <c r="N41" i="3"/>
  <c r="O41" i="3"/>
  <c r="AC41" i="3"/>
  <c r="N42" i="3"/>
  <c r="P42" i="3"/>
  <c r="O42" i="3"/>
  <c r="AC42" i="3"/>
  <c r="N43" i="3"/>
  <c r="O43" i="3"/>
  <c r="AC43" i="3"/>
  <c r="N44" i="3"/>
  <c r="Q44" i="3"/>
  <c r="O44" i="3"/>
  <c r="AC44" i="3"/>
  <c r="N45" i="3"/>
  <c r="AC45" i="3"/>
  <c r="AI45" i="3"/>
  <c r="AK45" i="3"/>
  <c r="N46" i="3"/>
  <c r="O46" i="3"/>
  <c r="AC46" i="3"/>
  <c r="N49" i="3"/>
  <c r="O49" i="3"/>
  <c r="AC49" i="3"/>
  <c r="N50" i="3"/>
  <c r="O50" i="3"/>
  <c r="AC50" i="3"/>
  <c r="Q5" i="1"/>
  <c r="AK5" i="1"/>
  <c r="AE5" i="1"/>
  <c r="P6" i="1"/>
  <c r="Q6" i="1"/>
  <c r="AK6" i="1"/>
  <c r="AE6" i="1"/>
  <c r="P7" i="1"/>
  <c r="Q7" i="1"/>
  <c r="AE7" i="1"/>
  <c r="P8" i="1"/>
  <c r="Q8" i="1"/>
  <c r="AE8" i="1"/>
  <c r="P9" i="1"/>
  <c r="Q9" i="1"/>
  <c r="AE9" i="1"/>
  <c r="P10" i="1"/>
  <c r="Q10" i="1"/>
  <c r="AE10" i="1"/>
  <c r="P11" i="1"/>
  <c r="Q11" i="1"/>
  <c r="AE11" i="1"/>
  <c r="P12" i="1"/>
  <c r="Q12" i="1"/>
  <c r="AE12" i="1"/>
  <c r="P21" i="1"/>
  <c r="AE21" i="1"/>
  <c r="AI21" i="1"/>
  <c r="AO21" i="1"/>
  <c r="P22" i="1"/>
  <c r="Q22" i="1"/>
  <c r="AE22" i="1"/>
  <c r="P17" i="1"/>
  <c r="U17" i="1"/>
  <c r="Q17" i="1"/>
  <c r="AE17" i="1"/>
  <c r="P18" i="1"/>
  <c r="Q18" i="1"/>
  <c r="AE18" i="1"/>
  <c r="P19" i="1"/>
  <c r="R19" i="1"/>
  <c r="Q19" i="1"/>
  <c r="AE19" i="1"/>
  <c r="P20" i="1"/>
  <c r="Q20" i="1"/>
  <c r="AE20" i="1"/>
  <c r="AE23" i="1"/>
  <c r="Q24" i="1"/>
  <c r="AE24" i="1"/>
  <c r="P15" i="1"/>
  <c r="U15" i="1"/>
  <c r="Q15" i="1"/>
  <c r="AE15" i="1"/>
  <c r="P16" i="1"/>
  <c r="Q16" i="1"/>
  <c r="AE16" i="1"/>
  <c r="P25" i="1"/>
  <c r="Q25" i="1"/>
  <c r="AE25" i="1"/>
  <c r="P26" i="1"/>
  <c r="Q26" i="1"/>
  <c r="AE26" i="1"/>
  <c r="P27" i="1"/>
  <c r="Q27" i="1"/>
  <c r="AE27" i="1"/>
  <c r="Q28" i="1"/>
  <c r="AG28" i="1"/>
  <c r="AE28" i="1"/>
  <c r="P29" i="1"/>
  <c r="S29" i="1"/>
  <c r="Q29" i="1"/>
  <c r="AE29" i="1"/>
  <c r="P30" i="1"/>
  <c r="S30" i="1"/>
  <c r="Q30" i="1"/>
  <c r="AE30" i="1"/>
  <c r="P31" i="1"/>
  <c r="Q31" i="1"/>
  <c r="AE31" i="1"/>
  <c r="P32" i="1"/>
  <c r="Q32" i="1"/>
  <c r="AE32" i="1"/>
  <c r="P39" i="1"/>
  <c r="Q39" i="1"/>
  <c r="S39" i="1"/>
  <c r="AE39" i="1"/>
  <c r="P40" i="1"/>
  <c r="Q40" i="1"/>
  <c r="AH40" i="1"/>
  <c r="AN40" i="1"/>
  <c r="AE40" i="1"/>
  <c r="AE41" i="1"/>
  <c r="AE42" i="1"/>
  <c r="P33" i="1"/>
  <c r="AE33" i="1"/>
  <c r="Q34" i="1"/>
  <c r="AH34" i="1"/>
  <c r="AN34" i="1"/>
  <c r="AE34" i="1"/>
  <c r="AE43" i="1"/>
  <c r="Q44" i="1"/>
  <c r="T44" i="1"/>
  <c r="AE44" i="1"/>
  <c r="AE28" i="10"/>
  <c r="S37" i="7"/>
  <c r="R60" i="7"/>
  <c r="N6" i="22"/>
  <c r="P6" i="22"/>
  <c r="S14" i="9"/>
  <c r="S5" i="21"/>
  <c r="T5" i="21"/>
  <c r="T13" i="21"/>
  <c r="H15" i="21"/>
  <c r="T15" i="21"/>
  <c r="V15" i="21"/>
  <c r="V22" i="21"/>
  <c r="AH32" i="8"/>
  <c r="AN32" i="8"/>
  <c r="AJ25" i="8"/>
  <c r="AL25" i="8"/>
  <c r="AM32" i="8"/>
  <c r="R8" i="8"/>
  <c r="R17" i="8"/>
  <c r="Q8" i="8"/>
  <c r="Q12" i="8"/>
  <c r="P48" i="3"/>
  <c r="Q79" i="7"/>
  <c r="S79" i="7"/>
  <c r="R82" i="7"/>
  <c r="P79" i="7"/>
  <c r="R79" i="7"/>
  <c r="R32" i="8"/>
  <c r="AD53" i="7"/>
  <c r="S10" i="5"/>
  <c r="AE10" i="5"/>
  <c r="R8" i="5"/>
  <c r="AF10" i="5"/>
  <c r="AL10" i="5"/>
  <c r="AG10" i="5"/>
  <c r="AM10" i="5"/>
  <c r="Q6" i="3"/>
  <c r="AD36" i="10"/>
  <c r="R11" i="10"/>
  <c r="Q37" i="10"/>
  <c r="AE29" i="10"/>
  <c r="AG10" i="10"/>
  <c r="AM10" i="10"/>
  <c r="AH32" i="10"/>
  <c r="AJ36" i="10"/>
  <c r="AH37" i="10"/>
  <c r="AD38" i="10"/>
  <c r="S18" i="10"/>
  <c r="S16" i="10"/>
  <c r="AD37" i="10"/>
  <c r="AL16" i="10"/>
  <c r="Q22" i="10"/>
  <c r="Q24" i="10"/>
  <c r="P37" i="10"/>
  <c r="R12" i="10"/>
  <c r="AG37" i="10"/>
  <c r="AM37" i="10"/>
  <c r="AH50" i="7"/>
  <c r="AD10" i="7"/>
  <c r="Q26" i="7"/>
  <c r="AI43" i="7"/>
  <c r="AH22" i="7"/>
  <c r="S19" i="7"/>
  <c r="AH11" i="7"/>
  <c r="P12" i="7"/>
  <c r="AI11" i="7"/>
  <c r="R51" i="8"/>
  <c r="T48" i="8"/>
  <c r="AH51" i="8"/>
  <c r="AN51" i="8"/>
  <c r="AG6" i="8"/>
  <c r="AM44" i="8"/>
  <c r="R41" i="8"/>
  <c r="Q41" i="8"/>
  <c r="AH41" i="8"/>
  <c r="AN41" i="8"/>
  <c r="R43" i="8"/>
  <c r="T43" i="8"/>
  <c r="Q44" i="8"/>
  <c r="Q43" i="8"/>
  <c r="S43" i="8"/>
  <c r="Q30" i="8"/>
  <c r="AF30" i="8"/>
  <c r="AJ30" i="8"/>
  <c r="T30" i="8"/>
  <c r="S8" i="8"/>
  <c r="Q24" i="6"/>
  <c r="Q11" i="7"/>
  <c r="P11" i="7"/>
  <c r="S11" i="7"/>
  <c r="AI23" i="7"/>
  <c r="AK23" i="7"/>
  <c r="AE33" i="7"/>
  <c r="AH27" i="7"/>
  <c r="AI37" i="7"/>
  <c r="AG21" i="7"/>
  <c r="AM21" i="7"/>
  <c r="AD21" i="7"/>
  <c r="AK17" i="7"/>
  <c r="Q17" i="7"/>
  <c r="AF35" i="7"/>
  <c r="AL35" i="7"/>
  <c r="AF27" i="7"/>
  <c r="AL27" i="7"/>
  <c r="AF11" i="7"/>
  <c r="AL11" i="7"/>
  <c r="S12" i="7"/>
  <c r="AG25" i="7"/>
  <c r="AM25" i="7"/>
  <c r="AH36" i="7"/>
  <c r="R16" i="7"/>
  <c r="AE16" i="7"/>
  <c r="R15" i="7"/>
  <c r="AI10" i="7"/>
  <c r="AK10" i="7"/>
  <c r="AE10" i="7"/>
  <c r="R11" i="7"/>
  <c r="R21" i="7"/>
  <c r="AH17" i="7"/>
  <c r="P23" i="7"/>
  <c r="S35" i="7"/>
  <c r="AE27" i="7"/>
  <c r="R24" i="7"/>
  <c r="AE35" i="7"/>
  <c r="AG11" i="7"/>
  <c r="AM11" i="7"/>
  <c r="AG33" i="7"/>
  <c r="AM33" i="7"/>
  <c r="AF46" i="7"/>
  <c r="AL46" i="7"/>
  <c r="AG43" i="7"/>
  <c r="AM43" i="7"/>
  <c r="AG37" i="7"/>
  <c r="AM37" i="7"/>
  <c r="AF22" i="7"/>
  <c r="AL22" i="7"/>
  <c r="AF21" i="7"/>
  <c r="AL21" i="7"/>
  <c r="AL17" i="7"/>
  <c r="AG9" i="6"/>
  <c r="AM9" i="6"/>
  <c r="AG17" i="6"/>
  <c r="G33" i="19"/>
  <c r="Q33" i="19"/>
  <c r="S33" i="19"/>
  <c r="AH21" i="6"/>
  <c r="AN21" i="6"/>
  <c r="AH17" i="6"/>
  <c r="H30" i="19"/>
  <c r="R30" i="19"/>
  <c r="T30" i="19"/>
  <c r="AF25" i="6"/>
  <c r="R25" i="6"/>
  <c r="AF17" i="6"/>
  <c r="AF12" i="6"/>
  <c r="AE17" i="6"/>
  <c r="T9" i="6"/>
  <c r="AF9" i="6"/>
  <c r="R9" i="6"/>
  <c r="T12" i="6"/>
  <c r="S15" i="18"/>
  <c r="U15" i="18"/>
  <c r="R6" i="3"/>
  <c r="AH23" i="3"/>
  <c r="P44" i="3"/>
  <c r="AH16" i="3"/>
  <c r="AF14" i="3"/>
  <c r="AL14" i="3"/>
  <c r="AF29" i="3"/>
  <c r="G25" i="18"/>
  <c r="S25" i="18"/>
  <c r="U25" i="18"/>
  <c r="AD24" i="3"/>
  <c r="AG23" i="3"/>
  <c r="H19" i="18"/>
  <c r="T19" i="18"/>
  <c r="V19" i="18"/>
  <c r="AG7" i="3"/>
  <c r="AM7" i="3"/>
  <c r="S51" i="3"/>
  <c r="G30" i="19"/>
  <c r="Q30" i="19"/>
  <c r="S30" i="19"/>
  <c r="R5" i="28"/>
  <c r="T5" i="28"/>
  <c r="T35" i="28"/>
  <c r="R59" i="28"/>
  <c r="Q21" i="28"/>
  <c r="Q5" i="28"/>
  <c r="S5" i="28"/>
  <c r="AH29" i="28"/>
  <c r="AH35" i="28"/>
  <c r="AN35" i="28"/>
  <c r="Q59" i="28"/>
  <c r="Q35" i="28"/>
  <c r="R39" i="28"/>
  <c r="T19" i="28"/>
  <c r="R29" i="28"/>
  <c r="Q51" i="28"/>
  <c r="S49" i="28"/>
  <c r="S35" i="28"/>
  <c r="R6" i="28"/>
  <c r="AE51" i="28"/>
  <c r="AI5" i="28"/>
  <c r="AE21" i="28"/>
  <c r="AF35" i="28"/>
  <c r="AF19" i="28"/>
  <c r="AG51" i="28"/>
  <c r="AM51" i="28"/>
  <c r="AJ35" i="28"/>
  <c r="AI35" i="28"/>
  <c r="AI21" i="28"/>
  <c r="AG31" i="28"/>
  <c r="AM31" i="28"/>
  <c r="AH12" i="6"/>
  <c r="AN12" i="6"/>
  <c r="AE12" i="6"/>
  <c r="AJ5" i="8"/>
  <c r="AI21" i="6"/>
  <c r="AF21" i="6"/>
  <c r="AG21" i="6"/>
  <c r="AM21" i="6"/>
  <c r="AM5" i="10"/>
  <c r="AI52" i="8"/>
  <c r="AH41" i="7"/>
  <c r="AG41" i="7"/>
  <c r="AM41" i="7"/>
  <c r="AF41" i="7"/>
  <c r="AL41" i="7"/>
  <c r="S41" i="7"/>
  <c r="S39" i="10"/>
  <c r="R25" i="10"/>
  <c r="AG46" i="3"/>
  <c r="AM46" i="3"/>
  <c r="AF46" i="3"/>
  <c r="AL46" i="3"/>
  <c r="AD46" i="3"/>
  <c r="AG6" i="3"/>
  <c r="AM6" i="3"/>
  <c r="AJ27" i="6"/>
  <c r="AL27" i="6"/>
  <c r="AH27" i="6"/>
  <c r="AN27" i="6"/>
  <c r="AI27" i="6"/>
  <c r="AE27" i="6"/>
  <c r="S27" i="6"/>
  <c r="AG27" i="6"/>
  <c r="AM27" i="6"/>
  <c r="AE29" i="8"/>
  <c r="AE19" i="28"/>
  <c r="AG19" i="28"/>
  <c r="AM19" i="28"/>
  <c r="T49" i="28"/>
  <c r="G40" i="19"/>
  <c r="AJ18" i="7"/>
  <c r="AK18" i="7"/>
  <c r="AI32" i="3"/>
  <c r="AJ32" i="3"/>
  <c r="S32" i="3"/>
  <c r="S18" i="7"/>
  <c r="Q18" i="7"/>
  <c r="AE18" i="7"/>
  <c r="AH18" i="7"/>
  <c r="P18" i="7"/>
  <c r="AF18" i="7"/>
  <c r="AL18" i="7"/>
  <c r="AD18" i="7"/>
  <c r="AG18" i="7"/>
  <c r="AM18" i="7"/>
  <c r="T24" i="8"/>
  <c r="AJ24" i="8"/>
  <c r="AH24" i="8"/>
  <c r="AN24" i="8"/>
  <c r="S24" i="8"/>
  <c r="AI24" i="8"/>
  <c r="Q24" i="8"/>
  <c r="AE24" i="8"/>
  <c r="AG24" i="8"/>
  <c r="AM24" i="8"/>
  <c r="AF24" i="8"/>
  <c r="AI18" i="8"/>
  <c r="AE18" i="8"/>
  <c r="R7" i="9"/>
  <c r="S7" i="9"/>
  <c r="T7" i="9"/>
  <c r="R5" i="24"/>
  <c r="T5" i="24"/>
  <c r="Q5" i="24"/>
  <c r="S5" i="24"/>
  <c r="AF23" i="6"/>
  <c r="R23" i="6"/>
  <c r="AI24" i="6"/>
  <c r="AE24" i="6"/>
  <c r="AG24" i="6"/>
  <c r="G42" i="19"/>
  <c r="Q42" i="19"/>
  <c r="AM24" i="6"/>
  <c r="AI28" i="6"/>
  <c r="AE28" i="6"/>
  <c r="Q28" i="6"/>
  <c r="S28" i="6"/>
  <c r="T39" i="8"/>
  <c r="AH42" i="8"/>
  <c r="H28" i="25"/>
  <c r="AG42" i="8"/>
  <c r="AM42" i="8"/>
  <c r="AJ42" i="8"/>
  <c r="AE42" i="8"/>
  <c r="T42" i="8"/>
  <c r="AF42" i="8"/>
  <c r="R42" i="8"/>
  <c r="Q42" i="8"/>
  <c r="AJ17" i="7"/>
  <c r="H27" i="25"/>
  <c r="S27" i="25"/>
  <c r="U27" i="25"/>
  <c r="AJ19" i="8"/>
  <c r="AL19" i="8"/>
  <c r="S14" i="8"/>
  <c r="Q14" i="8"/>
  <c r="S11" i="9"/>
  <c r="AE5" i="9"/>
  <c r="AE16" i="10"/>
  <c r="AD16" i="10"/>
  <c r="AI16" i="10"/>
  <c r="Q40" i="8"/>
  <c r="AE40" i="8"/>
  <c r="AE46" i="3"/>
  <c r="AH29" i="8"/>
  <c r="AI42" i="8"/>
  <c r="AJ19" i="28"/>
  <c r="AI19" i="28"/>
  <c r="AH19" i="28"/>
  <c r="AN19" i="28"/>
  <c r="R18" i="7"/>
  <c r="R24" i="8"/>
  <c r="S42" i="8"/>
  <c r="AG18" i="8"/>
  <c r="AM18" i="8"/>
  <c r="P14" i="3"/>
  <c r="AI6" i="7"/>
  <c r="P6" i="7"/>
  <c r="P24" i="7"/>
  <c r="R6" i="10"/>
  <c r="P6" i="10"/>
  <c r="P21" i="3"/>
  <c r="S21" i="3"/>
  <c r="AJ25" i="6"/>
  <c r="AH25" i="6"/>
  <c r="Q48" i="8"/>
  <c r="AE48" i="8"/>
  <c r="AH48" i="8"/>
  <c r="AJ48" i="8"/>
  <c r="AK48" i="8"/>
  <c r="AH47" i="7"/>
  <c r="AF47" i="7"/>
  <c r="AL47" i="7"/>
  <c r="AD47" i="7"/>
  <c r="S33" i="7"/>
  <c r="AI33" i="7"/>
  <c r="Q33" i="7"/>
  <c r="AI45" i="7"/>
  <c r="R25" i="7"/>
  <c r="P25" i="7"/>
  <c r="AH25" i="7"/>
  <c r="AD25" i="7"/>
  <c r="AE25" i="7"/>
  <c r="Q25" i="7"/>
  <c r="AF25" i="7"/>
  <c r="AL25" i="7"/>
  <c r="AE37" i="7"/>
  <c r="AD37" i="7"/>
  <c r="AF37" i="7"/>
  <c r="AL37" i="7"/>
  <c r="R36" i="7"/>
  <c r="P36" i="7"/>
  <c r="AI36" i="7"/>
  <c r="Q36" i="7"/>
  <c r="AD36" i="7"/>
  <c r="AG36" i="7"/>
  <c r="AM36" i="7"/>
  <c r="AI35" i="7"/>
  <c r="AD35" i="7"/>
  <c r="AH35" i="7"/>
  <c r="R35" i="7"/>
  <c r="R20" i="7"/>
  <c r="AG20" i="7"/>
  <c r="AM20" i="7"/>
  <c r="P13" i="7"/>
  <c r="S13" i="7"/>
  <c r="AI13" i="7"/>
  <c r="AJ13" i="7"/>
  <c r="Q13" i="7"/>
  <c r="R13" i="7"/>
  <c r="T38" i="8"/>
  <c r="Q38" i="8"/>
  <c r="R38" i="8"/>
  <c r="AH38" i="8"/>
  <c r="AN38" i="8"/>
  <c r="R7" i="5"/>
  <c r="P7" i="5"/>
  <c r="AJ14" i="6"/>
  <c r="AH14" i="6"/>
  <c r="AN14" i="6"/>
  <c r="R14" i="6"/>
  <c r="T14" i="6"/>
  <c r="AF14" i="6"/>
  <c r="AE14" i="6"/>
  <c r="AF79" i="7"/>
  <c r="AL79" i="7"/>
  <c r="AE79" i="7"/>
  <c r="AI79" i="7"/>
  <c r="AJ79" i="7"/>
  <c r="AD79" i="7"/>
  <c r="P82" i="7"/>
  <c r="S82" i="7"/>
  <c r="Q82" i="7"/>
  <c r="AG83" i="7"/>
  <c r="AM83" i="7"/>
  <c r="AD83" i="7"/>
  <c r="AI83" i="7"/>
  <c r="AJ83" i="7"/>
  <c r="S83" i="7"/>
  <c r="R83" i="7"/>
  <c r="AG40" i="8"/>
  <c r="AM40" i="8"/>
  <c r="AI26" i="6"/>
  <c r="AE52" i="8"/>
  <c r="S52" i="8"/>
  <c r="R68" i="7"/>
  <c r="AE68" i="7"/>
  <c r="AG68" i="7"/>
  <c r="AM68" i="7"/>
  <c r="AH66" i="7"/>
  <c r="AI61" i="7"/>
  <c r="AK61" i="7"/>
  <c r="P61" i="7"/>
  <c r="Q61" i="7"/>
  <c r="T9" i="9"/>
  <c r="AF20" i="10"/>
  <c r="AL20" i="10"/>
  <c r="AE20" i="10"/>
  <c r="Q20" i="10"/>
  <c r="P20" i="10"/>
  <c r="AD20" i="10"/>
  <c r="AI20" i="10"/>
  <c r="R5" i="10"/>
  <c r="P5" i="10"/>
  <c r="AD5" i="10"/>
  <c r="R10" i="5"/>
  <c r="AH10" i="5"/>
  <c r="AI10" i="5"/>
  <c r="Q10" i="6"/>
  <c r="AJ19" i="6"/>
  <c r="AE19" i="6"/>
  <c r="AI41" i="7"/>
  <c r="R41" i="7"/>
  <c r="P41" i="7"/>
  <c r="Q25" i="10"/>
  <c r="P25" i="10"/>
  <c r="S25" i="10"/>
  <c r="R26" i="7"/>
  <c r="AE15" i="9"/>
  <c r="AH13" i="9"/>
  <c r="AN13" i="9"/>
  <c r="AG16" i="10"/>
  <c r="AM16" i="10"/>
  <c r="P16" i="10"/>
  <c r="AI9" i="5"/>
  <c r="P9" i="5"/>
  <c r="Q29" i="10"/>
  <c r="AF29" i="10"/>
  <c r="AL29" i="10"/>
  <c r="AG29" i="10"/>
  <c r="AM29" i="10"/>
  <c r="AD29" i="10"/>
  <c r="AG5" i="5"/>
  <c r="AM5" i="5"/>
  <c r="AJ51" i="8"/>
  <c r="AL51" i="8"/>
  <c r="AF51" i="8"/>
  <c r="AG61" i="7"/>
  <c r="AM61" i="7"/>
  <c r="Q45" i="7"/>
  <c r="AF37" i="10"/>
  <c r="AL37" i="10"/>
  <c r="AF5" i="10"/>
  <c r="AD10" i="5"/>
  <c r="AF83" i="7"/>
  <c r="AL83" i="7"/>
  <c r="AJ23" i="6"/>
  <c r="AL23" i="6"/>
  <c r="P34" i="10"/>
  <c r="Q34" i="10"/>
  <c r="AH56" i="3"/>
  <c r="AI9" i="6"/>
  <c r="S9" i="6"/>
  <c r="AH9" i="6"/>
  <c r="AN9" i="6"/>
  <c r="R12" i="24"/>
  <c r="H16" i="24"/>
  <c r="R16" i="24"/>
  <c r="T16" i="24"/>
  <c r="Q12" i="24"/>
  <c r="G16" i="24"/>
  <c r="Q16" i="24"/>
  <c r="S16" i="24"/>
  <c r="R50" i="7"/>
  <c r="P50" i="7"/>
  <c r="S12" i="18"/>
  <c r="G14" i="18"/>
  <c r="S14" i="18"/>
  <c r="U14" i="18"/>
  <c r="T12" i="18"/>
  <c r="AH16" i="6"/>
  <c r="AN16" i="6"/>
  <c r="AF61" i="7"/>
  <c r="AL61" i="7"/>
  <c r="AF71" i="7"/>
  <c r="AL71" i="7"/>
  <c r="AF52" i="7"/>
  <c r="Q7" i="9"/>
  <c r="S38" i="10"/>
  <c r="AF7" i="5"/>
  <c r="AL7" i="5"/>
  <c r="AE83" i="7"/>
  <c r="AF27" i="6"/>
  <c r="AH38" i="10"/>
  <c r="AF38" i="10"/>
  <c r="AL38" i="10"/>
  <c r="P28" i="10"/>
  <c r="Q28" i="10"/>
  <c r="Q12" i="6"/>
  <c r="AI12" i="6"/>
  <c r="AE45" i="8"/>
  <c r="S45" i="8"/>
  <c r="R45" i="8"/>
  <c r="AF7" i="3"/>
  <c r="AL7" i="3"/>
  <c r="P69" i="7"/>
  <c r="AF33" i="7"/>
  <c r="AL33" i="7"/>
  <c r="Q37" i="7"/>
  <c r="AG10" i="7"/>
  <c r="Q16" i="10"/>
  <c r="AF8" i="5"/>
  <c r="AL8" i="5"/>
  <c r="AG14" i="6"/>
  <c r="G18" i="19"/>
  <c r="Q18" i="19"/>
  <c r="S18" i="19"/>
  <c r="AG12" i="6"/>
  <c r="R12" i="6"/>
  <c r="AF53" i="7"/>
  <c r="AL53" i="7"/>
  <c r="R38" i="10"/>
  <c r="AG48" i="8"/>
  <c r="AF51" i="28"/>
  <c r="AJ9" i="6"/>
  <c r="AI48" i="8"/>
  <c r="AE41" i="7"/>
  <c r="S17" i="6"/>
  <c r="G28" i="25"/>
  <c r="R28" i="25"/>
  <c r="T28" i="25"/>
  <c r="AJ61" i="7"/>
  <c r="AE38" i="8"/>
  <c r="Q54" i="8"/>
  <c r="AJ54" i="8"/>
  <c r="AH54" i="8"/>
  <c r="AN54" i="8"/>
  <c r="AF54" i="8"/>
  <c r="S54" i="8"/>
  <c r="AI53" i="8"/>
  <c r="AE53" i="8"/>
  <c r="R5" i="31"/>
  <c r="T5" i="31"/>
  <c r="S6" i="31"/>
  <c r="U6" i="31"/>
  <c r="R7" i="31"/>
  <c r="T7" i="31"/>
  <c r="R6" i="31"/>
  <c r="T6" i="31"/>
  <c r="S7" i="31"/>
  <c r="U7" i="31"/>
  <c r="R8" i="31"/>
  <c r="T8" i="31"/>
  <c r="S5" i="31"/>
  <c r="U5" i="31"/>
  <c r="Q34" i="3"/>
  <c r="G10" i="21"/>
  <c r="S10" i="21"/>
  <c r="U10" i="21"/>
  <c r="G7" i="21"/>
  <c r="S7" i="21"/>
  <c r="U7" i="21"/>
  <c r="AD41" i="7"/>
  <c r="Q41" i="7"/>
  <c r="Q13" i="9"/>
  <c r="AF13" i="9"/>
  <c r="AJ13" i="9"/>
  <c r="AL13" i="9"/>
  <c r="T13" i="9"/>
  <c r="AF11" i="9"/>
  <c r="AD9" i="5"/>
  <c r="S9" i="5"/>
  <c r="AH9" i="5"/>
  <c r="AG36" i="10"/>
  <c r="AM36" i="10"/>
  <c r="P36" i="10"/>
  <c r="AE36" i="10"/>
  <c r="R36" i="10"/>
  <c r="AF36" i="10"/>
  <c r="AL36" i="10"/>
  <c r="S36" i="10"/>
  <c r="S57" i="7"/>
  <c r="AE57" i="7"/>
  <c r="Q57" i="7"/>
  <c r="AD57" i="7"/>
  <c r="AI57" i="7"/>
  <c r="AH57" i="7"/>
  <c r="Q36" i="10"/>
  <c r="AI14" i="10"/>
  <c r="P14" i="10"/>
  <c r="AD14" i="10"/>
  <c r="S14" i="10"/>
  <c r="AH12" i="10"/>
  <c r="AD12" i="10"/>
  <c r="AG12" i="10"/>
  <c r="H14" i="24"/>
  <c r="R14" i="24"/>
  <c r="T14" i="24"/>
  <c r="AH22" i="10"/>
  <c r="AD22" i="10"/>
  <c r="P22" i="10"/>
  <c r="Q9" i="5"/>
  <c r="AJ17" i="6"/>
  <c r="AL17" i="6"/>
  <c r="AI17" i="6"/>
  <c r="Q17" i="6"/>
  <c r="AI44" i="1"/>
  <c r="AO44" i="1"/>
  <c r="AD39" i="7"/>
  <c r="S53" i="8"/>
  <c r="R53" i="8"/>
  <c r="AH53" i="8"/>
  <c r="AN53" i="8"/>
  <c r="T53" i="8"/>
  <c r="AJ53" i="8"/>
  <c r="AK53" i="8"/>
  <c r="Q53" i="8"/>
  <c r="AJ21" i="6"/>
  <c r="AF53" i="8"/>
  <c r="AF57" i="7"/>
  <c r="AL57" i="7"/>
  <c r="R19" i="28"/>
  <c r="AG57" i="7"/>
  <c r="AM57" i="7"/>
  <c r="AG10" i="8"/>
  <c r="G12" i="25"/>
  <c r="R12" i="25"/>
  <c r="T12" i="25"/>
  <c r="T5" i="8"/>
  <c r="P38" i="10"/>
  <c r="Q39" i="10"/>
  <c r="P39" i="10"/>
  <c r="R39" i="10"/>
  <c r="R26" i="10"/>
  <c r="AH4" i="33"/>
  <c r="AL4" i="33"/>
  <c r="AI4" i="33"/>
  <c r="AJ4" i="33"/>
  <c r="AN4" i="33"/>
  <c r="AE4" i="33"/>
  <c r="AF4" i="33"/>
  <c r="AG4" i="33"/>
  <c r="AK4" i="33"/>
  <c r="Q9" i="28"/>
  <c r="AH7" i="28"/>
  <c r="AN7" i="28"/>
  <c r="AF16" i="9"/>
  <c r="AE28" i="3"/>
  <c r="AJ7" i="28"/>
  <c r="AF7" i="28"/>
  <c r="AG7" i="28"/>
  <c r="AM7" i="28"/>
  <c r="R7" i="28"/>
  <c r="AI7" i="28"/>
  <c r="S7" i="28"/>
  <c r="Q7" i="28"/>
  <c r="T7" i="28"/>
  <c r="S9" i="28"/>
  <c r="R9" i="28"/>
  <c r="T9" i="28"/>
  <c r="AF9" i="28"/>
  <c r="AI9" i="28"/>
  <c r="S16" i="21"/>
  <c r="U16" i="21"/>
  <c r="T16" i="21"/>
  <c r="V16" i="21"/>
  <c r="R28" i="3"/>
  <c r="Q28" i="3"/>
  <c r="P28" i="3"/>
  <c r="S28" i="3"/>
  <c r="AD28" i="3"/>
  <c r="AI28" i="3"/>
  <c r="AK28" i="3"/>
  <c r="AJ46" i="8"/>
  <c r="S46" i="8"/>
  <c r="AE46" i="8"/>
  <c r="R46" i="8"/>
  <c r="AI46" i="8"/>
  <c r="T46" i="8"/>
  <c r="Q46" i="8"/>
  <c r="AG7" i="6"/>
  <c r="AM7" i="6"/>
  <c r="AI7" i="6"/>
  <c r="G27" i="19"/>
  <c r="Q27" i="19"/>
  <c r="S27" i="19"/>
  <c r="AM17" i="6"/>
  <c r="G18" i="18"/>
  <c r="S18" i="18"/>
  <c r="U18" i="18"/>
  <c r="R47" i="7"/>
  <c r="AG12" i="8"/>
  <c r="AM12" i="8"/>
  <c r="AH14" i="3"/>
  <c r="R14" i="3"/>
  <c r="R31" i="8"/>
  <c r="T31" i="8"/>
  <c r="Q31" i="8"/>
  <c r="AE37" i="10"/>
  <c r="S37" i="10"/>
  <c r="R37" i="10"/>
  <c r="AI37" i="10"/>
  <c r="AG35" i="10"/>
  <c r="AM35" i="10"/>
  <c r="S24" i="10"/>
  <c r="P24" i="10"/>
  <c r="AD11" i="7"/>
  <c r="AE11" i="7"/>
  <c r="R5" i="5"/>
  <c r="AF5" i="5"/>
  <c r="AL5" i="5"/>
  <c r="Q5" i="5"/>
  <c r="AH38" i="7"/>
  <c r="AG38" i="7"/>
  <c r="AM38" i="7"/>
  <c r="AG32" i="10"/>
  <c r="AM32" i="10"/>
  <c r="S32" i="10"/>
  <c r="AD32" i="10"/>
  <c r="AE35" i="10"/>
  <c r="AG18" i="10"/>
  <c r="AM18" i="10"/>
  <c r="AE18" i="10"/>
  <c r="S17" i="9"/>
  <c r="AE54" i="8"/>
  <c r="AI54" i="8"/>
  <c r="AG54" i="8"/>
  <c r="AM54" i="8"/>
  <c r="S12" i="6"/>
  <c r="AG60" i="7"/>
  <c r="AM60" i="7"/>
  <c r="AJ28" i="3"/>
  <c r="T21" i="34"/>
  <c r="AC13" i="34"/>
  <c r="AE13" i="34"/>
  <c r="AR13" i="34"/>
  <c r="T10" i="34"/>
  <c r="AD10" i="34"/>
  <c r="AF10" i="34"/>
  <c r="D16" i="34"/>
  <c r="Q16" i="34"/>
  <c r="S16" i="34"/>
  <c r="P11" i="34"/>
  <c r="R11" i="34"/>
  <c r="T11" i="34"/>
  <c r="AD11" i="34"/>
  <c r="AF11" i="34"/>
  <c r="P13" i="34"/>
  <c r="R13" i="34"/>
  <c r="T13" i="34"/>
  <c r="P14" i="34"/>
  <c r="R14" i="34"/>
  <c r="T14" i="34"/>
  <c r="T24" i="34"/>
  <c r="T25" i="34"/>
  <c r="T26" i="34"/>
  <c r="Q10" i="34"/>
  <c r="S10" i="34"/>
  <c r="Q11" i="34"/>
  <c r="S11" i="34"/>
  <c r="Q13" i="34"/>
  <c r="S13" i="34"/>
  <c r="Q14" i="34"/>
  <c r="S14" i="34"/>
  <c r="Q4" i="33"/>
  <c r="S4" i="33"/>
  <c r="T6" i="33"/>
  <c r="AG6" i="33"/>
  <c r="AK6" i="33"/>
  <c r="AI6" i="33"/>
  <c r="AJ6" i="33"/>
  <c r="AM6" i="33"/>
  <c r="AH6" i="33"/>
  <c r="AL6" i="33"/>
  <c r="Q6" i="33"/>
  <c r="R6" i="33"/>
  <c r="G14" i="25"/>
  <c r="R14" i="25"/>
  <c r="T14" i="25"/>
  <c r="G39" i="19"/>
  <c r="Q39" i="19"/>
  <c r="S39" i="19"/>
  <c r="G45" i="19"/>
  <c r="Q45" i="19"/>
  <c r="S45" i="19"/>
  <c r="G20" i="19"/>
  <c r="AM23" i="3"/>
  <c r="H17" i="18"/>
  <c r="T17" i="18"/>
  <c r="V17" i="18"/>
  <c r="G9" i="21"/>
  <c r="S9" i="21"/>
  <c r="U9" i="21"/>
  <c r="U5" i="21"/>
  <c r="AK36" i="10"/>
  <c r="G15" i="21"/>
  <c r="S15" i="21"/>
  <c r="U15" i="21"/>
  <c r="M5" i="22"/>
  <c r="O5" i="22"/>
  <c r="N5" i="22"/>
  <c r="P5" i="22"/>
  <c r="AI14" i="6"/>
  <c r="S14" i="6"/>
  <c r="Q14" i="6"/>
  <c r="P80" i="7"/>
  <c r="R80" i="7"/>
  <c r="Q80" i="7"/>
  <c r="AJ27" i="8"/>
  <c r="AK27" i="8"/>
  <c r="AF27" i="8"/>
  <c r="AH27" i="8"/>
  <c r="AN27" i="8"/>
  <c r="Q20" i="8"/>
  <c r="AE14" i="8"/>
  <c r="AF34" i="10"/>
  <c r="AL34" i="10"/>
  <c r="AG34" i="10"/>
  <c r="AM34" i="10"/>
  <c r="AE34" i="10"/>
  <c r="AH34" i="10"/>
  <c r="AD34" i="10"/>
  <c r="AI34" i="10"/>
  <c r="AK34" i="10"/>
  <c r="AI22" i="10"/>
  <c r="AJ22" i="10"/>
  <c r="AE22" i="10"/>
  <c r="AI10" i="10"/>
  <c r="AE10" i="10"/>
  <c r="P10" i="10"/>
  <c r="AH10" i="10"/>
  <c r="AF73" i="7"/>
  <c r="AL73" i="7"/>
  <c r="AD73" i="7"/>
  <c r="AH73" i="7"/>
  <c r="AH71" i="7"/>
  <c r="AD71" i="7"/>
  <c r="S33" i="8"/>
  <c r="AE33" i="8"/>
  <c r="T21" i="8"/>
  <c r="P18" i="10"/>
  <c r="R31" i="10"/>
  <c r="AE7" i="6"/>
  <c r="AF60" i="7"/>
  <c r="AL60" i="7"/>
  <c r="AE7" i="7"/>
  <c r="AE7" i="8"/>
  <c r="S7" i="8"/>
  <c r="AH7" i="8"/>
  <c r="AN7" i="8"/>
  <c r="AJ15" i="9"/>
  <c r="AL15" i="9"/>
  <c r="AE60" i="7"/>
  <c r="Q60" i="7"/>
  <c r="S23" i="21"/>
  <c r="U23" i="21"/>
  <c r="AG79" i="7"/>
  <c r="AM79" i="7"/>
  <c r="AF63" i="7"/>
  <c r="AL63" i="7"/>
  <c r="S65" i="7"/>
  <c r="R21" i="10"/>
  <c r="AH31" i="10"/>
  <c r="AE31" i="10"/>
  <c r="AJ12" i="6"/>
  <c r="AL12" i="6"/>
  <c r="R54" i="8"/>
  <c r="T54" i="8"/>
  <c r="G10" i="25"/>
  <c r="R10" i="25"/>
  <c r="T10" i="25"/>
  <c r="AM10" i="8"/>
  <c r="AK13" i="9"/>
  <c r="G7" i="24"/>
  <c r="Q7" i="24"/>
  <c r="S7" i="24"/>
  <c r="AL5" i="10"/>
  <c r="H20" i="19"/>
  <c r="R20" i="19"/>
  <c r="T20" i="19"/>
  <c r="R27" i="3"/>
  <c r="P27" i="3"/>
  <c r="S27" i="3"/>
  <c r="AG5" i="3"/>
  <c r="AM5" i="3"/>
  <c r="S5" i="3"/>
  <c r="T11" i="18"/>
  <c r="S11" i="18"/>
  <c r="G13" i="18"/>
  <c r="S13" i="18"/>
  <c r="U13" i="18"/>
  <c r="S36" i="7"/>
  <c r="AF36" i="7"/>
  <c r="AL36" i="7"/>
  <c r="AE36" i="7"/>
  <c r="AK8" i="7"/>
  <c r="AJ8" i="7"/>
  <c r="AK37" i="7"/>
  <c r="AJ37" i="7"/>
  <c r="Q7" i="8"/>
  <c r="T7" i="8"/>
  <c r="AI7" i="8"/>
  <c r="R7" i="8"/>
  <c r="AJ7" i="8"/>
  <c r="AH36" i="10"/>
  <c r="Q46" i="3"/>
  <c r="P46" i="3"/>
  <c r="AI46" i="3"/>
  <c r="AK46" i="3"/>
  <c r="S46" i="3"/>
  <c r="P21" i="2"/>
  <c r="S68" i="7"/>
  <c r="AD68" i="7"/>
  <c r="Q68" i="7"/>
  <c r="AH68" i="7"/>
  <c r="P68" i="7"/>
  <c r="AF68" i="7"/>
  <c r="AL68" i="7"/>
  <c r="AI68" i="7"/>
  <c r="AJ68" i="7"/>
  <c r="AF10" i="8"/>
  <c r="AJ10" i="8"/>
  <c r="AK10" i="8"/>
  <c r="AH5" i="5"/>
  <c r="S5" i="5"/>
  <c r="AD5" i="5"/>
  <c r="P83" i="7"/>
  <c r="Q83" i="7"/>
  <c r="R63" i="7"/>
  <c r="AD63" i="7"/>
  <c r="AH63" i="7"/>
  <c r="P63" i="7"/>
  <c r="AE37" i="3"/>
  <c r="AE21" i="6"/>
  <c r="S21" i="6"/>
  <c r="T21" i="6"/>
  <c r="Q21" i="6"/>
  <c r="R21" i="6"/>
  <c r="R81" i="7"/>
  <c r="AF81" i="7"/>
  <c r="AL81" i="7"/>
  <c r="AI81" i="7"/>
  <c r="Q81" i="7"/>
  <c r="AD81" i="7"/>
  <c r="AH81" i="7"/>
  <c r="P81" i="7"/>
  <c r="R23" i="8"/>
  <c r="Q23" i="8"/>
  <c r="T23" i="8"/>
  <c r="S23" i="8"/>
  <c r="P32" i="10"/>
  <c r="Q32" i="10"/>
  <c r="R32" i="10"/>
  <c r="S33" i="10"/>
  <c r="AE33" i="10"/>
  <c r="R52" i="3"/>
  <c r="AD52" i="3"/>
  <c r="AD22" i="7"/>
  <c r="R22" i="7"/>
  <c r="V13" i="21"/>
  <c r="AI16" i="6"/>
  <c r="Q70" i="7"/>
  <c r="Q62" i="7"/>
  <c r="R28" i="10"/>
  <c r="AG48" i="3"/>
  <c r="AM48" i="3"/>
  <c r="AE9" i="28"/>
  <c r="Q26" i="10"/>
  <c r="P26" i="10"/>
  <c r="AJ32" i="8"/>
  <c r="AK32" i="8"/>
  <c r="AG7" i="8"/>
  <c r="AM7" i="8"/>
  <c r="AG28" i="3"/>
  <c r="H24" i="18"/>
  <c r="T24" i="18"/>
  <c r="V24" i="18"/>
  <c r="AE81" i="7"/>
  <c r="T6" i="18"/>
  <c r="V6" i="18"/>
  <c r="S6" i="18"/>
  <c r="G10" i="18"/>
  <c r="AD7" i="3"/>
  <c r="AF70" i="7"/>
  <c r="AL70" i="7"/>
  <c r="AH24" i="7"/>
  <c r="AF34" i="8"/>
  <c r="AJ34" i="8"/>
  <c r="T34" i="8"/>
  <c r="Q9" i="8"/>
  <c r="AI9" i="8"/>
  <c r="R6" i="5"/>
  <c r="AE6" i="5"/>
  <c r="S6" i="5"/>
  <c r="AG70" i="7"/>
  <c r="AM70" i="7"/>
  <c r="AI67" i="7"/>
  <c r="AK67" i="7"/>
  <c r="AD19" i="7"/>
  <c r="S11" i="8"/>
  <c r="AG11" i="8"/>
  <c r="AH10" i="8"/>
  <c r="H10" i="25"/>
  <c r="S10" i="25"/>
  <c r="U10" i="25"/>
  <c r="R13" i="9"/>
  <c r="Q30" i="10"/>
  <c r="S30" i="10"/>
  <c r="AI30" i="10"/>
  <c r="AG30" i="10"/>
  <c r="AM30" i="10"/>
  <c r="S34" i="10"/>
  <c r="R34" i="10"/>
  <c r="AF41" i="8"/>
  <c r="T16" i="34"/>
  <c r="S26" i="10"/>
  <c r="G8" i="18"/>
  <c r="S8" i="18"/>
  <c r="U8" i="18"/>
  <c r="S10" i="18"/>
  <c r="U10" i="18"/>
  <c r="AL32" i="8"/>
  <c r="S10" i="31"/>
  <c r="U10" i="31"/>
  <c r="S9" i="31"/>
  <c r="U9" i="31"/>
  <c r="R9" i="31"/>
  <c r="T9" i="31"/>
  <c r="R10" i="31"/>
  <c r="T10" i="31"/>
  <c r="AH20" i="9"/>
  <c r="Q20" i="9"/>
  <c r="R19" i="9"/>
  <c r="AG20" i="9"/>
  <c r="AF20" i="9"/>
  <c r="S19" i="9"/>
  <c r="T20" i="9"/>
  <c r="AI20" i="9"/>
  <c r="T19" i="9"/>
  <c r="AJ20" i="9"/>
  <c r="AE20" i="9"/>
  <c r="Q19" i="9"/>
  <c r="S20" i="9"/>
  <c r="AM13" i="9"/>
  <c r="S13" i="9"/>
  <c r="AF15" i="9"/>
  <c r="AH10" i="9"/>
  <c r="R15" i="9"/>
  <c r="AE13" i="9"/>
  <c r="AI13" i="9"/>
  <c r="AH15" i="9"/>
  <c r="AE10" i="9"/>
  <c r="AM12" i="10"/>
  <c r="AK51" i="8"/>
  <c r="AL52" i="7"/>
  <c r="G25" i="21"/>
  <c r="AJ10" i="7"/>
  <c r="P52" i="7"/>
  <c r="R52" i="7"/>
  <c r="AH52" i="7"/>
  <c r="AI52" i="7"/>
  <c r="S52" i="7"/>
  <c r="AD52" i="7"/>
  <c r="Q52" i="7"/>
  <c r="AE8" i="7"/>
  <c r="AD8" i="7"/>
  <c r="Q8" i="7"/>
  <c r="AF8" i="7"/>
  <c r="AL8" i="7"/>
  <c r="R8" i="7"/>
  <c r="S8" i="7"/>
  <c r="AG8" i="7"/>
  <c r="AM8" i="7"/>
  <c r="AH6" i="7"/>
  <c r="R6" i="7"/>
  <c r="S6" i="7"/>
  <c r="AG6" i="7"/>
  <c r="AM6" i="7"/>
  <c r="Q6" i="7"/>
  <c r="AI9" i="9"/>
  <c r="AE9" i="9"/>
  <c r="Q9" i="9"/>
  <c r="AJ9" i="9"/>
  <c r="AL9" i="9"/>
  <c r="R9" i="9"/>
  <c r="AN17" i="6"/>
  <c r="H33" i="19"/>
  <c r="R33" i="19"/>
  <c r="T33" i="19"/>
  <c r="Q12" i="3"/>
  <c r="S12" i="3"/>
  <c r="P12" i="3"/>
  <c r="R12" i="3"/>
  <c r="AD10" i="3"/>
  <c r="P10" i="3"/>
  <c r="AG10" i="3"/>
  <c r="AM10" i="3"/>
  <c r="R10" i="3"/>
  <c r="AE10" i="3"/>
  <c r="R17" i="6"/>
  <c r="T17" i="6"/>
  <c r="AE9" i="6"/>
  <c r="Q9" i="6"/>
  <c r="S59" i="7"/>
  <c r="Q7" i="6"/>
  <c r="S7" i="6"/>
  <c r="AG62" i="7"/>
  <c r="AM62" i="7"/>
  <c r="R62" i="7"/>
  <c r="S62" i="7"/>
  <c r="P62" i="7"/>
  <c r="AD62" i="7"/>
  <c r="AE58" i="7"/>
  <c r="AD58" i="7"/>
  <c r="AF15" i="8"/>
  <c r="R15" i="8"/>
  <c r="S9" i="8"/>
  <c r="AE9" i="8"/>
  <c r="AH9" i="8"/>
  <c r="H13" i="25"/>
  <c r="S13" i="25"/>
  <c r="U13" i="25"/>
  <c r="AF9" i="8"/>
  <c r="R16" i="10"/>
  <c r="AH16" i="10"/>
  <c r="Q59" i="7"/>
  <c r="Q69" i="7"/>
  <c r="S69" i="7"/>
  <c r="AH8" i="7"/>
  <c r="T45" i="8"/>
  <c r="Q45" i="8"/>
  <c r="AJ45" i="8"/>
  <c r="AH45" i="8"/>
  <c r="H29" i="25"/>
  <c r="S29" i="25"/>
  <c r="U29" i="25"/>
  <c r="AF45" i="8"/>
  <c r="AG38" i="10"/>
  <c r="AM38" i="10"/>
  <c r="AH58" i="7"/>
  <c r="R27" i="7"/>
  <c r="AI8" i="5"/>
  <c r="AJ8" i="5"/>
  <c r="S22" i="21"/>
  <c r="U22" i="21"/>
  <c r="AF35" i="8"/>
  <c r="AG53" i="8"/>
  <c r="AM53" i="8"/>
  <c r="AD43" i="7"/>
  <c r="AG28" i="6"/>
  <c r="AM28" i="6"/>
  <c r="AF43" i="8"/>
  <c r="AS20" i="34"/>
  <c r="AR20" i="34"/>
  <c r="Q66" i="7"/>
  <c r="AE66" i="7"/>
  <c r="Q20" i="3"/>
  <c r="AD70" i="7"/>
  <c r="AJ8" i="8"/>
  <c r="P11" i="10"/>
  <c r="AF50" i="7"/>
  <c r="AL50" i="7"/>
  <c r="AF62" i="7"/>
  <c r="AL62" i="7"/>
  <c r="Q23" i="7"/>
  <c r="AF31" i="10"/>
  <c r="AL31" i="10"/>
  <c r="AG52" i="8"/>
  <c r="AK9" i="9"/>
  <c r="S6" i="35"/>
  <c r="H12" i="35"/>
  <c r="U6" i="35"/>
  <c r="S5" i="35"/>
  <c r="H11" i="35"/>
  <c r="R5" i="35"/>
  <c r="G11" i="35"/>
  <c r="R6" i="35"/>
  <c r="G12" i="35"/>
  <c r="T58" i="15"/>
  <c r="S16" i="15"/>
  <c r="AJ14" i="15"/>
  <c r="S11" i="15"/>
  <c r="U14" i="15"/>
  <c r="Q60" i="15"/>
  <c r="S60" i="15"/>
  <c r="AK12" i="15"/>
  <c r="AM12" i="15"/>
  <c r="Q65" i="15"/>
  <c r="S65" i="15"/>
  <c r="T11" i="15"/>
  <c r="S12" i="15"/>
  <c r="R15" i="15"/>
  <c r="S13" i="15"/>
  <c r="AI14" i="15"/>
  <c r="AO14" i="15"/>
  <c r="R16" i="15"/>
  <c r="U16" i="15"/>
  <c r="AF12" i="15"/>
  <c r="Q61" i="15"/>
  <c r="U11" i="15"/>
  <c r="S9" i="15"/>
  <c r="AG14" i="15"/>
  <c r="AF16" i="15"/>
  <c r="AJ12" i="15"/>
  <c r="U15" i="15"/>
  <c r="AH14" i="15"/>
  <c r="AN14" i="15"/>
  <c r="T16" i="15"/>
  <c r="R13" i="15"/>
  <c r="AH15" i="15"/>
  <c r="G13" i="23"/>
  <c r="Q13" i="23"/>
  <c r="S13" i="23"/>
  <c r="S14" i="15"/>
  <c r="R9" i="15"/>
  <c r="T15" i="15"/>
  <c r="AG12" i="15"/>
  <c r="T14" i="15"/>
  <c r="R14" i="15"/>
  <c r="S58" i="15"/>
  <c r="Q62" i="15"/>
  <c r="T62" i="15"/>
  <c r="R11" i="15"/>
  <c r="S15" i="15"/>
  <c r="AK14" i="15"/>
  <c r="AL14" i="15"/>
  <c r="T9" i="15"/>
  <c r="Q64" i="15"/>
  <c r="Q63" i="15"/>
  <c r="S63" i="15"/>
  <c r="O28" i="17"/>
  <c r="Q28" i="17"/>
  <c r="O27" i="17"/>
  <c r="Q27" i="17"/>
  <c r="O26" i="17"/>
  <c r="Q26" i="17"/>
  <c r="Q25" i="17"/>
  <c r="P25" i="17"/>
  <c r="R25" i="17"/>
  <c r="P26" i="17"/>
  <c r="R26" i="17"/>
  <c r="P27" i="17"/>
  <c r="R27" i="17"/>
  <c r="P28" i="17"/>
  <c r="R28" i="17"/>
  <c r="AG7" i="36"/>
  <c r="AI7" i="36"/>
  <c r="AL7" i="36"/>
  <c r="AN7" i="36"/>
  <c r="AG8" i="36"/>
  <c r="AI8" i="36"/>
  <c r="AL8" i="36"/>
  <c r="AN8" i="36"/>
  <c r="U7" i="36"/>
  <c r="W7" i="36"/>
  <c r="AF7" i="36"/>
  <c r="AH7" i="36"/>
  <c r="U8" i="36"/>
  <c r="W8" i="36"/>
  <c r="AF8" i="36"/>
  <c r="AH8" i="36"/>
  <c r="U45" i="1"/>
  <c r="R10" i="1"/>
  <c r="AK43" i="1"/>
  <c r="AM43" i="1"/>
  <c r="R39" i="1"/>
  <c r="T26" i="1"/>
  <c r="U12" i="1"/>
  <c r="S26" i="1"/>
  <c r="AI16" i="1"/>
  <c r="AO16" i="1"/>
  <c r="AI23" i="1"/>
  <c r="AO23" i="1"/>
  <c r="R18" i="1"/>
  <c r="AF45" i="1"/>
  <c r="AI36" i="1"/>
  <c r="AO36" i="1"/>
  <c r="R26" i="1"/>
  <c r="U26" i="1"/>
  <c r="AH46" i="1"/>
  <c r="AN46" i="1"/>
  <c r="S18" i="1"/>
  <c r="T30" i="1"/>
  <c r="AI18" i="1"/>
  <c r="AO18" i="1"/>
  <c r="U14" i="1"/>
  <c r="AK44" i="1"/>
  <c r="AM44" i="1"/>
  <c r="AH45" i="1"/>
  <c r="AN45" i="1"/>
  <c r="S14" i="1"/>
  <c r="T14" i="1"/>
  <c r="R12" i="1"/>
  <c r="AF8" i="1"/>
  <c r="R14" i="1"/>
  <c r="AG44" i="1"/>
  <c r="AH43" i="1"/>
  <c r="AN43" i="1"/>
  <c r="AI43" i="1"/>
  <c r="AO43" i="1"/>
  <c r="AI26" i="1"/>
  <c r="AO26" i="1"/>
  <c r="S16" i="1"/>
  <c r="U16" i="1"/>
  <c r="AK16" i="1"/>
  <c r="AM16" i="1"/>
  <c r="AG16" i="1"/>
  <c r="AI8" i="1"/>
  <c r="AO8" i="1"/>
  <c r="S24" i="1"/>
  <c r="AJ43" i="1"/>
  <c r="T45" i="1"/>
  <c r="AH23" i="1"/>
  <c r="AN23" i="1"/>
  <c r="AK23" i="1"/>
  <c r="AJ23" i="1"/>
  <c r="R6" i="1"/>
  <c r="R36" i="1"/>
  <c r="U36" i="1"/>
  <c r="T36" i="1"/>
  <c r="S36" i="1"/>
  <c r="U30" i="1"/>
  <c r="AJ30" i="1"/>
  <c r="AI30" i="1"/>
  <c r="AO30" i="1"/>
  <c r="AG30" i="1"/>
  <c r="U20" i="1"/>
  <c r="R20" i="1"/>
  <c r="AJ18" i="1"/>
  <c r="AH18" i="1"/>
  <c r="AN18" i="1"/>
  <c r="AF18" i="1"/>
  <c r="AG18" i="1"/>
  <c r="AK18" i="1"/>
  <c r="AM18" i="1"/>
  <c r="U22" i="1"/>
  <c r="AI47" i="1"/>
  <c r="AO47" i="1"/>
  <c r="T21" i="1"/>
  <c r="R21" i="1"/>
  <c r="AF21" i="1"/>
  <c r="S21" i="1"/>
  <c r="AH13" i="1"/>
  <c r="AN13" i="1"/>
  <c r="AF9" i="1"/>
  <c r="U9" i="1"/>
  <c r="AG43" i="1"/>
  <c r="U43" i="1"/>
  <c r="AF43" i="1"/>
  <c r="S43" i="1"/>
  <c r="T43" i="1"/>
  <c r="AG42" i="1"/>
  <c r="R46" i="1"/>
  <c r="S46" i="1"/>
  <c r="AK46" i="1"/>
  <c r="AJ46" i="1"/>
  <c r="AG46" i="1"/>
  <c r="T46" i="1"/>
  <c r="AF46" i="1"/>
  <c r="AI46" i="1"/>
  <c r="AO46" i="1"/>
  <c r="T23" i="1"/>
  <c r="U23" i="1"/>
  <c r="R23" i="1"/>
  <c r="AF23" i="1"/>
  <c r="R45" i="1"/>
  <c r="S45" i="1"/>
  <c r="AI45" i="1"/>
  <c r="AO45" i="1"/>
  <c r="AG23" i="1"/>
  <c r="U21" i="1"/>
  <c r="AF22" i="1"/>
  <c r="AH30" i="1"/>
  <c r="AN30" i="1"/>
  <c r="R30" i="1"/>
  <c r="S28" i="1"/>
  <c r="AJ44" i="1"/>
  <c r="AK33" i="1"/>
  <c r="AL33" i="1"/>
  <c r="AJ45" i="1"/>
  <c r="AK45" i="1"/>
  <c r="AM45" i="1"/>
  <c r="U47" i="1"/>
  <c r="T20" i="1"/>
  <c r="R35" i="1"/>
  <c r="AI33" i="1"/>
  <c r="AO33" i="1"/>
  <c r="T19" i="1"/>
  <c r="T13" i="1"/>
  <c r="S47" i="1"/>
  <c r="AG40" i="1"/>
  <c r="S41" i="3"/>
  <c r="AF37" i="3"/>
  <c r="AL37" i="3"/>
  <c r="P56" i="3"/>
  <c r="AG45" i="3"/>
  <c r="AM45" i="3"/>
  <c r="Q51" i="3"/>
  <c r="AF41" i="3"/>
  <c r="AL41" i="3"/>
  <c r="P8" i="3"/>
  <c r="AD37" i="3"/>
  <c r="R56" i="3"/>
  <c r="AD8" i="3"/>
  <c r="P22" i="3"/>
  <c r="R22" i="3"/>
  <c r="Q45" i="3"/>
  <c r="AF51" i="3"/>
  <c r="G31" i="18"/>
  <c r="S31" i="18"/>
  <c r="U31" i="18"/>
  <c r="S62" i="3"/>
  <c r="Q60" i="3"/>
  <c r="AH41" i="3"/>
  <c r="AF5" i="3"/>
  <c r="AL5" i="3"/>
  <c r="AF47" i="3"/>
  <c r="AL47" i="3"/>
  <c r="AD56" i="3"/>
  <c r="AH8" i="3"/>
  <c r="AF8" i="3"/>
  <c r="AL8" i="3"/>
  <c r="AF35" i="3"/>
  <c r="AL35" i="3"/>
  <c r="AD41" i="3"/>
  <c r="P19" i="3"/>
  <c r="AI43" i="3"/>
  <c r="AK43" i="3"/>
  <c r="S31" i="3"/>
  <c r="R37" i="3"/>
  <c r="Q49" i="3"/>
  <c r="Q8" i="3"/>
  <c r="AI23" i="3"/>
  <c r="AJ23" i="3"/>
  <c r="P16" i="3"/>
  <c r="AI51" i="3"/>
  <c r="AK51" i="3"/>
  <c r="AG54" i="3"/>
  <c r="H34" i="18"/>
  <c r="T34" i="18"/>
  <c r="V34" i="18"/>
  <c r="AM54" i="3"/>
  <c r="AE51" i="3"/>
  <c r="R31" i="3"/>
  <c r="AG51" i="3"/>
  <c r="AH51" i="3"/>
  <c r="AE8" i="3"/>
  <c r="AG22" i="3"/>
  <c r="AM22" i="3"/>
  <c r="AE49" i="3"/>
  <c r="AD47" i="3"/>
  <c r="P47" i="3"/>
  <c r="S49" i="3"/>
  <c r="Q23" i="3"/>
  <c r="AI49" i="3"/>
  <c r="AJ49" i="3"/>
  <c r="AK49" i="3"/>
  <c r="AI22" i="3"/>
  <c r="AG8" i="3"/>
  <c r="AM8" i="3"/>
  <c r="AI61" i="3"/>
  <c r="AK61" i="3"/>
  <c r="AG63" i="3"/>
  <c r="AM63" i="3"/>
  <c r="S68" i="3"/>
  <c r="S70" i="3"/>
  <c r="Q72" i="3"/>
  <c r="S74" i="3"/>
  <c r="S76" i="3"/>
  <c r="P5" i="3"/>
  <c r="P45" i="3"/>
  <c r="R51" i="3"/>
  <c r="AD31" i="3"/>
  <c r="AG49" i="3"/>
  <c r="AM49" i="3"/>
  <c r="AD51" i="3"/>
  <c r="R41" i="3"/>
  <c r="AH43" i="3"/>
  <c r="P37" i="3"/>
  <c r="AH19" i="3"/>
  <c r="S23" i="3"/>
  <c r="Q22" i="3"/>
  <c r="AE56" i="3"/>
  <c r="AF71" i="3"/>
  <c r="AL71" i="3"/>
  <c r="Q5" i="3"/>
  <c r="AH31" i="3"/>
  <c r="AG37" i="3"/>
  <c r="AM37" i="3"/>
  <c r="AH37" i="3"/>
  <c r="AI8" i="3"/>
  <c r="AK8" i="3"/>
  <c r="AI31" i="3"/>
  <c r="Q37" i="3"/>
  <c r="AH22" i="3"/>
  <c r="AF60" i="3"/>
  <c r="AL60" i="3"/>
  <c r="AF62" i="3"/>
  <c r="AL62" i="3"/>
  <c r="AG75" i="3"/>
  <c r="AM75" i="3"/>
  <c r="AG73" i="3"/>
  <c r="AM73" i="3"/>
  <c r="AI60" i="3"/>
  <c r="AK60" i="3"/>
  <c r="R19" i="3"/>
  <c r="R63" i="3"/>
  <c r="AH61" i="3"/>
  <c r="AG69" i="3"/>
  <c r="AM69" i="3"/>
  <c r="AF72" i="3"/>
  <c r="AL72" i="3"/>
  <c r="AF76" i="3"/>
  <c r="AL76" i="3"/>
  <c r="R62" i="3"/>
  <c r="AH60" i="3"/>
  <c r="AG61" i="3"/>
  <c r="AM61" i="3"/>
  <c r="AG62" i="3"/>
  <c r="AM62" i="3"/>
  <c r="AG72" i="3"/>
  <c r="AM72" i="3"/>
  <c r="AH74" i="3"/>
  <c r="R61" i="3"/>
  <c r="AF61" i="3"/>
  <c r="AL61" i="3"/>
  <c r="AF68" i="3"/>
  <c r="AL68" i="3"/>
  <c r="R60" i="3"/>
  <c r="AH68" i="3"/>
  <c r="AH70" i="3"/>
  <c r="AH71" i="3"/>
  <c r="AF73" i="3"/>
  <c r="AL73" i="3"/>
  <c r="AI75" i="3"/>
  <c r="AJ75" i="3"/>
  <c r="AI42" i="3"/>
  <c r="AJ42" i="3"/>
  <c r="AG60" i="3"/>
  <c r="AM60" i="3"/>
  <c r="S60" i="3"/>
  <c r="AF69" i="3"/>
  <c r="AL69" i="3"/>
  <c r="S71" i="3"/>
  <c r="AD73" i="3"/>
  <c r="S75" i="3"/>
  <c r="Q75" i="3"/>
  <c r="AF75" i="3"/>
  <c r="AL75" i="3"/>
  <c r="R76" i="3"/>
  <c r="AG76" i="3"/>
  <c r="AM76" i="3"/>
  <c r="P75" i="3"/>
  <c r="AE75" i="3"/>
  <c r="Q76" i="3"/>
  <c r="AD75" i="3"/>
  <c r="P76" i="3"/>
  <c r="AE76" i="3"/>
  <c r="AD76" i="3"/>
  <c r="AH75" i="3"/>
  <c r="AI76" i="3"/>
  <c r="R75" i="3"/>
  <c r="AD71" i="3"/>
  <c r="P72" i="3"/>
  <c r="AE72" i="3"/>
  <c r="Q73" i="3"/>
  <c r="R74" i="3"/>
  <c r="AG74" i="3"/>
  <c r="AM74" i="3"/>
  <c r="AI71" i="3"/>
  <c r="AK71" i="3"/>
  <c r="AD72" i="3"/>
  <c r="P73" i="3"/>
  <c r="AE73" i="3"/>
  <c r="Q74" i="3"/>
  <c r="AF74" i="3"/>
  <c r="AL74" i="3"/>
  <c r="AI72" i="3"/>
  <c r="AJ72" i="3"/>
  <c r="P74" i="3"/>
  <c r="AE74" i="3"/>
  <c r="R71" i="3"/>
  <c r="AG71" i="3"/>
  <c r="AM71" i="3"/>
  <c r="S72" i="3"/>
  <c r="AH72" i="3"/>
  <c r="AI73" i="3"/>
  <c r="AK73" i="3"/>
  <c r="AD74" i="3"/>
  <c r="Q71" i="3"/>
  <c r="R72" i="3"/>
  <c r="S73" i="3"/>
  <c r="AH73" i="3"/>
  <c r="AI74" i="3"/>
  <c r="P71" i="3"/>
  <c r="R73" i="3"/>
  <c r="Q69" i="3"/>
  <c r="R70" i="3"/>
  <c r="AG70" i="3"/>
  <c r="AM70" i="3"/>
  <c r="P69" i="3"/>
  <c r="AE69" i="3"/>
  <c r="Q70" i="3"/>
  <c r="AF70" i="3"/>
  <c r="AL70" i="3"/>
  <c r="AD69" i="3"/>
  <c r="P70" i="3"/>
  <c r="AE70" i="3"/>
  <c r="AI69" i="3"/>
  <c r="AD70" i="3"/>
  <c r="AH69" i="3"/>
  <c r="AI70" i="3"/>
  <c r="AJ70" i="3"/>
  <c r="R69" i="3"/>
  <c r="Q67" i="3"/>
  <c r="AF67" i="3"/>
  <c r="AL67" i="3"/>
  <c r="R68" i="3"/>
  <c r="AG68" i="3"/>
  <c r="AM68" i="3"/>
  <c r="P67" i="3"/>
  <c r="AE67" i="3"/>
  <c r="Q68" i="3"/>
  <c r="AD67" i="3"/>
  <c r="P68" i="3"/>
  <c r="AE68" i="3"/>
  <c r="AD68" i="3"/>
  <c r="AH67" i="3"/>
  <c r="AI68" i="3"/>
  <c r="AJ68" i="3"/>
  <c r="R67" i="3"/>
  <c r="AI62" i="3"/>
  <c r="Q62" i="3"/>
  <c r="P62" i="3"/>
  <c r="AE62" i="3"/>
  <c r="AD62" i="3"/>
  <c r="P63" i="3"/>
  <c r="AE63" i="3"/>
  <c r="AH62" i="3"/>
  <c r="P60" i="3"/>
  <c r="AE60" i="3"/>
  <c r="Q61" i="3"/>
  <c r="AD60" i="3"/>
  <c r="P61" i="3"/>
  <c r="AE61" i="3"/>
  <c r="AD61" i="3"/>
  <c r="AK23" i="3"/>
  <c r="Q53" i="19"/>
  <c r="G55" i="19"/>
  <c r="Q54" i="19"/>
  <c r="G56" i="19"/>
  <c r="Q40" i="19"/>
  <c r="S40" i="19"/>
  <c r="R53" i="19"/>
  <c r="H55" i="19"/>
  <c r="R54" i="19"/>
  <c r="H56" i="19"/>
  <c r="T54" i="19"/>
  <c r="AH22" i="9"/>
  <c r="AH21" i="9"/>
  <c r="AN21" i="9"/>
  <c r="AM21" i="9"/>
  <c r="T10" i="9"/>
  <c r="AI8" i="9"/>
  <c r="R14" i="9"/>
  <c r="AJ14" i="9"/>
  <c r="AI17" i="9"/>
  <c r="AG16" i="9"/>
  <c r="AJ16" i="9"/>
  <c r="T16" i="9"/>
  <c r="AJ10" i="9"/>
  <c r="AK10" i="9"/>
  <c r="AF17" i="9"/>
  <c r="S10" i="9"/>
  <c r="S8" i="9"/>
  <c r="Q8" i="9"/>
  <c r="R20" i="9"/>
  <c r="T21" i="9"/>
  <c r="AJ22" i="9"/>
  <c r="AL22" i="9"/>
  <c r="R10" i="9"/>
  <c r="AE8" i="9"/>
  <c r="AG14" i="9"/>
  <c r="AE14" i="9"/>
  <c r="AF19" i="9"/>
  <c r="AF14" i="9"/>
  <c r="T17" i="9"/>
  <c r="AG10" i="9"/>
  <c r="AE17" i="9"/>
  <c r="Q10" i="9"/>
  <c r="R8" i="9"/>
  <c r="AJ21" i="9"/>
  <c r="AE22" i="9"/>
  <c r="AI14" i="9"/>
  <c r="AH19" i="9"/>
  <c r="AM19" i="9"/>
  <c r="R17" i="9"/>
  <c r="R16" i="9"/>
  <c r="AH16" i="9"/>
  <c r="AN16" i="9"/>
  <c r="AM16" i="9"/>
  <c r="AG17" i="9"/>
  <c r="T14" i="9"/>
  <c r="Q14" i="9"/>
  <c r="AE21" i="9"/>
  <c r="Q22" i="9"/>
  <c r="AF22" i="9"/>
  <c r="AG8" i="9"/>
  <c r="G8" i="22"/>
  <c r="M8" i="22"/>
  <c r="O8" i="22"/>
  <c r="AG19" i="9"/>
  <c r="AI16" i="9"/>
  <c r="AE16" i="9"/>
  <c r="Q17" i="9"/>
  <c r="T8" i="9"/>
  <c r="Q16" i="9"/>
  <c r="AJ8" i="9"/>
  <c r="AL8" i="9"/>
  <c r="Q21" i="9"/>
  <c r="AF21" i="9"/>
  <c r="R22" i="9"/>
  <c r="AG22" i="9"/>
  <c r="AF8" i="9"/>
  <c r="AM17" i="9"/>
  <c r="AF6" i="9"/>
  <c r="AI19" i="9"/>
  <c r="S22" i="9"/>
  <c r="H23" i="25"/>
  <c r="S23" i="25"/>
  <c r="U23" i="25"/>
  <c r="AF31" i="8"/>
  <c r="AG31" i="8"/>
  <c r="AM31" i="8"/>
  <c r="AI31" i="8"/>
  <c r="AH31" i="8"/>
  <c r="AN31" i="8"/>
  <c r="AE31" i="8"/>
  <c r="AJ31" i="8"/>
  <c r="AK31" i="8"/>
  <c r="AE22" i="8"/>
  <c r="Q22" i="8"/>
  <c r="AG22" i="8"/>
  <c r="S22" i="8"/>
  <c r="AI22" i="8"/>
  <c r="AG21" i="10"/>
  <c r="AM21" i="10"/>
  <c r="AD21" i="10"/>
  <c r="S21" i="10"/>
  <c r="Q21" i="10"/>
  <c r="AH21" i="10"/>
  <c r="AE21" i="10"/>
  <c r="P21" i="10"/>
  <c r="AF21" i="10"/>
  <c r="AL21" i="10"/>
  <c r="AI21" i="10"/>
  <c r="AJ21" i="10"/>
  <c r="R18" i="9"/>
  <c r="AF18" i="9"/>
  <c r="AH18" i="9"/>
  <c r="AN18" i="9"/>
  <c r="Q18" i="9"/>
  <c r="AJ18" i="9"/>
  <c r="AE18" i="9"/>
  <c r="S18" i="9"/>
  <c r="T18" i="9"/>
  <c r="AI18" i="9"/>
  <c r="AG18" i="9"/>
  <c r="S25" i="21"/>
  <c r="U25" i="21"/>
  <c r="AD82" i="7"/>
  <c r="AE82" i="7"/>
  <c r="AI82" i="7"/>
  <c r="AK82" i="7"/>
  <c r="AG82" i="7"/>
  <c r="AM82" i="7"/>
  <c r="AH82" i="7"/>
  <c r="AF82" i="7"/>
  <c r="AL82" i="7"/>
  <c r="T60" i="15"/>
  <c r="AF15" i="7"/>
  <c r="AL15" i="7"/>
  <c r="AH15" i="7"/>
  <c r="AG15" i="7"/>
  <c r="AM15" i="7"/>
  <c r="AI15" i="7"/>
  <c r="AE15" i="7"/>
  <c r="AD15" i="7"/>
  <c r="AD7" i="10"/>
  <c r="AG7" i="10"/>
  <c r="H9" i="24"/>
  <c r="R7" i="10"/>
  <c r="Q7" i="10"/>
  <c r="S7" i="10"/>
  <c r="AI7" i="10"/>
  <c r="P7" i="10"/>
  <c r="AH7" i="10"/>
  <c r="AE7" i="10"/>
  <c r="AF7" i="10"/>
  <c r="AL7" i="10"/>
  <c r="V11" i="18"/>
  <c r="H13" i="18"/>
  <c r="T13" i="18"/>
  <c r="V13" i="18"/>
  <c r="AG13" i="34"/>
  <c r="AJ23" i="8"/>
  <c r="AH23" i="8"/>
  <c r="AN23" i="8"/>
  <c r="AF23" i="8"/>
  <c r="AG23" i="8"/>
  <c r="AM23" i="8"/>
  <c r="AI23" i="8"/>
  <c r="AE23" i="8"/>
  <c r="AF23" i="10"/>
  <c r="AL23" i="10"/>
  <c r="R23" i="10"/>
  <c r="S23" i="10"/>
  <c r="Q23" i="10"/>
  <c r="AE23" i="10"/>
  <c r="AD23" i="10"/>
  <c r="AG23" i="10"/>
  <c r="AM23" i="10"/>
  <c r="AI23" i="10"/>
  <c r="AK23" i="10"/>
  <c r="P23" i="10"/>
  <c r="AI9" i="10"/>
  <c r="AH9" i="10"/>
  <c r="AE9" i="10"/>
  <c r="AF9" i="10"/>
  <c r="AL9" i="10"/>
  <c r="P9" i="10"/>
  <c r="Q9" i="10"/>
  <c r="AG9" i="10"/>
  <c r="AM9" i="10"/>
  <c r="AD9" i="10"/>
  <c r="S9" i="10"/>
  <c r="AI55" i="3"/>
  <c r="AJ55" i="3"/>
  <c r="AE55" i="3"/>
  <c r="AF55" i="3"/>
  <c r="AL55" i="3"/>
  <c r="AH55" i="3"/>
  <c r="AG55" i="3"/>
  <c r="AD55" i="3"/>
  <c r="AF10" i="6"/>
  <c r="AE10" i="6"/>
  <c r="AH10" i="6"/>
  <c r="AN10" i="6"/>
  <c r="AI10" i="6"/>
  <c r="AJ10" i="6"/>
  <c r="AG10" i="6"/>
  <c r="AM10" i="6"/>
  <c r="R11" i="24"/>
  <c r="Q11" i="24"/>
  <c r="S11" i="24"/>
  <c r="R6" i="15"/>
  <c r="AJ6" i="15"/>
  <c r="S6" i="15"/>
  <c r="T6" i="15"/>
  <c r="U6" i="15"/>
  <c r="AD27" i="3"/>
  <c r="AH27" i="3"/>
  <c r="AI27" i="3"/>
  <c r="AJ27" i="3"/>
  <c r="AG27" i="3"/>
  <c r="AM27" i="3"/>
  <c r="AE27" i="3"/>
  <c r="AF27" i="3"/>
  <c r="AL27" i="3"/>
  <c r="AH80" i="7"/>
  <c r="AF80" i="7"/>
  <c r="AL80" i="7"/>
  <c r="AI80" i="7"/>
  <c r="AK80" i="7"/>
  <c r="AG80" i="7"/>
  <c r="AM80" i="7"/>
  <c r="AE80" i="7"/>
  <c r="AD80" i="7"/>
  <c r="AE84" i="7"/>
  <c r="AH84" i="7"/>
  <c r="AI84" i="7"/>
  <c r="AF84" i="7"/>
  <c r="AL84" i="7"/>
  <c r="AG84" i="7"/>
  <c r="AM84" i="7"/>
  <c r="AM10" i="9"/>
  <c r="AN10" i="9"/>
  <c r="R9" i="10"/>
  <c r="AG37" i="8"/>
  <c r="AM37" i="8"/>
  <c r="AI37" i="8"/>
  <c r="AE37" i="8"/>
  <c r="AH37" i="8"/>
  <c r="AN37" i="8"/>
  <c r="AJ37" i="8"/>
  <c r="AF37" i="8"/>
  <c r="AI13" i="10"/>
  <c r="AJ13" i="10"/>
  <c r="S13" i="10"/>
  <c r="AG13" i="10"/>
  <c r="AM13" i="10"/>
  <c r="AH13" i="10"/>
  <c r="Q13" i="10"/>
  <c r="AE13" i="10"/>
  <c r="AF13" i="10"/>
  <c r="AL13" i="10"/>
  <c r="AD13" i="10"/>
  <c r="P13" i="10"/>
  <c r="R13" i="10"/>
  <c r="R19" i="10"/>
  <c r="AI19" i="10"/>
  <c r="AK19" i="10"/>
  <c r="AD19" i="10"/>
  <c r="AH19" i="10"/>
  <c r="AG19" i="10"/>
  <c r="AM19" i="10"/>
  <c r="Q19" i="10"/>
  <c r="S19" i="10"/>
  <c r="P19" i="10"/>
  <c r="AF19" i="10"/>
  <c r="AL19" i="10"/>
  <c r="S41" i="1"/>
  <c r="R41" i="1"/>
  <c r="T41" i="1"/>
  <c r="U41" i="1"/>
  <c r="S62" i="15"/>
  <c r="AG26" i="8"/>
  <c r="AM26" i="8"/>
  <c r="S26" i="8"/>
  <c r="AE26" i="8"/>
  <c r="Q26" i="8"/>
  <c r="P27" i="10"/>
  <c r="AF27" i="10"/>
  <c r="R27" i="10"/>
  <c r="AG27" i="10"/>
  <c r="H17" i="24"/>
  <c r="R17" i="24"/>
  <c r="T17" i="24"/>
  <c r="AE27" i="10"/>
  <c r="AD27" i="10"/>
  <c r="Q27" i="10"/>
  <c r="S27" i="10"/>
  <c r="AI27" i="10"/>
  <c r="AJ27" i="10"/>
  <c r="AH27" i="10"/>
  <c r="S17" i="10"/>
  <c r="AF17" i="10"/>
  <c r="AL17" i="10"/>
  <c r="R17" i="10"/>
  <c r="AE17" i="10"/>
  <c r="AG17" i="10"/>
  <c r="AM17" i="10"/>
  <c r="AI17" i="10"/>
  <c r="AH17" i="10"/>
  <c r="AD17" i="10"/>
  <c r="P17" i="10"/>
  <c r="Q17" i="10"/>
  <c r="AE21" i="3"/>
  <c r="AI21" i="3"/>
  <c r="AK21" i="3"/>
  <c r="AF21" i="3"/>
  <c r="AL21" i="3"/>
  <c r="AG21" i="3"/>
  <c r="AM21" i="3"/>
  <c r="AD21" i="3"/>
  <c r="AH21" i="3"/>
  <c r="G20" i="21"/>
  <c r="S20" i="21"/>
  <c r="U20" i="21"/>
  <c r="AL39" i="7"/>
  <c r="AN14" i="9"/>
  <c r="H7" i="21"/>
  <c r="T7" i="21"/>
  <c r="V7" i="21"/>
  <c r="V5" i="21"/>
  <c r="H10" i="21"/>
  <c r="T10" i="21"/>
  <c r="V10" i="21"/>
  <c r="H9" i="21"/>
  <c r="T9" i="21"/>
  <c r="V9" i="21"/>
  <c r="H32" i="25"/>
  <c r="S32" i="25"/>
  <c r="U32" i="25"/>
  <c r="AN48" i="8"/>
  <c r="G13" i="19"/>
  <c r="Q13" i="19"/>
  <c r="S13" i="19"/>
  <c r="AK19" i="8"/>
  <c r="AD60" i="7"/>
  <c r="AH42" i="3"/>
  <c r="AE62" i="7"/>
  <c r="AH62" i="7"/>
  <c r="AD17" i="7"/>
  <c r="R17" i="7"/>
  <c r="AE17" i="7"/>
  <c r="S17" i="7"/>
  <c r="P17" i="7"/>
  <c r="AG17" i="7"/>
  <c r="AM17" i="7"/>
  <c r="P9" i="7"/>
  <c r="S9" i="7"/>
  <c r="R9" i="7"/>
  <c r="AD9" i="7"/>
  <c r="AE9" i="7"/>
  <c r="Q33" i="10"/>
  <c r="AH33" i="10"/>
  <c r="AG33" i="10"/>
  <c r="AM33" i="10"/>
  <c r="AI33" i="10"/>
  <c r="AK33" i="10"/>
  <c r="R33" i="10"/>
  <c r="P33" i="10"/>
  <c r="AD18" i="10"/>
  <c r="AI18" i="10"/>
  <c r="AF18" i="10"/>
  <c r="AL18" i="10"/>
  <c r="AH18" i="10"/>
  <c r="AG20" i="10"/>
  <c r="AM20" i="10"/>
  <c r="AH20" i="10"/>
  <c r="AE8" i="5"/>
  <c r="AH8" i="5"/>
  <c r="AF50" i="3"/>
  <c r="G30" i="18"/>
  <c r="S30" i="18"/>
  <c r="U30" i="18"/>
  <c r="AD50" i="3"/>
  <c r="AE34" i="3"/>
  <c r="AG34" i="3"/>
  <c r="AM34" i="3"/>
  <c r="S25" i="3"/>
  <c r="R23" i="3"/>
  <c r="P23" i="3"/>
  <c r="AF23" i="3"/>
  <c r="AL23" i="3"/>
  <c r="AE23" i="3"/>
  <c r="R69" i="7"/>
  <c r="AE42" i="3"/>
  <c r="Q42" i="3"/>
  <c r="S42" i="3"/>
  <c r="R42" i="3"/>
  <c r="P59" i="7"/>
  <c r="R9" i="8"/>
  <c r="AJ9" i="8"/>
  <c r="AL9" i="8"/>
  <c r="AG9" i="8"/>
  <c r="AM9" i="8"/>
  <c r="AE5" i="8"/>
  <c r="AI62" i="7"/>
  <c r="AF32" i="8"/>
  <c r="AI32" i="8"/>
  <c r="S32" i="8"/>
  <c r="Q32" i="8"/>
  <c r="AH8" i="8"/>
  <c r="AN8" i="8"/>
  <c r="AE8" i="8"/>
  <c r="AH6" i="8"/>
  <c r="AN6" i="8"/>
  <c r="AF6" i="8"/>
  <c r="AI6" i="8"/>
  <c r="S5" i="8"/>
  <c r="AF5" i="8"/>
  <c r="AH5" i="8"/>
  <c r="AN5" i="8"/>
  <c r="AD35" i="10"/>
  <c r="P35" i="10"/>
  <c r="AG26" i="7"/>
  <c r="AM26" i="7"/>
  <c r="AF44" i="1"/>
  <c r="R70" i="7"/>
  <c r="AE16" i="6"/>
  <c r="S44" i="3"/>
  <c r="AF20" i="7"/>
  <c r="AL20" i="7"/>
  <c r="AD14" i="7"/>
  <c r="P10" i="7"/>
  <c r="T17" i="8"/>
  <c r="AG5" i="8"/>
  <c r="AM5" i="8"/>
  <c r="AI10" i="9"/>
  <c r="P28" i="7"/>
  <c r="AI7" i="9"/>
  <c r="R5" i="3"/>
  <c r="R67" i="7"/>
  <c r="AE23" i="7"/>
  <c r="AF8" i="8"/>
  <c r="AI28" i="10"/>
  <c r="AK28" i="10"/>
  <c r="S28" i="10"/>
  <c r="P8" i="5"/>
  <c r="Q8" i="5"/>
  <c r="AD31" i="10"/>
  <c r="S7" i="35"/>
  <c r="U7" i="35"/>
  <c r="AR21" i="34"/>
  <c r="AL10" i="9"/>
  <c r="AL21" i="9"/>
  <c r="AK21" i="9"/>
  <c r="AM7" i="10"/>
  <c r="R9" i="24"/>
  <c r="T9" i="24"/>
  <c r="AJ82" i="7"/>
  <c r="H23" i="18"/>
  <c r="T23" i="18"/>
  <c r="V23" i="18"/>
  <c r="AK27" i="10"/>
  <c r="AK13" i="10"/>
  <c r="AJ80" i="7"/>
  <c r="AJ19" i="10"/>
  <c r="AL10" i="6"/>
  <c r="AK10" i="6"/>
  <c r="AJ15" i="7"/>
  <c r="AK15" i="7"/>
  <c r="AJ45" i="3"/>
  <c r="AK9" i="10"/>
  <c r="AJ9" i="10"/>
  <c r="AK22" i="10"/>
  <c r="S38" i="28"/>
  <c r="AG60" i="28"/>
  <c r="AM60" i="28"/>
  <c r="R43" i="28"/>
  <c r="R44" i="28"/>
  <c r="T47" i="28"/>
  <c r="AE7" i="28"/>
  <c r="R35" i="28"/>
  <c r="T39" i="28"/>
  <c r="T41" i="28"/>
  <c r="AJ43" i="28"/>
  <c r="AK43" i="28"/>
  <c r="S44" i="28"/>
  <c r="Q45" i="28"/>
  <c r="S45" i="28"/>
  <c r="T45" i="28"/>
  <c r="Q47" i="28"/>
  <c r="T46" i="28"/>
  <c r="AL43" i="28"/>
  <c r="Q6" i="28"/>
  <c r="T6" i="28"/>
  <c r="Q58" i="28"/>
  <c r="AH43" i="28"/>
  <c r="AN43" i="28"/>
  <c r="T44" i="28"/>
  <c r="Q32" i="28"/>
  <c r="S32" i="28"/>
  <c r="AE38" i="28"/>
  <c r="AG6" i="28"/>
  <c r="AM6" i="28"/>
  <c r="R8" i="28"/>
  <c r="T43" i="28"/>
  <c r="AI43" i="28"/>
  <c r="Q46" i="28"/>
  <c r="AF54" i="28"/>
  <c r="Q38" i="28"/>
  <c r="Q8" i="28"/>
  <c r="S58" i="28"/>
  <c r="Q44" i="28"/>
  <c r="S46" i="28"/>
  <c r="AI6" i="28"/>
  <c r="AI8" i="28"/>
  <c r="AE50" i="28"/>
  <c r="T14" i="28"/>
  <c r="AE30" i="28"/>
  <c r="Q14" i="28"/>
  <c r="S50" i="28"/>
  <c r="T20" i="28"/>
  <c r="Q52" i="28"/>
  <c r="S54" i="28"/>
  <c r="R14" i="28"/>
  <c r="AG52" i="28"/>
  <c r="AM52" i="28"/>
  <c r="T52" i="28"/>
  <c r="AG58" i="28"/>
  <c r="AM58" i="28"/>
  <c r="S14" i="28"/>
  <c r="T30" i="28"/>
  <c r="AE6" i="28"/>
  <c r="S52" i="28"/>
  <c r="AJ60" i="28"/>
  <c r="AL60" i="28"/>
  <c r="AH54" i="28"/>
  <c r="H30" i="29"/>
  <c r="S30" i="29"/>
  <c r="U30" i="29"/>
  <c r="AJ30" i="28"/>
  <c r="AK30" i="28"/>
  <c r="AF6" i="28"/>
  <c r="AH52" i="28"/>
  <c r="AN52" i="28"/>
  <c r="AF8" i="28"/>
  <c r="AJ6" i="28"/>
  <c r="AK6" i="28"/>
  <c r="AH6" i="28"/>
  <c r="AN6" i="28"/>
  <c r="Q40" i="28"/>
  <c r="AI58" i="28"/>
  <c r="AJ52" i="28"/>
  <c r="AK52" i="28"/>
  <c r="Q41" i="28"/>
  <c r="AJ8" i="3"/>
  <c r="AM11" i="8"/>
  <c r="G7" i="25"/>
  <c r="R7" i="25"/>
  <c r="T7" i="25"/>
  <c r="G13" i="25"/>
  <c r="R13" i="25"/>
  <c r="T13" i="25"/>
  <c r="AK22" i="9"/>
  <c r="AK8" i="9"/>
  <c r="AK74" i="3"/>
  <c r="AJ74" i="3"/>
  <c r="H14" i="18"/>
  <c r="T14" i="18"/>
  <c r="V14" i="18"/>
  <c r="V12" i="18"/>
  <c r="AK33" i="7"/>
  <c r="AJ33" i="7"/>
  <c r="AK7" i="10"/>
  <c r="AJ7" i="10"/>
  <c r="D17" i="34"/>
  <c r="AS11" i="34"/>
  <c r="AM46" i="1"/>
  <c r="AL46" i="1"/>
  <c r="S61" i="15"/>
  <c r="AL45" i="8"/>
  <c r="AK45" i="8"/>
  <c r="AJ67" i="7"/>
  <c r="AK68" i="7"/>
  <c r="AK7" i="8"/>
  <c r="AL7" i="8"/>
  <c r="AK5" i="8"/>
  <c r="AL5" i="8"/>
  <c r="AL51" i="3"/>
  <c r="AJ30" i="10"/>
  <c r="AK30" i="10"/>
  <c r="AK37" i="10"/>
  <c r="AJ37" i="10"/>
  <c r="AJ46" i="3"/>
  <c r="AJ10" i="10"/>
  <c r="AK10" i="10"/>
  <c r="AK42" i="3"/>
  <c r="AK57" i="7"/>
  <c r="AJ57" i="7"/>
  <c r="T63" i="15"/>
  <c r="T61" i="15"/>
  <c r="F16" i="34"/>
  <c r="H17" i="25"/>
  <c r="S17" i="25"/>
  <c r="U17" i="25"/>
  <c r="AN29" i="8"/>
  <c r="AK17" i="6"/>
  <c r="AG12" i="3"/>
  <c r="AM12" i="3"/>
  <c r="AE12" i="3"/>
  <c r="AH12" i="3"/>
  <c r="AI12" i="3"/>
  <c r="AJ12" i="3"/>
  <c r="AD12" i="3"/>
  <c r="P66" i="7"/>
  <c r="S66" i="7"/>
  <c r="AD66" i="7"/>
  <c r="AI66" i="7"/>
  <c r="AJ66" i="7"/>
  <c r="AF66" i="7"/>
  <c r="AL66" i="7"/>
  <c r="AI34" i="7"/>
  <c r="AK34" i="7"/>
  <c r="Q39" i="7"/>
  <c r="R39" i="7"/>
  <c r="AG39" i="7"/>
  <c r="P39" i="7"/>
  <c r="S39" i="7"/>
  <c r="AE39" i="7"/>
  <c r="AH39" i="7"/>
  <c r="AI39" i="7"/>
  <c r="H46" i="19"/>
  <c r="R46" i="19"/>
  <c r="T46" i="19"/>
  <c r="AN25" i="6"/>
  <c r="R66" i="7"/>
  <c r="AK13" i="7"/>
  <c r="R26" i="28"/>
  <c r="T59" i="28"/>
  <c r="S59" i="28"/>
  <c r="AE59" i="28"/>
  <c r="AH59" i="28"/>
  <c r="H33" i="29"/>
  <c r="AH35" i="8"/>
  <c r="AN35" i="8"/>
  <c r="R10" i="28"/>
  <c r="AJ10" i="28"/>
  <c r="S10" i="28"/>
  <c r="AE10" i="28"/>
  <c r="AG10" i="28"/>
  <c r="G14" i="29"/>
  <c r="R14" i="29"/>
  <c r="T14" i="29"/>
  <c r="G12" i="29"/>
  <c r="R12" i="29"/>
  <c r="T12" i="29"/>
  <c r="Q10" i="28"/>
  <c r="AF10" i="28"/>
  <c r="R34" i="8"/>
  <c r="AH34" i="8"/>
  <c r="AN34" i="8"/>
  <c r="AI34" i="8"/>
  <c r="AE34" i="8"/>
  <c r="AG34" i="8"/>
  <c r="AM34" i="8"/>
  <c r="Q34" i="8"/>
  <c r="AH23" i="6"/>
  <c r="AN23" i="6"/>
  <c r="H44" i="19"/>
  <c r="R44" i="19"/>
  <c r="T44" i="19"/>
  <c r="T23" i="6"/>
  <c r="T25" i="6"/>
  <c r="R27" i="6"/>
  <c r="T27" i="6"/>
  <c r="S34" i="8"/>
  <c r="AD26" i="3"/>
  <c r="R26" i="3"/>
  <c r="P26" i="3"/>
  <c r="AF26" i="3"/>
  <c r="AL26" i="3"/>
  <c r="AI25" i="7"/>
  <c r="AK25" i="7"/>
  <c r="S25" i="7"/>
  <c r="AI11" i="8"/>
  <c r="H33" i="25"/>
  <c r="S33" i="25"/>
  <c r="U33" i="25"/>
  <c r="AF55" i="7"/>
  <c r="AL55" i="7"/>
  <c r="R25" i="8"/>
  <c r="AF25" i="8"/>
  <c r="T25" i="8"/>
  <c r="AE22" i="3"/>
  <c r="AH47" i="3"/>
  <c r="R47" i="3"/>
  <c r="AG21" i="9"/>
  <c r="AI21" i="9"/>
  <c r="R27" i="8"/>
  <c r="T27" i="8"/>
  <c r="AG15" i="9"/>
  <c r="S15" i="9"/>
  <c r="Q15" i="9"/>
  <c r="S24" i="3"/>
  <c r="AH24" i="3"/>
  <c r="P7" i="3"/>
  <c r="R7" i="3"/>
  <c r="AI58" i="7"/>
  <c r="AK58" i="7"/>
  <c r="R58" i="7"/>
  <c r="S58" i="7"/>
  <c r="P58" i="7"/>
  <c r="Q58" i="7"/>
  <c r="AE16" i="8"/>
  <c r="AG16" i="8"/>
  <c r="AM16" i="8"/>
  <c r="AG8" i="8"/>
  <c r="AM8" i="8"/>
  <c r="AI8" i="8"/>
  <c r="AJ6" i="8"/>
  <c r="AL6" i="8"/>
  <c r="AE6" i="8"/>
  <c r="R5" i="8"/>
  <c r="AI5" i="8"/>
  <c r="T15" i="9"/>
  <c r="AE12" i="10"/>
  <c r="S40" i="8"/>
  <c r="AI40" i="8"/>
  <c r="AJ17" i="9"/>
  <c r="AL17" i="9"/>
  <c r="AH76" i="3"/>
  <c r="P70" i="7"/>
  <c r="AE70" i="7"/>
  <c r="AI70" i="7"/>
  <c r="AK70" i="7"/>
  <c r="AH70" i="7"/>
  <c r="AG66" i="7"/>
  <c r="AM66" i="7"/>
  <c r="Q28" i="8"/>
  <c r="AG28" i="8"/>
  <c r="G22" i="25"/>
  <c r="R22" i="25"/>
  <c r="T22" i="25"/>
  <c r="AE28" i="8"/>
  <c r="S28" i="8"/>
  <c r="AI28" i="8"/>
  <c r="S18" i="8"/>
  <c r="S20" i="8"/>
  <c r="AG6" i="10"/>
  <c r="Q7" i="5"/>
  <c r="AD7" i="5"/>
  <c r="AH7" i="5"/>
  <c r="S7" i="5"/>
  <c r="AH28" i="10"/>
  <c r="AF28" i="10"/>
  <c r="AD28" i="10"/>
  <c r="AF59" i="28"/>
  <c r="AC14" i="34"/>
  <c r="AE14" i="34"/>
  <c r="AR14" i="34"/>
  <c r="AG14" i="34"/>
  <c r="T8" i="36"/>
  <c r="V8" i="36"/>
  <c r="AK8" i="36"/>
  <c r="AM8" i="36"/>
  <c r="S16" i="18"/>
  <c r="U16" i="18"/>
  <c r="T7" i="36"/>
  <c r="V7" i="36"/>
  <c r="T22" i="9"/>
  <c r="AL52" i="28"/>
  <c r="AJ58" i="7"/>
  <c r="D19" i="34"/>
  <c r="AN59" i="28"/>
  <c r="AM10" i="28"/>
  <c r="G10" i="29"/>
  <c r="R10" i="29"/>
  <c r="T10" i="29"/>
  <c r="S59" i="15"/>
  <c r="T59" i="15"/>
  <c r="AH5" i="15"/>
  <c r="AI10" i="15"/>
  <c r="H8" i="23"/>
  <c r="R8" i="23"/>
  <c r="T8" i="23"/>
  <c r="S5" i="15"/>
  <c r="AI5" i="15"/>
  <c r="H5" i="23"/>
  <c r="R5" i="23"/>
  <c r="T5" i="23"/>
  <c r="U5" i="15"/>
  <c r="AK13" i="15"/>
  <c r="AL13" i="15"/>
  <c r="K58" i="15"/>
  <c r="H14" i="23"/>
  <c r="R14" i="23"/>
  <c r="T14" i="23"/>
  <c r="AO16" i="15"/>
  <c r="AK10" i="15"/>
  <c r="T8" i="15"/>
  <c r="AI6" i="15"/>
  <c r="AF11" i="15"/>
  <c r="AF10" i="15"/>
  <c r="AK5" i="15"/>
  <c r="AM5" i="15"/>
  <c r="AL5" i="15"/>
  <c r="U13" i="15"/>
  <c r="T5" i="15"/>
  <c r="AJ8" i="15"/>
  <c r="T7" i="15"/>
  <c r="T12" i="15"/>
  <c r="AJ5" i="15"/>
  <c r="AF5" i="15"/>
  <c r="Q76" i="15"/>
  <c r="T76" i="15"/>
  <c r="AL12" i="15"/>
  <c r="AG6" i="15"/>
  <c r="AH16" i="15"/>
  <c r="G16" i="23"/>
  <c r="Q16" i="23"/>
  <c r="S16" i="23"/>
  <c r="AJ13" i="15"/>
  <c r="AK16" i="15"/>
  <c r="AM16" i="15"/>
  <c r="AI12" i="15"/>
  <c r="AO12" i="15"/>
  <c r="R10" i="15"/>
  <c r="AK11" i="15"/>
  <c r="AM11" i="15"/>
  <c r="U9" i="15"/>
  <c r="AJ11" i="15"/>
  <c r="U12" i="15"/>
  <c r="AH11" i="15"/>
  <c r="G11" i="23"/>
  <c r="Q11" i="23"/>
  <c r="S11" i="23"/>
  <c r="U10" i="15"/>
  <c r="R12" i="15"/>
  <c r="AJ16" i="15"/>
  <c r="T13" i="15"/>
  <c r="R5" i="15"/>
  <c r="AI11" i="15"/>
  <c r="H11" i="23"/>
  <c r="R11" i="23"/>
  <c r="T11" i="23"/>
  <c r="AK6" i="15"/>
  <c r="AM6" i="15"/>
  <c r="T65" i="15"/>
  <c r="AI13" i="15"/>
  <c r="AO13" i="15"/>
  <c r="AG13" i="15"/>
  <c r="S10" i="15"/>
  <c r="T10" i="15"/>
  <c r="AG16" i="15"/>
  <c r="Q81" i="15"/>
  <c r="T81" i="15"/>
  <c r="AH6" i="15"/>
  <c r="G6" i="23"/>
  <c r="Q6" i="23"/>
  <c r="S6" i="23"/>
  <c r="AG10" i="15"/>
  <c r="AF13" i="15"/>
  <c r="AJ10" i="15"/>
  <c r="G19" i="18"/>
  <c r="S19" i="18"/>
  <c r="U19" i="18"/>
  <c r="G23" i="18"/>
  <c r="S23" i="18"/>
  <c r="U23" i="18"/>
  <c r="H16" i="23"/>
  <c r="R16" i="23"/>
  <c r="T16" i="23"/>
  <c r="AG18" i="3"/>
  <c r="AM18" i="3"/>
  <c r="AF32" i="3"/>
  <c r="AL32" i="3"/>
  <c r="AD32" i="3"/>
  <c r="AD14" i="3"/>
  <c r="S14" i="3"/>
  <c r="AI14" i="3"/>
  <c r="AJ14" i="3"/>
  <c r="Q32" i="3"/>
  <c r="S37" i="3"/>
  <c r="Q10" i="3"/>
  <c r="S8" i="3"/>
  <c r="P41" i="3"/>
  <c r="AG16" i="3"/>
  <c r="AM16" i="3"/>
  <c r="S56" i="3"/>
  <c r="R21" i="3"/>
  <c r="AK70" i="3"/>
  <c r="AK75" i="3"/>
  <c r="AK55" i="3"/>
  <c r="G35" i="18"/>
  <c r="S35" i="18"/>
  <c r="U35" i="18"/>
  <c r="AJ21" i="3"/>
  <c r="G20" i="18"/>
  <c r="S20" i="18"/>
  <c r="U20" i="18"/>
  <c r="AI10" i="3"/>
  <c r="AK10" i="3"/>
  <c r="AE20" i="3"/>
  <c r="AH32" i="3"/>
  <c r="Q52" i="3"/>
  <c r="AE52" i="3"/>
  <c r="R35" i="3"/>
  <c r="G17" i="18"/>
  <c r="S17" i="18"/>
  <c r="U17" i="18"/>
  <c r="AK68" i="3"/>
  <c r="AM14" i="15"/>
  <c r="S20" i="3"/>
  <c r="AG20" i="3"/>
  <c r="AM20" i="3"/>
  <c r="P52" i="3"/>
  <c r="Q16" i="3"/>
  <c r="AI20" i="3"/>
  <c r="AK20" i="3"/>
  <c r="AG24" i="3"/>
  <c r="H18" i="18"/>
  <c r="T18" i="18"/>
  <c r="V18" i="18"/>
  <c r="AK32" i="3"/>
  <c r="AI24" i="3"/>
  <c r="AJ24" i="3"/>
  <c r="R24" i="3"/>
  <c r="P24" i="3"/>
  <c r="AJ71" i="3"/>
  <c r="AE24" i="3"/>
  <c r="M76" i="15"/>
  <c r="S76" i="15"/>
  <c r="AL6" i="15"/>
  <c r="AO6" i="15"/>
  <c r="H6" i="23"/>
  <c r="R6" i="23"/>
  <c r="T6" i="23"/>
  <c r="AL16" i="15"/>
  <c r="AK24" i="3"/>
  <c r="AK6" i="3"/>
  <c r="AJ6" i="3"/>
  <c r="AJ69" i="3"/>
  <c r="AK69" i="3"/>
  <c r="AJ76" i="3"/>
  <c r="AK76" i="3"/>
  <c r="AK72" i="3"/>
  <c r="AJ31" i="3"/>
  <c r="AK31" i="3"/>
  <c r="P43" i="3"/>
  <c r="R43" i="3"/>
  <c r="AE43" i="3"/>
  <c r="S38" i="3"/>
  <c r="Q38" i="3"/>
  <c r="P38" i="3"/>
  <c r="R45" i="3"/>
  <c r="AE54" i="3"/>
  <c r="AI9" i="3"/>
  <c r="AJ9" i="3"/>
  <c r="AE18" i="3"/>
  <c r="AE16" i="3"/>
  <c r="AI18" i="3"/>
  <c r="AH38" i="3"/>
  <c r="S18" i="3"/>
  <c r="Q36" i="3"/>
  <c r="G32" i="18"/>
  <c r="S32" i="18"/>
  <c r="U32" i="18"/>
  <c r="AM28" i="3"/>
  <c r="AE9" i="3"/>
  <c r="S54" i="3"/>
  <c r="AD5" i="3"/>
  <c r="AF45" i="3"/>
  <c r="AL45" i="3"/>
  <c r="AF9" i="3"/>
  <c r="AL9" i="3"/>
  <c r="AH40" i="3"/>
  <c r="Q13" i="3"/>
  <c r="AD30" i="3"/>
  <c r="AD16" i="3"/>
  <c r="S45" i="3"/>
  <c r="AF44" i="3"/>
  <c r="AL44" i="3"/>
  <c r="AF12" i="3"/>
  <c r="AL12" i="3"/>
  <c r="AD9" i="3"/>
  <c r="AG56" i="3"/>
  <c r="H36" i="18"/>
  <c r="T36" i="18"/>
  <c r="V36" i="18"/>
  <c r="AI56" i="3"/>
  <c r="AJ56" i="3"/>
  <c r="R15" i="3"/>
  <c r="P30" i="3"/>
  <c r="Q18" i="3"/>
  <c r="AH45" i="3"/>
  <c r="AI13" i="3"/>
  <c r="AJ13" i="3"/>
  <c r="AG36" i="3"/>
  <c r="AM36" i="3"/>
  <c r="S9" i="3"/>
  <c r="AH9" i="3"/>
  <c r="S40" i="3"/>
  <c r="AF38" i="3"/>
  <c r="AL38" i="3"/>
  <c r="AG44" i="3"/>
  <c r="AM44" i="3"/>
  <c r="AD44" i="3"/>
  <c r="AE14" i="3"/>
  <c r="AG14" i="3"/>
  <c r="AM14" i="3"/>
  <c r="AD36" i="3"/>
  <c r="P36" i="3"/>
  <c r="AK27" i="3"/>
  <c r="AJ61" i="3"/>
  <c r="R30" i="3"/>
  <c r="AI40" i="3"/>
  <c r="AK40" i="3"/>
  <c r="AE45" i="3"/>
  <c r="AD45" i="3"/>
  <c r="Q43" i="3"/>
  <c r="AG9" i="3"/>
  <c r="AM9" i="3"/>
  <c r="AE5" i="3"/>
  <c r="R40" i="3"/>
  <c r="AI44" i="3"/>
  <c r="AK44" i="3"/>
  <c r="AJ44" i="3"/>
  <c r="AE40" i="3"/>
  <c r="AH46" i="3"/>
  <c r="R46" i="3"/>
  <c r="AE32" i="3"/>
  <c r="AI25" i="3"/>
  <c r="AK25" i="3"/>
  <c r="Q25" i="3"/>
  <c r="Q14" i="3"/>
  <c r="AH10" i="3"/>
  <c r="AF10" i="3"/>
  <c r="AL10" i="3"/>
  <c r="AG13" i="3"/>
  <c r="AM13" i="3"/>
  <c r="P15" i="3"/>
  <c r="S36" i="3"/>
  <c r="AJ43" i="3"/>
  <c r="AF30" i="3"/>
  <c r="AH5" i="3"/>
  <c r="AI54" i="3"/>
  <c r="AJ54" i="3"/>
  <c r="AF13" i="3"/>
  <c r="AL13" i="3"/>
  <c r="AE13" i="3"/>
  <c r="Q54" i="3"/>
  <c r="AH13" i="3"/>
  <c r="AD15" i="3"/>
  <c r="AD40" i="3"/>
  <c r="AG38" i="3"/>
  <c r="AM38" i="3"/>
  <c r="P13" i="3"/>
  <c r="AD6" i="3"/>
  <c r="S6" i="3"/>
  <c r="AD22" i="3"/>
  <c r="S22" i="3"/>
  <c r="AF22" i="3"/>
  <c r="AL22" i="3"/>
  <c r="P9" i="3"/>
  <c r="AF43" i="3"/>
  <c r="AL43" i="3"/>
  <c r="AD43" i="3"/>
  <c r="AG43" i="3"/>
  <c r="AM43" i="3"/>
  <c r="S43" i="3"/>
  <c r="AD13" i="3"/>
  <c r="U11" i="18"/>
  <c r="AF40" i="3"/>
  <c r="AL40" i="3"/>
  <c r="S13" i="3"/>
  <c r="Q9" i="3"/>
  <c r="AG41" i="3"/>
  <c r="AM41" i="3"/>
  <c r="AE41" i="3"/>
  <c r="AG40" i="3"/>
  <c r="AM40" i="3"/>
  <c r="AD35" i="3"/>
  <c r="R13" i="3"/>
  <c r="P6" i="3"/>
  <c r="AF28" i="3"/>
  <c r="AL28" i="3"/>
  <c r="AH28" i="3"/>
  <c r="S52" i="3"/>
  <c r="AI52" i="3"/>
  <c r="AK52" i="3"/>
  <c r="AG52" i="3"/>
  <c r="R29" i="3"/>
  <c r="Q55" i="3"/>
  <c r="AD29" i="3"/>
  <c r="AH29" i="3"/>
  <c r="AD48" i="3"/>
  <c r="S55" i="3"/>
  <c r="G24" i="18"/>
  <c r="S24" i="18"/>
  <c r="U24" i="18"/>
  <c r="AJ25" i="3"/>
  <c r="AI9" i="33"/>
  <c r="AJ9" i="33"/>
  <c r="AN9" i="33"/>
  <c r="AE9" i="33"/>
  <c r="AG9" i="33"/>
  <c r="AK9" i="33"/>
  <c r="Q9" i="33"/>
  <c r="S9" i="33"/>
  <c r="AF9" i="33"/>
  <c r="AH9" i="33"/>
  <c r="AL9" i="33"/>
  <c r="R9" i="33"/>
  <c r="T9" i="33"/>
  <c r="Q8" i="33"/>
  <c r="S8" i="33"/>
  <c r="T60" i="28"/>
  <c r="S60" i="28"/>
  <c r="AF60" i="28"/>
  <c r="Q60" i="28"/>
  <c r="R60" i="28"/>
  <c r="AI60" i="28"/>
  <c r="AE60" i="28"/>
  <c r="G34" i="29"/>
  <c r="R34" i="29"/>
  <c r="T34" i="29"/>
  <c r="AJ53" i="28"/>
  <c r="AL53" i="28"/>
  <c r="AH53" i="28"/>
  <c r="T53" i="28"/>
  <c r="AG53" i="28"/>
  <c r="R55" i="28"/>
  <c r="T55" i="28"/>
  <c r="AF53" i="28"/>
  <c r="R53" i="28"/>
  <c r="S53" i="28"/>
  <c r="AN50" i="28"/>
  <c r="T48" i="28"/>
  <c r="AI50" i="28"/>
  <c r="S48" i="28"/>
  <c r="AJ37" i="28"/>
  <c r="AL37" i="28"/>
  <c r="AE43" i="28"/>
  <c r="R47" i="28"/>
  <c r="AG50" i="28"/>
  <c r="G28" i="29"/>
  <c r="R28" i="29"/>
  <c r="T28" i="29"/>
  <c r="AI42" i="28"/>
  <c r="AF46" i="28"/>
  <c r="AJ46" i="28"/>
  <c r="AL46" i="28"/>
  <c r="AE46" i="28"/>
  <c r="AJ48" i="28"/>
  <c r="AL48" i="28"/>
  <c r="AK48" i="28"/>
  <c r="AE44" i="28"/>
  <c r="AI46" i="28"/>
  <c r="AH48" i="28"/>
  <c r="AN48" i="28"/>
  <c r="AF48" i="28"/>
  <c r="AH37" i="28"/>
  <c r="AN37" i="28"/>
  <c r="R50" i="28"/>
  <c r="T50" i="28"/>
  <c r="AF50" i="28"/>
  <c r="AI44" i="28"/>
  <c r="AF37" i="28"/>
  <c r="Q48" i="28"/>
  <c r="AG48" i="28"/>
  <c r="AM48" i="28"/>
  <c r="AJ50" i="28"/>
  <c r="Q50" i="28"/>
  <c r="AH46" i="28"/>
  <c r="AN46" i="28"/>
  <c r="AE48" i="28"/>
  <c r="R48" i="28"/>
  <c r="AI26" i="28"/>
  <c r="AE22" i="28"/>
  <c r="Q24" i="28"/>
  <c r="T26" i="28"/>
  <c r="Q26" i="28"/>
  <c r="AH23" i="28"/>
  <c r="AN23" i="28"/>
  <c r="AJ29" i="28"/>
  <c r="AL29" i="28"/>
  <c r="AG24" i="28"/>
  <c r="AM24" i="28"/>
  <c r="AI22" i="28"/>
  <c r="AE20" i="28"/>
  <c r="Q22" i="28"/>
  <c r="AF23" i="28"/>
  <c r="T23" i="28"/>
  <c r="AI24" i="28"/>
  <c r="S22" i="28"/>
  <c r="AH27" i="28"/>
  <c r="H23" i="29"/>
  <c r="S23" i="29"/>
  <c r="U23" i="29"/>
  <c r="AN27" i="28"/>
  <c r="AH20" i="28"/>
  <c r="AN20" i="28"/>
  <c r="AF29" i="28"/>
  <c r="AJ23" i="28"/>
  <c r="AK23" i="28"/>
  <c r="AG27" i="28"/>
  <c r="G21" i="29"/>
  <c r="R21" i="29"/>
  <c r="T21" i="29"/>
  <c r="T29" i="28"/>
  <c r="AH13" i="28"/>
  <c r="AN13" i="28"/>
  <c r="AM53" i="28"/>
  <c r="G29" i="29"/>
  <c r="R29" i="29"/>
  <c r="T29" i="29"/>
  <c r="AK46" i="28"/>
  <c r="AE8" i="33"/>
  <c r="AG8" i="33"/>
  <c r="AK8" i="33"/>
  <c r="AJ5" i="33"/>
  <c r="AM5" i="33"/>
  <c r="AJ8" i="33"/>
  <c r="AN8" i="33"/>
  <c r="R5" i="33"/>
  <c r="AI5" i="33"/>
  <c r="S5" i="33"/>
  <c r="R7" i="33"/>
  <c r="AI8" i="33"/>
  <c r="AF5" i="33"/>
  <c r="AG7" i="33"/>
  <c r="AK7" i="33"/>
  <c r="AH7" i="33"/>
  <c r="AL7" i="33"/>
  <c r="Q5" i="33"/>
  <c r="AH5" i="33"/>
  <c r="AL5" i="33"/>
  <c r="S7" i="33"/>
  <c r="AJ7" i="33"/>
  <c r="AG5" i="33"/>
  <c r="AK5" i="33"/>
  <c r="AF8" i="33"/>
  <c r="AH8" i="33"/>
  <c r="AL8" i="33"/>
  <c r="AN6" i="33"/>
  <c r="AE5" i="33"/>
  <c r="AM8" i="33"/>
  <c r="AJ24" i="1"/>
  <c r="AI27" i="1"/>
  <c r="H15" i="17"/>
  <c r="P15" i="17"/>
  <c r="R15" i="17"/>
  <c r="S8" i="1"/>
  <c r="AH8" i="1"/>
  <c r="AN8" i="1"/>
  <c r="AK40" i="1"/>
  <c r="T33" i="1"/>
  <c r="AK27" i="1"/>
  <c r="AL27" i="1"/>
  <c r="T40" i="1"/>
  <c r="AF40" i="1"/>
  <c r="U5" i="1"/>
  <c r="AH20" i="1"/>
  <c r="AN20" i="1"/>
  <c r="T25" i="1"/>
  <c r="AH22" i="1"/>
  <c r="AN22" i="1"/>
  <c r="S40" i="1"/>
  <c r="U19" i="1"/>
  <c r="AI20" i="1"/>
  <c r="H12" i="17"/>
  <c r="P12" i="17"/>
  <c r="R12" i="17"/>
  <c r="AK22" i="1"/>
  <c r="AM22" i="1"/>
  <c r="AF20" i="1"/>
  <c r="AH24" i="1"/>
  <c r="AN24" i="1"/>
  <c r="R8" i="1"/>
  <c r="AG19" i="1"/>
  <c r="AH19" i="1"/>
  <c r="AN19" i="1"/>
  <c r="T10" i="1"/>
  <c r="AG8" i="1"/>
  <c r="AK24" i="1"/>
  <c r="AM24" i="1"/>
  <c r="AI40" i="1"/>
  <c r="AO40" i="1"/>
  <c r="S7" i="1"/>
  <c r="AJ33" i="1"/>
  <c r="AF19" i="1"/>
  <c r="U40" i="1"/>
  <c r="AF48" i="1"/>
  <c r="AG22" i="1"/>
  <c r="AK31" i="1"/>
  <c r="AL31" i="1"/>
  <c r="AF24" i="1"/>
  <c r="AJ40" i="1"/>
  <c r="AI24" i="1"/>
  <c r="AO24" i="1"/>
  <c r="R44" i="1"/>
  <c r="AF33" i="1"/>
  <c r="T24" i="1"/>
  <c r="S33" i="1"/>
  <c r="T8" i="1"/>
  <c r="AH10" i="1"/>
  <c r="AN10" i="1"/>
  <c r="AI19" i="1"/>
  <c r="H11" i="17"/>
  <c r="P11" i="17"/>
  <c r="R11" i="17"/>
  <c r="AI22" i="1"/>
  <c r="AO22" i="1"/>
  <c r="AJ22" i="1"/>
  <c r="R22" i="1"/>
  <c r="R24" i="1"/>
  <c r="AK8" i="1"/>
  <c r="AM8" i="1"/>
  <c r="AJ35" i="1"/>
  <c r="AK19" i="1"/>
  <c r="S27" i="1"/>
  <c r="S44" i="1"/>
  <c r="AH44" i="1"/>
  <c r="AN44" i="1"/>
  <c r="AJ19" i="1"/>
  <c r="U7" i="1"/>
  <c r="AH33" i="1"/>
  <c r="AN33" i="1"/>
  <c r="T7" i="1"/>
  <c r="R33" i="1"/>
  <c r="T48" i="1"/>
  <c r="AJ20" i="1"/>
  <c r="U44" i="1"/>
  <c r="T22" i="1"/>
  <c r="AG24" i="1"/>
  <c r="AH5" i="1"/>
  <c r="AN5" i="1"/>
  <c r="S5" i="1"/>
  <c r="AG33" i="1"/>
  <c r="G11" i="17"/>
  <c r="O11" i="17"/>
  <c r="Q11" i="17"/>
  <c r="G8" i="17"/>
  <c r="O8" i="17"/>
  <c r="Q8" i="17"/>
  <c r="G12" i="17"/>
  <c r="O12" i="17"/>
  <c r="Q12" i="17"/>
  <c r="AF9" i="37"/>
  <c r="U9" i="37"/>
  <c r="AH9" i="37"/>
  <c r="AN9" i="37"/>
  <c r="S6" i="37"/>
  <c r="U6" i="37"/>
  <c r="AH6" i="37"/>
  <c r="AN6" i="37"/>
  <c r="AI6" i="37"/>
  <c r="AO6" i="37"/>
  <c r="AK6" i="37"/>
  <c r="AL6" i="37"/>
  <c r="AF5" i="37"/>
  <c r="AK5" i="37"/>
  <c r="AM5" i="37"/>
  <c r="R5" i="37"/>
  <c r="T5" i="37"/>
  <c r="T7" i="37"/>
  <c r="AJ8" i="37"/>
  <c r="AI8" i="37"/>
  <c r="AO8" i="37"/>
  <c r="AG14" i="37"/>
  <c r="R14" i="37"/>
  <c r="S14" i="37"/>
  <c r="U14" i="37"/>
  <c r="AI16" i="37"/>
  <c r="AO16" i="37"/>
  <c r="T16" i="37"/>
  <c r="AK16" i="37"/>
  <c r="AM16" i="37"/>
  <c r="U16" i="37"/>
  <c r="AJ16" i="37"/>
  <c r="S16" i="37"/>
  <c r="S21" i="37"/>
  <c r="R21" i="37"/>
  <c r="AG21" i="37"/>
  <c r="U21" i="37"/>
  <c r="AJ23" i="37"/>
  <c r="AK23" i="37"/>
  <c r="T23" i="37"/>
  <c r="AI23" i="37"/>
  <c r="AO23" i="37"/>
  <c r="S23" i="37"/>
  <c r="AF25" i="37"/>
  <c r="S25" i="37"/>
  <c r="R25" i="37"/>
  <c r="U25" i="37"/>
  <c r="AK27" i="37"/>
  <c r="AL27" i="37"/>
  <c r="U27" i="37"/>
  <c r="AJ27" i="37"/>
  <c r="T27" i="37"/>
  <c r="AK31" i="37"/>
  <c r="AM31" i="37"/>
  <c r="AJ31" i="37"/>
  <c r="U35" i="37"/>
  <c r="R35" i="37"/>
  <c r="AG35" i="37"/>
  <c r="AK44" i="37"/>
  <c r="AL44" i="37"/>
  <c r="U44" i="37"/>
  <c r="AJ44" i="37"/>
  <c r="T44" i="37"/>
  <c r="AI44" i="37"/>
  <c r="AO44" i="37"/>
  <c r="AH7" i="37"/>
  <c r="AN7" i="37"/>
  <c r="S7" i="37"/>
  <c r="AK7" i="37"/>
  <c r="AG7" i="37"/>
  <c r="T8" i="37"/>
  <c r="AF8" i="37"/>
  <c r="AG8" i="37"/>
  <c r="AK9" i="37"/>
  <c r="AM9" i="37"/>
  <c r="AJ9" i="37"/>
  <c r="AI9" i="37"/>
  <c r="AO9" i="37"/>
  <c r="S12" i="37"/>
  <c r="AG12" i="37"/>
  <c r="R12" i="37"/>
  <c r="U12" i="37"/>
  <c r="AK13" i="37"/>
  <c r="AL13" i="37"/>
  <c r="AJ13" i="37"/>
  <c r="AI14" i="37"/>
  <c r="AO14" i="37"/>
  <c r="AG15" i="37"/>
  <c r="R16" i="37"/>
  <c r="U17" i="37"/>
  <c r="R17" i="37"/>
  <c r="AG17" i="37"/>
  <c r="AK21" i="37"/>
  <c r="AL21" i="37"/>
  <c r="AG22" i="37"/>
  <c r="R23" i="37"/>
  <c r="AH26" i="37"/>
  <c r="AN26" i="37"/>
  <c r="R27" i="37"/>
  <c r="R28" i="37"/>
  <c r="AG28" i="37"/>
  <c r="U28" i="37"/>
  <c r="AH29" i="37"/>
  <c r="AN29" i="37"/>
  <c r="AK30" i="37"/>
  <c r="AM30" i="37"/>
  <c r="AH30" i="37"/>
  <c r="AN30" i="37"/>
  <c r="S30" i="37"/>
  <c r="AG30" i="37"/>
  <c r="R30" i="37"/>
  <c r="AJ30" i="37"/>
  <c r="U30" i="37"/>
  <c r="AH31" i="37"/>
  <c r="AN31" i="37"/>
  <c r="T32" i="37"/>
  <c r="R33" i="37"/>
  <c r="AJ33" i="37"/>
  <c r="AK35" i="37"/>
  <c r="AM35" i="37"/>
  <c r="T39" i="37"/>
  <c r="AF40" i="37"/>
  <c r="AH45" i="37"/>
  <c r="AN45" i="37"/>
  <c r="AI45" i="37"/>
  <c r="AO45" i="37"/>
  <c r="AI5" i="37"/>
  <c r="AO5" i="37"/>
  <c r="AG5" i="37"/>
  <c r="AH8" i="37"/>
  <c r="AN8" i="37"/>
  <c r="AK12" i="37"/>
  <c r="AL12" i="37"/>
  <c r="AJ12" i="37"/>
  <c r="T14" i="37"/>
  <c r="AH20" i="37"/>
  <c r="AN20" i="37"/>
  <c r="T21" i="37"/>
  <c r="T25" i="37"/>
  <c r="AH27" i="37"/>
  <c r="AN27" i="37"/>
  <c r="AF31" i="37"/>
  <c r="U31" i="37"/>
  <c r="T31" i="37"/>
  <c r="AG31" i="37"/>
  <c r="AI31" i="37"/>
  <c r="AO31" i="37"/>
  <c r="AH32" i="37"/>
  <c r="AN32" i="37"/>
  <c r="AK33" i="37"/>
  <c r="AL33" i="37"/>
  <c r="AG34" i="37"/>
  <c r="S35" i="37"/>
  <c r="AH39" i="37"/>
  <c r="AN39" i="37"/>
  <c r="AI39" i="37"/>
  <c r="AO39" i="37"/>
  <c r="AI40" i="37"/>
  <c r="AO40" i="37"/>
  <c r="T40" i="37"/>
  <c r="AK40" i="37"/>
  <c r="AM40" i="37"/>
  <c r="AG41" i="37"/>
  <c r="AH44" i="37"/>
  <c r="AN44" i="37"/>
  <c r="R47" i="37"/>
  <c r="AH5" i="37"/>
  <c r="AN5" i="37"/>
  <c r="AF6" i="37"/>
  <c r="AK8" i="37"/>
  <c r="AM8" i="37"/>
  <c r="AF13" i="37"/>
  <c r="U13" i="37"/>
  <c r="T13" i="37"/>
  <c r="AG13" i="37"/>
  <c r="AI13" i="37"/>
  <c r="AO13" i="37"/>
  <c r="AH14" i="37"/>
  <c r="AN14" i="37"/>
  <c r="AK15" i="37"/>
  <c r="AM15" i="37"/>
  <c r="AL15" i="37"/>
  <c r="AG16" i="37"/>
  <c r="AH21" i="37"/>
  <c r="AN21" i="37"/>
  <c r="AI21" i="37"/>
  <c r="AO21" i="37"/>
  <c r="AI22" i="37"/>
  <c r="AO22" i="37"/>
  <c r="T22" i="37"/>
  <c r="AK22" i="37"/>
  <c r="AM22" i="37"/>
  <c r="AL22" i="37"/>
  <c r="AG23" i="37"/>
  <c r="AI25" i="37"/>
  <c r="AO25" i="37"/>
  <c r="AH25" i="37"/>
  <c r="AN25" i="37"/>
  <c r="AK25" i="37"/>
  <c r="AM25" i="37"/>
  <c r="AK26" i="37"/>
  <c r="AL26" i="37"/>
  <c r="AG27" i="37"/>
  <c r="AH35" i="37"/>
  <c r="AN35" i="37"/>
  <c r="S40" i="37"/>
  <c r="AJ47" i="37"/>
  <c r="AK47" i="37"/>
  <c r="AM47" i="37"/>
  <c r="T47" i="37"/>
  <c r="AI47" i="37"/>
  <c r="AO47" i="37"/>
  <c r="S47" i="37"/>
  <c r="S5" i="37"/>
  <c r="AJ5" i="37"/>
  <c r="AJ6" i="37"/>
  <c r="AG6" i="37"/>
  <c r="AG11" i="37"/>
  <c r="R11" i="37"/>
  <c r="AF11" i="37"/>
  <c r="AH12" i="37"/>
  <c r="AN12" i="37"/>
  <c r="AF14" i="37"/>
  <c r="T15" i="37"/>
  <c r="AF21" i="37"/>
  <c r="S22" i="37"/>
  <c r="AG25" i="37"/>
  <c r="T26" i="37"/>
  <c r="AI27" i="37"/>
  <c r="AO27" i="37"/>
  <c r="AK29" i="37"/>
  <c r="AM29" i="37"/>
  <c r="R31" i="37"/>
  <c r="AJ32" i="37"/>
  <c r="U33" i="37"/>
  <c r="AF34" i="37"/>
  <c r="AF35" i="37"/>
  <c r="AK38" i="37"/>
  <c r="AM38" i="37"/>
  <c r="U38" i="37"/>
  <c r="AJ39" i="37"/>
  <c r="U40" i="37"/>
  <c r="AH47" i="37"/>
  <c r="AN47" i="37"/>
  <c r="R13" i="37"/>
  <c r="AJ14" i="37"/>
  <c r="AF16" i="37"/>
  <c r="AK20" i="37"/>
  <c r="AL20" i="37"/>
  <c r="U20" i="37"/>
  <c r="AJ20" i="37"/>
  <c r="T20" i="37"/>
  <c r="AJ21" i="37"/>
  <c r="AJ25" i="37"/>
  <c r="AG32" i="37"/>
  <c r="R32" i="37"/>
  <c r="S32" i="37"/>
  <c r="U32" i="37"/>
  <c r="AI34" i="37"/>
  <c r="AO34" i="37"/>
  <c r="T34" i="37"/>
  <c r="AK34" i="37"/>
  <c r="U34" i="37"/>
  <c r="AJ34" i="37"/>
  <c r="S34" i="37"/>
  <c r="AI35" i="37"/>
  <c r="AO35" i="37"/>
  <c r="S39" i="37"/>
  <c r="R39" i="37"/>
  <c r="AG39" i="37"/>
  <c r="U39" i="37"/>
  <c r="AJ41" i="37"/>
  <c r="AK41" i="37"/>
  <c r="AL41" i="37"/>
  <c r="T41" i="37"/>
  <c r="AI41" i="37"/>
  <c r="AO41" i="37"/>
  <c r="S41" i="37"/>
  <c r="S44" i="37"/>
  <c r="R9" i="37"/>
  <c r="AG9" i="37"/>
  <c r="S10" i="37"/>
  <c r="T11" i="37"/>
  <c r="AK14" i="37"/>
  <c r="AM14" i="37"/>
  <c r="T17" i="37"/>
  <c r="AF18" i="37"/>
  <c r="S19" i="37"/>
  <c r="AG20" i="37"/>
  <c r="R20" i="37"/>
  <c r="AF20" i="37"/>
  <c r="R22" i="37"/>
  <c r="U23" i="37"/>
  <c r="AF23" i="37"/>
  <c r="S24" i="37"/>
  <c r="AH24" i="37"/>
  <c r="AN24" i="37"/>
  <c r="S27" i="37"/>
  <c r="AF27" i="37"/>
  <c r="AK32" i="37"/>
  <c r="AL32" i="37"/>
  <c r="T35" i="37"/>
  <c r="AF36" i="37"/>
  <c r="AG38" i="37"/>
  <c r="R40" i="37"/>
  <c r="U41" i="37"/>
  <c r="AF41" i="37"/>
  <c r="S42" i="37"/>
  <c r="AH42" i="37"/>
  <c r="AN42" i="37"/>
  <c r="U43" i="37"/>
  <c r="AK43" i="37"/>
  <c r="AM43" i="37"/>
  <c r="S45" i="37"/>
  <c r="AF45" i="37"/>
  <c r="U46" i="37"/>
  <c r="AJ48" i="37"/>
  <c r="AG45" i="37"/>
  <c r="AF46" i="37"/>
  <c r="AF48" i="37"/>
  <c r="AH15" i="37"/>
  <c r="AN15" i="37"/>
  <c r="AJ17" i="37"/>
  <c r="AI28" i="37"/>
  <c r="AO28" i="37"/>
  <c r="T28" i="37"/>
  <c r="AH33" i="37"/>
  <c r="AN33" i="37"/>
  <c r="AJ35" i="37"/>
  <c r="R43" i="37"/>
  <c r="AH43" i="37"/>
  <c r="AN43" i="37"/>
  <c r="T45" i="37"/>
  <c r="AJ45" i="37"/>
  <c r="AI46" i="37"/>
  <c r="AO46" i="37"/>
  <c r="T46" i="37"/>
  <c r="AG46" i="37"/>
  <c r="R48" i="37"/>
  <c r="S15" i="37"/>
  <c r="AF15" i="37"/>
  <c r="AF24" i="37"/>
  <c r="AG26" i="37"/>
  <c r="R26" i="37"/>
  <c r="AF26" i="37"/>
  <c r="U29" i="37"/>
  <c r="AF29" i="37"/>
  <c r="S33" i="37"/>
  <c r="AF33" i="37"/>
  <c r="AF42" i="37"/>
  <c r="S43" i="37"/>
  <c r="AG44" i="37"/>
  <c r="R44" i="37"/>
  <c r="AF44" i="37"/>
  <c r="U45" i="37"/>
  <c r="U47" i="37"/>
  <c r="AF47" i="37"/>
  <c r="AH48" i="37"/>
  <c r="AN48" i="37"/>
  <c r="AM6" i="37"/>
  <c r="AL5" i="37"/>
  <c r="AM41" i="37"/>
  <c r="AL29" i="37"/>
  <c r="AM26" i="37"/>
  <c r="AL8" i="37"/>
  <c r="AM27" i="37"/>
  <c r="AL25" i="37"/>
  <c r="AL9" i="37"/>
  <c r="AM33" i="37"/>
  <c r="AL31" i="37"/>
  <c r="AM32" i="37"/>
  <c r="AM20" i="37"/>
  <c r="AM12" i="37"/>
  <c r="AL30" i="37"/>
  <c r="AK10" i="28"/>
  <c r="AL10" i="28"/>
  <c r="AL7" i="28"/>
  <c r="AK7" i="28"/>
  <c r="AG28" i="28"/>
  <c r="AM28" i="28"/>
  <c r="Q28" i="28"/>
  <c r="AE28" i="28"/>
  <c r="S28" i="28"/>
  <c r="AI28" i="28"/>
  <c r="AJ16" i="28"/>
  <c r="Q16" i="28"/>
  <c r="S16" i="28"/>
  <c r="T16" i="28"/>
  <c r="R16" i="28"/>
  <c r="AI16" i="28"/>
  <c r="AF16" i="28"/>
  <c r="AH16" i="28"/>
  <c r="AN16" i="28"/>
  <c r="AE16" i="28"/>
  <c r="S20" i="28"/>
  <c r="AG20" i="28"/>
  <c r="AM20" i="28"/>
  <c r="Q20" i="28"/>
  <c r="AF20" i="28"/>
  <c r="AI20" i="28"/>
  <c r="AF39" i="28"/>
  <c r="AH39" i="28"/>
  <c r="H25" i="29"/>
  <c r="S25" i="29"/>
  <c r="U25" i="29"/>
  <c r="AJ39" i="28"/>
  <c r="AK39" i="28"/>
  <c r="AH49" i="28"/>
  <c r="AG49" i="28"/>
  <c r="AF55" i="28"/>
  <c r="AH55" i="28"/>
  <c r="AN55" i="28"/>
  <c r="AJ55" i="28"/>
  <c r="AK55" i="28"/>
  <c r="AJ57" i="28"/>
  <c r="AL57" i="28"/>
  <c r="AH57" i="28"/>
  <c r="AN57" i="28"/>
  <c r="S42" i="28"/>
  <c r="Q42" i="28"/>
  <c r="AH42" i="28"/>
  <c r="AN42" i="28"/>
  <c r="R42" i="28"/>
  <c r="AJ42" i="28"/>
  <c r="AL42" i="28"/>
  <c r="AF42" i="28"/>
  <c r="AG45" i="28"/>
  <c r="AM45" i="28"/>
  <c r="AH45" i="28"/>
  <c r="AN45" i="28"/>
  <c r="AJ45" i="28"/>
  <c r="AL45" i="28"/>
  <c r="AF45" i="28"/>
  <c r="AE45" i="28"/>
  <c r="R20" i="28"/>
  <c r="AL50" i="28"/>
  <c r="AK50" i="28"/>
  <c r="AN54" i="28"/>
  <c r="AE34" i="28"/>
  <c r="AE18" i="28"/>
  <c r="Q18" i="28"/>
  <c r="AE26" i="28"/>
  <c r="AF26" i="28"/>
  <c r="AH26" i="28"/>
  <c r="AN26" i="28"/>
  <c r="AJ26" i="28"/>
  <c r="AK26" i="28"/>
  <c r="AG26" i="28"/>
  <c r="AM26" i="28"/>
  <c r="AF14" i="28"/>
  <c r="AE14" i="28"/>
  <c r="AI14" i="28"/>
  <c r="AG14" i="28"/>
  <c r="AM14" i="28"/>
  <c r="AH14" i="28"/>
  <c r="AN14" i="28"/>
  <c r="AG16" i="28"/>
  <c r="AM16" i="28"/>
  <c r="AE36" i="28"/>
  <c r="S36" i="28"/>
  <c r="Q36" i="28"/>
  <c r="AG36" i="28"/>
  <c r="AM36" i="28"/>
  <c r="AI36" i="28"/>
  <c r="AJ20" i="28"/>
  <c r="AL20" i="28"/>
  <c r="AE40" i="28"/>
  <c r="AI40" i="28"/>
  <c r="AG40" i="28"/>
  <c r="G26" i="29"/>
  <c r="R26" i="29"/>
  <c r="T26" i="29"/>
  <c r="R54" i="28"/>
  <c r="AE54" i="28"/>
  <c r="T54" i="28"/>
  <c r="Q54" i="28"/>
  <c r="AG18" i="28"/>
  <c r="AM18" i="28"/>
  <c r="S18" i="28"/>
  <c r="AI18" i="28"/>
  <c r="T25" i="28"/>
  <c r="R25" i="28"/>
  <c r="AF25" i="28"/>
  <c r="AE27" i="28"/>
  <c r="R27" i="28"/>
  <c r="Q27" i="28"/>
  <c r="T27" i="28"/>
  <c r="AI27" i="28"/>
  <c r="AJ27" i="28"/>
  <c r="AL27" i="28"/>
  <c r="AE42" i="28"/>
  <c r="AJ25" i="28"/>
  <c r="AL25" i="28"/>
  <c r="AM27" i="28"/>
  <c r="G23" i="29"/>
  <c r="R23" i="29"/>
  <c r="T23" i="29"/>
  <c r="AI34" i="28"/>
  <c r="S34" i="28"/>
  <c r="AG34" i="28"/>
  <c r="AM34" i="28"/>
  <c r="S27" i="28"/>
  <c r="AJ44" i="28"/>
  <c r="AK44" i="28"/>
  <c r="AL44" i="28"/>
  <c r="AF44" i="28"/>
  <c r="AL6" i="28"/>
  <c r="AJ8" i="28"/>
  <c r="AK8" i="28"/>
  <c r="T8" i="28"/>
  <c r="AE8" i="28"/>
  <c r="AJ9" i="28"/>
  <c r="AK9" i="28"/>
  <c r="AG9" i="28"/>
  <c r="G13" i="29"/>
  <c r="R13" i="29"/>
  <c r="T13" i="29"/>
  <c r="AH9" i="28"/>
  <c r="H13" i="29"/>
  <c r="S13" i="29"/>
  <c r="U13" i="29"/>
  <c r="AI31" i="28"/>
  <c r="T37" i="28"/>
  <c r="AG21" i="28"/>
  <c r="AF21" i="28"/>
  <c r="T21" i="28"/>
  <c r="S21" i="28"/>
  <c r="AJ21" i="28"/>
  <c r="AH21" i="28"/>
  <c r="R21" i="28"/>
  <c r="T51" i="28"/>
  <c r="R51" i="28"/>
  <c r="AE53" i="28"/>
  <c r="Q53" i="28"/>
  <c r="AI53" i="28"/>
  <c r="AG41" i="28"/>
  <c r="AM41" i="28"/>
  <c r="AG32" i="28"/>
  <c r="AM32" i="28"/>
  <c r="AI32" i="28"/>
  <c r="AF5" i="28"/>
  <c r="AG5" i="28"/>
  <c r="AM5" i="28"/>
  <c r="AJ5" i="28"/>
  <c r="AL5" i="28"/>
  <c r="AH25" i="28"/>
  <c r="AN25" i="28"/>
  <c r="Q13" i="28"/>
  <c r="AE13" i="28"/>
  <c r="R13" i="28"/>
  <c r="AJ15" i="28"/>
  <c r="AE15" i="28"/>
  <c r="T15" i="28"/>
  <c r="AH15" i="28"/>
  <c r="AN15" i="28"/>
  <c r="S15" i="28"/>
  <c r="AG15" i="28"/>
  <c r="AM15" i="28"/>
  <c r="Q15" i="28"/>
  <c r="R15" i="28"/>
  <c r="AF15" i="28"/>
  <c r="S40" i="28"/>
  <c r="AI54" i="28"/>
  <c r="AG54" i="28"/>
  <c r="G30" i="29"/>
  <c r="R30" i="29"/>
  <c r="T30" i="29"/>
  <c r="AG42" i="28"/>
  <c r="AM42" i="28"/>
  <c r="AE5" i="28"/>
  <c r="AJ13" i="28"/>
  <c r="S11" i="28"/>
  <c r="Q11" i="28"/>
  <c r="AE11" i="28"/>
  <c r="Q31" i="28"/>
  <c r="AE31" i="28"/>
  <c r="AH33" i="28"/>
  <c r="AN33" i="28"/>
  <c r="AF33" i="28"/>
  <c r="T33" i="28"/>
  <c r="AJ33" i="28"/>
  <c r="AK33" i="28"/>
  <c r="R33" i="28"/>
  <c r="AI38" i="28"/>
  <c r="AG13" i="28"/>
  <c r="AM13" i="28"/>
  <c r="AF41" i="28"/>
  <c r="AH41" i="28"/>
  <c r="AN41" i="28"/>
  <c r="AI41" i="28"/>
  <c r="R41" i="28"/>
  <c r="S41" i="28"/>
  <c r="AJ41" i="28"/>
  <c r="AK41" i="28"/>
  <c r="AI47" i="28"/>
  <c r="AJ47" i="28"/>
  <c r="AE47" i="28"/>
  <c r="AF52" i="28"/>
  <c r="AE52" i="28"/>
  <c r="AF13" i="28"/>
  <c r="AI15" i="28"/>
  <c r="S24" i="28"/>
  <c r="AE24" i="28"/>
  <c r="AI10" i="28"/>
  <c r="T10" i="28"/>
  <c r="AH10" i="28"/>
  <c r="H14" i="29"/>
  <c r="S14" i="29"/>
  <c r="U14" i="29"/>
  <c r="R30" i="28"/>
  <c r="Q30" i="28"/>
  <c r="AG30" i="28"/>
  <c r="G18" i="29"/>
  <c r="R18" i="29"/>
  <c r="T18" i="29"/>
  <c r="AI30" i="28"/>
  <c r="S30" i="28"/>
  <c r="AF30" i="28"/>
  <c r="AF49" i="28"/>
  <c r="AE49" i="28"/>
  <c r="AJ49" i="28"/>
  <c r="AK49" i="28"/>
  <c r="R49" i="28"/>
  <c r="Q49" i="28"/>
  <c r="S51" i="28"/>
  <c r="AH51" i="28"/>
  <c r="AN51" i="28"/>
  <c r="AJ51" i="28"/>
  <c r="AK51" i="28"/>
  <c r="AI51" i="28"/>
  <c r="R57" i="28"/>
  <c r="AF57" i="28"/>
  <c r="T57" i="28"/>
  <c r="T42" i="28"/>
  <c r="AI45" i="28"/>
  <c r="AF47" i="28"/>
  <c r="AF43" i="28"/>
  <c r="AK57" i="28"/>
  <c r="AL49" i="28"/>
  <c r="AL51" i="28"/>
  <c r="H11" i="29"/>
  <c r="S11" i="29"/>
  <c r="U11" i="29"/>
  <c r="AL8" i="28"/>
  <c r="G9" i="29"/>
  <c r="R9" i="29"/>
  <c r="T9" i="29"/>
  <c r="AM9" i="28"/>
  <c r="G11" i="29"/>
  <c r="R11" i="29"/>
  <c r="T11" i="29"/>
  <c r="AL55" i="28"/>
  <c r="AL39" i="28"/>
  <c r="AN10" i="28"/>
  <c r="H12" i="29"/>
  <c r="S12" i="29"/>
  <c r="U12" i="29"/>
  <c r="AL21" i="28"/>
  <c r="AK21" i="28"/>
  <c r="AL9" i="28"/>
  <c r="AK20" i="28"/>
  <c r="AL41" i="28"/>
  <c r="AM40" i="28"/>
  <c r="AH56" i="2"/>
  <c r="R55" i="2"/>
  <c r="AF53" i="2"/>
  <c r="AL53" i="2"/>
  <c r="AH58" i="2"/>
  <c r="AF55" i="2"/>
  <c r="AL55" i="2"/>
  <c r="AI58" i="2"/>
  <c r="AK58" i="2"/>
  <c r="P68" i="2"/>
  <c r="R21" i="2"/>
  <c r="AG53" i="2"/>
  <c r="AM53" i="2"/>
  <c r="AH55" i="2"/>
  <c r="AG52" i="2"/>
  <c r="AM52" i="2"/>
  <c r="S55" i="2"/>
  <c r="AI65" i="2"/>
  <c r="AJ65" i="2"/>
  <c r="AF63" i="2"/>
  <c r="AL63" i="2"/>
  <c r="AG61" i="2"/>
  <c r="AM61" i="2"/>
  <c r="AF13" i="2"/>
  <c r="AL13" i="2"/>
  <c r="AE9" i="2"/>
  <c r="AF17" i="2"/>
  <c r="AL17" i="2"/>
  <c r="AE15" i="2"/>
  <c r="AI55" i="2"/>
  <c r="S70" i="2"/>
  <c r="Q53" i="2"/>
  <c r="AD55" i="2"/>
  <c r="AH53" i="2"/>
  <c r="AG54" i="2"/>
  <c r="AM54" i="2"/>
  <c r="P55" i="2"/>
  <c r="AE55" i="2"/>
  <c r="S68" i="2"/>
  <c r="R40" i="2"/>
  <c r="S38" i="2"/>
  <c r="R53" i="2"/>
  <c r="AG48" i="2"/>
  <c r="AM48" i="2"/>
  <c r="S53" i="2"/>
  <c r="AI54" i="2"/>
  <c r="S22" i="2"/>
  <c r="S50" i="2"/>
  <c r="AI53" i="2"/>
  <c r="AJ53" i="2"/>
  <c r="AD54" i="2"/>
  <c r="P60" i="2"/>
  <c r="AF50" i="2"/>
  <c r="AL50" i="2"/>
  <c r="AD53" i="2"/>
  <c r="P54" i="2"/>
  <c r="AE54" i="2"/>
  <c r="S16" i="2"/>
  <c r="AG26" i="2"/>
  <c r="AE24" i="2"/>
  <c r="AH30" i="2"/>
  <c r="AD52" i="2"/>
  <c r="P53" i="2"/>
  <c r="AE53" i="2"/>
  <c r="Q54" i="2"/>
  <c r="AF54" i="2"/>
  <c r="AL54" i="2"/>
  <c r="P8" i="2"/>
  <c r="R62" i="2"/>
  <c r="AD40" i="2"/>
  <c r="S66" i="2"/>
  <c r="R52" i="2"/>
  <c r="R54" i="2"/>
  <c r="R72" i="2"/>
  <c r="S52" i="2"/>
  <c r="AH52" i="2"/>
  <c r="AH26" i="2"/>
  <c r="S74" i="2"/>
  <c r="AE48" i="2"/>
  <c r="AF49" i="2"/>
  <c r="AL49" i="2"/>
  <c r="AH50" i="2"/>
  <c r="AH51" i="2"/>
  <c r="AI52" i="2"/>
  <c r="AG49" i="2"/>
  <c r="AM49" i="2"/>
  <c r="P52" i="2"/>
  <c r="AE52" i="2"/>
  <c r="AG50" i="2"/>
  <c r="AM50" i="2"/>
  <c r="AF48" i="2"/>
  <c r="AL48" i="2"/>
  <c r="P70" i="2"/>
  <c r="P48" i="2"/>
  <c r="AH48" i="2"/>
  <c r="AI50" i="2"/>
  <c r="AK50" i="2"/>
  <c r="AI30" i="2"/>
  <c r="AK30" i="2"/>
  <c r="Q74" i="2"/>
  <c r="AD28" i="2"/>
  <c r="AE70" i="2"/>
  <c r="Q48" i="2"/>
  <c r="AD50" i="2"/>
  <c r="S48" i="2"/>
  <c r="AD49" i="2"/>
  <c r="P50" i="2"/>
  <c r="AE50" i="2"/>
  <c r="Q76" i="2"/>
  <c r="P49" i="2"/>
  <c r="AG67" i="2"/>
  <c r="AM67" i="2"/>
  <c r="R19" i="2"/>
  <c r="AF73" i="2"/>
  <c r="G31" i="20"/>
  <c r="R31" i="20"/>
  <c r="T31" i="20"/>
  <c r="R50" i="2"/>
  <c r="R32" i="2"/>
  <c r="AD26" i="2"/>
  <c r="Q18" i="2"/>
  <c r="R8" i="2"/>
  <c r="S62" i="2"/>
  <c r="R68" i="2"/>
  <c r="AH28" i="2"/>
  <c r="Q10" i="2"/>
  <c r="R22" i="2"/>
  <c r="P24" i="2"/>
  <c r="P42" i="2"/>
  <c r="S60" i="2"/>
  <c r="AH40" i="2"/>
  <c r="S36" i="2"/>
  <c r="S47" i="2"/>
  <c r="AI48" i="2"/>
  <c r="Q68" i="2"/>
  <c r="Q24" i="2"/>
  <c r="S26" i="2"/>
  <c r="S18" i="2"/>
  <c r="Q8" i="2"/>
  <c r="AI26" i="2"/>
  <c r="AK26" i="2"/>
  <c r="Q38" i="2"/>
  <c r="S28" i="2"/>
  <c r="R10" i="2"/>
  <c r="S24" i="2"/>
  <c r="AF24" i="2"/>
  <c r="AH8" i="2"/>
  <c r="R14" i="2"/>
  <c r="S14" i="2"/>
  <c r="R64" i="2"/>
  <c r="P40" i="2"/>
  <c r="Q26" i="2"/>
  <c r="S42" i="2"/>
  <c r="Q27" i="2"/>
  <c r="AF25" i="2"/>
  <c r="AG29" i="2"/>
  <c r="AM29" i="2"/>
  <c r="AI21" i="2"/>
  <c r="AJ21" i="2"/>
  <c r="S19" i="2"/>
  <c r="AD75" i="2"/>
  <c r="AD48" i="2"/>
  <c r="S34" i="2"/>
  <c r="P32" i="2"/>
  <c r="S6" i="2"/>
  <c r="R12" i="2"/>
  <c r="AD24" i="2"/>
  <c r="P26" i="2"/>
  <c r="R18" i="2"/>
  <c r="AF26" i="2"/>
  <c r="AL26" i="2"/>
  <c r="Q60" i="2"/>
  <c r="P38" i="2"/>
  <c r="AI28" i="2"/>
  <c r="AK28" i="2"/>
  <c r="S10" i="2"/>
  <c r="AH24" i="2"/>
  <c r="R16" i="2"/>
  <c r="S46" i="2"/>
  <c r="AF22" i="2"/>
  <c r="AL22" i="2"/>
  <c r="Q14" i="2"/>
  <c r="S64" i="2"/>
  <c r="Q40" i="2"/>
  <c r="AI36" i="2"/>
  <c r="AK36" i="2"/>
  <c r="Q42" i="2"/>
  <c r="Q34" i="2"/>
  <c r="P66" i="2"/>
  <c r="P34" i="2"/>
  <c r="S32" i="2"/>
  <c r="Q12" i="2"/>
  <c r="P12" i="2"/>
  <c r="AE26" i="2"/>
  <c r="AE28" i="2"/>
  <c r="AH60" i="2"/>
  <c r="R38" i="2"/>
  <c r="R28" i="2"/>
  <c r="AI38" i="2"/>
  <c r="AJ38" i="2"/>
  <c r="P22" i="2"/>
  <c r="AI24" i="2"/>
  <c r="AK24" i="2"/>
  <c r="P16" i="2"/>
  <c r="AI22" i="2"/>
  <c r="AJ22" i="2"/>
  <c r="Q64" i="2"/>
  <c r="S40" i="2"/>
  <c r="AG20" i="2"/>
  <c r="H8" i="20"/>
  <c r="S8" i="20"/>
  <c r="U8" i="20"/>
  <c r="AF44" i="2"/>
  <c r="AL44" i="2"/>
  <c r="AG66" i="2"/>
  <c r="AM66" i="2"/>
  <c r="AF64" i="2"/>
  <c r="AL64" i="2"/>
  <c r="AI62" i="2"/>
  <c r="AJ62" i="2"/>
  <c r="AG60" i="2"/>
  <c r="H26" i="20"/>
  <c r="S26" i="20"/>
  <c r="U26" i="20"/>
  <c r="AH14" i="2"/>
  <c r="AI12" i="2"/>
  <c r="AK12" i="2"/>
  <c r="AH10" i="2"/>
  <c r="AF8" i="2"/>
  <c r="AL8" i="2"/>
  <c r="AI6" i="2"/>
  <c r="AJ6" i="2"/>
  <c r="AF18" i="2"/>
  <c r="AL18" i="2"/>
  <c r="AD16" i="2"/>
  <c r="AF20" i="2"/>
  <c r="G11" i="20"/>
  <c r="R11" i="20"/>
  <c r="T11" i="20"/>
  <c r="P30" i="2"/>
  <c r="Q28" i="2"/>
  <c r="Q62" i="2"/>
  <c r="AF28" i="2"/>
  <c r="AL28" i="2"/>
  <c r="AD22" i="2"/>
  <c r="R6" i="2"/>
  <c r="AH22" i="2"/>
  <c r="AG22" i="2"/>
  <c r="AM22" i="2"/>
  <c r="AE22" i="2"/>
  <c r="R48" i="2"/>
  <c r="P67" i="2"/>
  <c r="R25" i="2"/>
  <c r="AH63" i="2"/>
  <c r="AE21" i="2"/>
  <c r="Q17" i="2"/>
  <c r="AD14" i="2"/>
  <c r="R17" i="2"/>
  <c r="R27" i="2"/>
  <c r="P31" i="2"/>
  <c r="AH46" i="2"/>
  <c r="AD61" i="2"/>
  <c r="R69" i="2"/>
  <c r="AG24" i="2"/>
  <c r="AM24" i="2"/>
  <c r="S23" i="2"/>
  <c r="AI16" i="2"/>
  <c r="AK16" i="2"/>
  <c r="AI18" i="2"/>
  <c r="AJ18" i="2"/>
  <c r="AD12" i="2"/>
  <c r="AE62" i="2"/>
  <c r="AE25" i="2"/>
  <c r="AH29" i="2"/>
  <c r="AG73" i="2"/>
  <c r="AM73" i="2"/>
  <c r="AH76" i="2"/>
  <c r="AG21" i="2"/>
  <c r="H12" i="20"/>
  <c r="S12" i="20"/>
  <c r="U12" i="20"/>
  <c r="P15" i="2"/>
  <c r="S21" i="2"/>
  <c r="AH34" i="2"/>
  <c r="P23" i="2"/>
  <c r="AH59" i="2"/>
  <c r="AG13" i="2"/>
  <c r="H5" i="20"/>
  <c r="S5" i="20"/>
  <c r="U5" i="20"/>
  <c r="AG11" i="2"/>
  <c r="AM11" i="2"/>
  <c r="Q9" i="2"/>
  <c r="R7" i="2"/>
  <c r="AI5" i="2"/>
  <c r="AK5" i="2"/>
  <c r="AG17" i="2"/>
  <c r="AM17" i="2"/>
  <c r="AF21" i="2"/>
  <c r="G12" i="20"/>
  <c r="AK62" i="2"/>
  <c r="AF32" i="2"/>
  <c r="AL32" i="2"/>
  <c r="Q67" i="2"/>
  <c r="AH16" i="2"/>
  <c r="S27" i="2"/>
  <c r="R29" i="2"/>
  <c r="AG12" i="2"/>
  <c r="AM12" i="2"/>
  <c r="AH62" i="2"/>
  <c r="AG62" i="2"/>
  <c r="H28" i="20"/>
  <c r="Q25" i="2"/>
  <c r="AG10" i="2"/>
  <c r="AM10" i="2"/>
  <c r="AF60" i="2"/>
  <c r="AE8" i="2"/>
  <c r="AI29" i="2"/>
  <c r="AH64" i="2"/>
  <c r="AH67" i="2"/>
  <c r="AH66" i="2"/>
  <c r="AF68" i="2"/>
  <c r="AL68" i="2"/>
  <c r="AI40" i="2"/>
  <c r="AJ40" i="2"/>
  <c r="AE38" i="2"/>
  <c r="AF12" i="2"/>
  <c r="AL12" i="2"/>
  <c r="S67" i="2"/>
  <c r="AE16" i="2"/>
  <c r="AH18" i="2"/>
  <c r="AH21" i="2"/>
  <c r="AD27" i="2"/>
  <c r="Q29" i="2"/>
  <c r="AE12" i="2"/>
  <c r="S25" i="2"/>
  <c r="AF10" i="2"/>
  <c r="AL10" i="2"/>
  <c r="AE6" i="2"/>
  <c r="AE46" i="2"/>
  <c r="AG64" i="2"/>
  <c r="AE66" i="2"/>
  <c r="AD8" i="2"/>
  <c r="AI60" i="2"/>
  <c r="AF29" i="2"/>
  <c r="AL29" i="2"/>
  <c r="AI10" i="2"/>
  <c r="AJ10" i="2"/>
  <c r="AE60" i="2"/>
  <c r="AD67" i="2"/>
  <c r="AI72" i="2"/>
  <c r="AK72" i="2"/>
  <c r="S15" i="2"/>
  <c r="R20" i="2"/>
  <c r="AE14" i="2"/>
  <c r="AD20" i="2"/>
  <c r="AG18" i="2"/>
  <c r="AM18" i="2"/>
  <c r="AD21" i="2"/>
  <c r="R15" i="2"/>
  <c r="AI20" i="2"/>
  <c r="AK20" i="2"/>
  <c r="AF62" i="2"/>
  <c r="G28" i="20"/>
  <c r="R28" i="20"/>
  <c r="T28" i="20"/>
  <c r="S29" i="2"/>
  <c r="AH12" i="2"/>
  <c r="AE18" i="2"/>
  <c r="AE10" i="2"/>
  <c r="AD10" i="2"/>
  <c r="AF16" i="2"/>
  <c r="AL16" i="2"/>
  <c r="AH6" i="2"/>
  <c r="AD46" i="2"/>
  <c r="AF66" i="2"/>
  <c r="AL66" i="2"/>
  <c r="AI14" i="2"/>
  <c r="AJ14" i="2"/>
  <c r="AD64" i="2"/>
  <c r="AI23" i="2"/>
  <c r="AK23" i="2"/>
  <c r="AF14" i="2"/>
  <c r="AI64" i="2"/>
  <c r="AJ64" i="2"/>
  <c r="AI67" i="2"/>
  <c r="P27" i="2"/>
  <c r="AE20" i="2"/>
  <c r="Q23" i="2"/>
  <c r="AD18" i="2"/>
  <c r="AD25" i="2"/>
  <c r="Q15" i="2"/>
  <c r="AD60" i="2"/>
  <c r="AG76" i="2"/>
  <c r="AM76" i="2"/>
  <c r="AF6" i="2"/>
  <c r="AL6" i="2"/>
  <c r="AD6" i="2"/>
  <c r="AG8" i="2"/>
  <c r="AM8" i="2"/>
  <c r="AG14" i="2"/>
  <c r="AH72" i="2"/>
  <c r="AE29" i="2"/>
  <c r="R23" i="2"/>
  <c r="AE67" i="2"/>
  <c r="AH20" i="2"/>
  <c r="AG6" i="2"/>
  <c r="AM6" i="2"/>
  <c r="P25" i="2"/>
  <c r="AE76" i="2"/>
  <c r="S20" i="2"/>
  <c r="AD15" i="2"/>
  <c r="AE27" i="2"/>
  <c r="AG25" i="2"/>
  <c r="H16" i="20"/>
  <c r="S16" i="20"/>
  <c r="U16" i="20"/>
  <c r="AF23" i="2"/>
  <c r="AL23" i="2"/>
  <c r="AD29" i="2"/>
  <c r="AE42" i="2"/>
  <c r="AG16" i="2"/>
  <c r="AM16" i="2"/>
  <c r="P29" i="2"/>
  <c r="AE74" i="2"/>
  <c r="AE64" i="2"/>
  <c r="AF67" i="2"/>
  <c r="AL67" i="2"/>
  <c r="P20" i="2"/>
  <c r="AF65" i="2"/>
  <c r="AL65" i="2"/>
  <c r="AD63" i="2"/>
  <c r="AF61" i="2"/>
  <c r="G27" i="20"/>
  <c r="R27" i="20"/>
  <c r="T27" i="20"/>
  <c r="AD68" i="2"/>
  <c r="P19" i="2"/>
  <c r="P63" i="2"/>
  <c r="AH15" i="2"/>
  <c r="AI43" i="2"/>
  <c r="AJ43" i="2"/>
  <c r="AD7" i="2"/>
  <c r="AE68" i="2"/>
  <c r="AH25" i="2"/>
  <c r="AD38" i="2"/>
  <c r="Q41" i="2"/>
  <c r="AG68" i="2"/>
  <c r="AM68" i="2"/>
  <c r="AG59" i="2"/>
  <c r="R5" i="2"/>
  <c r="P13" i="2"/>
  <c r="Q59" i="2"/>
  <c r="AD23" i="2"/>
  <c r="AD5" i="2"/>
  <c r="S61" i="2"/>
  <c r="P65" i="2"/>
  <c r="AE40" i="2"/>
  <c r="P69" i="2"/>
  <c r="Q75" i="2"/>
  <c r="S9" i="2"/>
  <c r="R13" i="2"/>
  <c r="AE59" i="2"/>
  <c r="S63" i="2"/>
  <c r="AH38" i="2"/>
  <c r="S13" i="2"/>
  <c r="S11" i="2"/>
  <c r="R9" i="2"/>
  <c r="AH17" i="2"/>
  <c r="AG32" i="2"/>
  <c r="AM32" i="2"/>
  <c r="AG19" i="2"/>
  <c r="H7" i="20"/>
  <c r="S7" i="20"/>
  <c r="U7" i="20"/>
  <c r="AE65" i="2"/>
  <c r="Q63" i="2"/>
  <c r="AG63" i="2"/>
  <c r="AM63" i="2"/>
  <c r="AI27" i="2"/>
  <c r="AE19" i="2"/>
  <c r="P7" i="2"/>
  <c r="AG38" i="2"/>
  <c r="AM38" i="2"/>
  <c r="AE75" i="2"/>
  <c r="AF40" i="2"/>
  <c r="G19" i="20"/>
  <c r="R19" i="20"/>
  <c r="T19" i="20"/>
  <c r="AI13" i="2"/>
  <c r="AJ13" i="2"/>
  <c r="AD59" i="2"/>
  <c r="AH23" i="2"/>
  <c r="AF5" i="2"/>
  <c r="AL5" i="2"/>
  <c r="S5" i="2"/>
  <c r="P61" i="2"/>
  <c r="AD65" i="2"/>
  <c r="AG65" i="2"/>
  <c r="AM65" i="2"/>
  <c r="R59" i="2"/>
  <c r="AF27" i="2"/>
  <c r="AL27" i="2"/>
  <c r="AF7" i="2"/>
  <c r="AL7" i="2"/>
  <c r="AF59" i="2"/>
  <c r="AG40" i="2"/>
  <c r="AM40" i="2"/>
  <c r="P11" i="2"/>
  <c r="AE7" i="2"/>
  <c r="AE13" i="2"/>
  <c r="R61" i="2"/>
  <c r="AI7" i="2"/>
  <c r="AE11" i="2"/>
  <c r="AD17" i="2"/>
  <c r="AI17" i="2"/>
  <c r="Q19" i="2"/>
  <c r="S43" i="2"/>
  <c r="AH27" i="2"/>
  <c r="AH19" i="2"/>
  <c r="AG27" i="2"/>
  <c r="AM27" i="2"/>
  <c r="AH7" i="2"/>
  <c r="AE17" i="2"/>
  <c r="P9" i="2"/>
  <c r="AI25" i="2"/>
  <c r="AI68" i="2"/>
  <c r="AJ68" i="2"/>
  <c r="H27" i="20"/>
  <c r="S27" i="20"/>
  <c r="U27" i="20"/>
  <c r="AF71" i="2"/>
  <c r="AL71" i="2"/>
  <c r="AG23" i="2"/>
  <c r="AM23" i="2"/>
  <c r="AG5" i="2"/>
  <c r="AM5" i="2"/>
  <c r="S59" i="2"/>
  <c r="Q73" i="2"/>
  <c r="P5" i="2"/>
  <c r="AE61" i="2"/>
  <c r="Q65" i="2"/>
  <c r="R65" i="2"/>
  <c r="AG9" i="2"/>
  <c r="H9" i="20"/>
  <c r="Q13" i="2"/>
  <c r="AD43" i="2"/>
  <c r="AH11" i="2"/>
  <c r="AH9" i="2"/>
  <c r="AI8" i="2"/>
  <c r="AJ8" i="2"/>
  <c r="AG28" i="2"/>
  <c r="AM28" i="2"/>
  <c r="AE32" i="2"/>
  <c r="AH44" i="2"/>
  <c r="AI19" i="2"/>
  <c r="AJ19" i="2"/>
  <c r="AI15" i="2"/>
  <c r="AF19" i="2"/>
  <c r="AG7" i="2"/>
  <c r="AM7" i="2"/>
  <c r="S7" i="2"/>
  <c r="P17" i="2"/>
  <c r="AF9" i="2"/>
  <c r="AL9" i="2"/>
  <c r="AH13" i="2"/>
  <c r="AH68" i="2"/>
  <c r="AE71" i="2"/>
  <c r="AG15" i="2"/>
  <c r="AM15" i="2"/>
  <c r="AH5" i="2"/>
  <c r="Q61" i="2"/>
  <c r="AH61" i="2"/>
  <c r="AH65" i="2"/>
  <c r="S65" i="2"/>
  <c r="AF15" i="2"/>
  <c r="AL15" i="2"/>
  <c r="S17" i="2"/>
  <c r="R71" i="2"/>
  <c r="AH75" i="2"/>
  <c r="AE5" i="2"/>
  <c r="AE63" i="2"/>
  <c r="AD9" i="2"/>
  <c r="AD19" i="2"/>
  <c r="R63" i="2"/>
  <c r="AD13" i="2"/>
  <c r="AE23" i="2"/>
  <c r="AI61" i="2"/>
  <c r="AJ61" i="2"/>
  <c r="AF38" i="2"/>
  <c r="AL38" i="2"/>
  <c r="AI59" i="2"/>
  <c r="AJ59" i="2"/>
  <c r="S31" i="2"/>
  <c r="AI63" i="2"/>
  <c r="AF11" i="2"/>
  <c r="AL11" i="2"/>
  <c r="AI9" i="2"/>
  <c r="AK9" i="2"/>
  <c r="P6" i="2"/>
  <c r="R67" i="2"/>
  <c r="Q11" i="2"/>
  <c r="AD11" i="2"/>
  <c r="AD66" i="2"/>
  <c r="AD62" i="2"/>
  <c r="Q66" i="2"/>
  <c r="AI11" i="2"/>
  <c r="R11" i="2"/>
  <c r="P33" i="2"/>
  <c r="AI66" i="2"/>
  <c r="AK66" i="2"/>
  <c r="AJ26" i="2"/>
  <c r="G29" i="20"/>
  <c r="R29" i="20"/>
  <c r="T29" i="20"/>
  <c r="H15" i="20"/>
  <c r="S15" i="20"/>
  <c r="U15" i="20"/>
  <c r="H13" i="20"/>
  <c r="S13" i="20"/>
  <c r="U13" i="20"/>
  <c r="AK6" i="2"/>
  <c r="AJ12" i="2"/>
  <c r="AK54" i="2"/>
  <c r="AJ54" i="2"/>
  <c r="AM13" i="2"/>
  <c r="AK53" i="2"/>
  <c r="G30" i="20"/>
  <c r="R30" i="20"/>
  <c r="T30" i="20"/>
  <c r="AJ50" i="2"/>
  <c r="AL62" i="2"/>
  <c r="AM25" i="2"/>
  <c r="AM20" i="2"/>
  <c r="AJ28" i="2"/>
  <c r="AK22" i="2"/>
  <c r="G15" i="20"/>
  <c r="R15" i="20"/>
  <c r="T15" i="20"/>
  <c r="AL24" i="2"/>
  <c r="AK48" i="2"/>
  <c r="AJ48" i="2"/>
  <c r="AK38" i="2"/>
  <c r="G13" i="20"/>
  <c r="R13" i="20"/>
  <c r="T13" i="20"/>
  <c r="R12" i="20"/>
  <c r="T12" i="20"/>
  <c r="AK18" i="2"/>
  <c r="AJ29" i="2"/>
  <c r="AK29" i="2"/>
  <c r="G26" i="20"/>
  <c r="R26" i="20"/>
  <c r="T26" i="20"/>
  <c r="AL60" i="2"/>
  <c r="AL61" i="2"/>
  <c r="AK67" i="2"/>
  <c r="AJ67" i="2"/>
  <c r="AK64" i="2"/>
  <c r="AK14" i="2"/>
  <c r="AK8" i="2"/>
  <c r="AM62" i="2"/>
  <c r="S28" i="20"/>
  <c r="U28" i="20"/>
  <c r="AK10" i="2"/>
  <c r="AL59" i="2"/>
  <c r="G25" i="20"/>
  <c r="R25" i="20"/>
  <c r="T25" i="20"/>
  <c r="G9" i="20"/>
  <c r="R9" i="20"/>
  <c r="T9" i="20"/>
  <c r="S9" i="20"/>
  <c r="U9" i="20"/>
  <c r="AK13" i="2"/>
  <c r="AL40" i="2"/>
  <c r="H10" i="20"/>
  <c r="S10" i="20"/>
  <c r="U10" i="20"/>
  <c r="AM19" i="2"/>
  <c r="AM59" i="2"/>
  <c r="H25" i="20"/>
  <c r="S25" i="20"/>
  <c r="U25" i="20"/>
  <c r="AE47" i="2"/>
  <c r="P47" i="2"/>
  <c r="Q58" i="2"/>
  <c r="AD58" i="2"/>
  <c r="AE58" i="2"/>
  <c r="S58" i="2"/>
  <c r="AG58" i="2"/>
  <c r="AM58" i="2"/>
  <c r="R58" i="2"/>
  <c r="AD57" i="2"/>
  <c r="R57" i="2"/>
  <c r="Q55" i="2"/>
  <c r="P58" i="2"/>
  <c r="AH54" i="2"/>
  <c r="Q52" i="2"/>
  <c r="Q50" i="2"/>
  <c r="AH49" i="2"/>
  <c r="AG57" i="2"/>
  <c r="AM57" i="2"/>
  <c r="AG55" i="2"/>
  <c r="AM55" i="2"/>
  <c r="S51" i="2"/>
  <c r="AE51" i="2"/>
  <c r="AF51" i="2"/>
  <c r="AL51" i="2"/>
  <c r="P51" i="2"/>
  <c r="AD51" i="2"/>
  <c r="AI51" i="2"/>
  <c r="AG51" i="2"/>
  <c r="AM51" i="2"/>
  <c r="Q51" i="2"/>
  <c r="R56" i="2"/>
  <c r="AE57" i="2"/>
  <c r="AJ58" i="2"/>
  <c r="AF56" i="2"/>
  <c r="AL56" i="2"/>
  <c r="AF52" i="2"/>
  <c r="AL52" i="2"/>
  <c r="S56" i="2"/>
  <c r="AG56" i="2"/>
  <c r="AM56" i="2"/>
  <c r="S54" i="2"/>
  <c r="Q57" i="2"/>
  <c r="R49" i="2"/>
  <c r="Q56" i="2"/>
  <c r="AE56" i="2"/>
  <c r="AI56" i="2"/>
  <c r="AI57" i="2"/>
  <c r="AF58" i="2"/>
  <c r="AL58" i="2"/>
  <c r="S57" i="2"/>
  <c r="S49" i="2"/>
  <c r="P56" i="2"/>
  <c r="P57" i="2"/>
  <c r="AF57" i="2"/>
  <c r="AL57" i="2"/>
  <c r="AE49" i="2"/>
  <c r="AI49" i="2"/>
  <c r="AJ49" i="2"/>
  <c r="Q49" i="2"/>
  <c r="AK49" i="2"/>
  <c r="P75" i="2"/>
  <c r="AH73" i="2"/>
  <c r="R75" i="2"/>
  <c r="AI75" i="2"/>
  <c r="AD69" i="2"/>
  <c r="P73" i="2"/>
  <c r="AI76" i="2"/>
  <c r="AF70" i="2"/>
  <c r="AL70" i="2"/>
  <c r="AD72" i="2"/>
  <c r="S75" i="2"/>
  <c r="AH74" i="2"/>
  <c r="AI71" i="2"/>
  <c r="AJ71" i="2"/>
  <c r="AE72" i="2"/>
  <c r="AG70" i="2"/>
  <c r="AM70" i="2"/>
  <c r="AI74" i="2"/>
  <c r="AJ74" i="2"/>
  <c r="R70" i="2"/>
  <c r="S72" i="2"/>
  <c r="S76" i="2"/>
  <c r="Q71" i="2"/>
  <c r="Q69" i="2"/>
  <c r="R73" i="2"/>
  <c r="S69" i="2"/>
  <c r="AH71" i="2"/>
  <c r="AG69" i="2"/>
  <c r="AM69" i="2"/>
  <c r="AG72" i="2"/>
  <c r="AM72" i="2"/>
  <c r="AI70" i="2"/>
  <c r="AJ70" i="2"/>
  <c r="AE69" i="2"/>
  <c r="R76" i="2"/>
  <c r="Q70" i="2"/>
  <c r="P74" i="2"/>
  <c r="P71" i="2"/>
  <c r="S71" i="2"/>
  <c r="AG75" i="2"/>
  <c r="AM75" i="2"/>
  <c r="AD71" i="2"/>
  <c r="AI69" i="2"/>
  <c r="AD70" i="2"/>
  <c r="AD76" i="2"/>
  <c r="AF74" i="2"/>
  <c r="AL74" i="2"/>
  <c r="AG74" i="2"/>
  <c r="AM74" i="2"/>
  <c r="AL73" i="2"/>
  <c r="P72" i="2"/>
  <c r="AF72" i="2"/>
  <c r="AL72" i="2"/>
  <c r="R74" i="2"/>
  <c r="H31" i="20"/>
  <c r="S31" i="20"/>
  <c r="U31" i="20"/>
  <c r="AI73" i="2"/>
  <c r="S73" i="2"/>
  <c r="AE73" i="2"/>
  <c r="AH69" i="2"/>
  <c r="G24" i="20"/>
  <c r="R24" i="20"/>
  <c r="T24" i="20"/>
  <c r="G21" i="20"/>
  <c r="R21" i="20"/>
  <c r="T21" i="20"/>
  <c r="S41" i="2"/>
  <c r="AG46" i="2"/>
  <c r="H24" i="20"/>
  <c r="AM46" i="2"/>
  <c r="S24" i="20"/>
  <c r="U24" i="20"/>
  <c r="AI46" i="2"/>
  <c r="AJ46" i="2"/>
  <c r="AD32" i="2"/>
  <c r="AF36" i="2"/>
  <c r="AL36" i="2"/>
  <c r="AH36" i="2"/>
  <c r="P46" i="2"/>
  <c r="AG31" i="2"/>
  <c r="AM31" i="2"/>
  <c r="R36" i="2"/>
  <c r="AE36" i="2"/>
  <c r="Q46" i="2"/>
  <c r="R31" i="2"/>
  <c r="S39" i="2"/>
  <c r="AI34" i="2"/>
  <c r="AJ34" i="2"/>
  <c r="AG45" i="2"/>
  <c r="AM45" i="2"/>
  <c r="AE41" i="2"/>
  <c r="AH32" i="2"/>
  <c r="Q43" i="2"/>
  <c r="R43" i="2"/>
  <c r="R46" i="2"/>
  <c r="AG34" i="2"/>
  <c r="AM34" i="2"/>
  <c r="AD34" i="2"/>
  <c r="AE34" i="2"/>
  <c r="P36" i="2"/>
  <c r="AI31" i="2"/>
  <c r="AK31" i="2"/>
  <c r="AF43" i="2"/>
  <c r="AL43" i="2"/>
  <c r="AG41" i="2"/>
  <c r="AM41" i="2"/>
  <c r="H19" i="20"/>
  <c r="S19" i="20"/>
  <c r="U19" i="20"/>
  <c r="R41" i="2"/>
  <c r="AD36" i="2"/>
  <c r="AG36" i="2"/>
  <c r="AM36" i="2"/>
  <c r="AG39" i="2"/>
  <c r="H18" i="20"/>
  <c r="S18" i="20"/>
  <c r="U18" i="20"/>
  <c r="R37" i="2"/>
  <c r="AJ31" i="2"/>
  <c r="AE31" i="2"/>
  <c r="AD47" i="2"/>
  <c r="AD31" i="2"/>
  <c r="AE33" i="2"/>
  <c r="AE45" i="2"/>
  <c r="P37" i="2"/>
  <c r="AH31" i="2"/>
  <c r="Q39" i="2"/>
  <c r="AF41" i="2"/>
  <c r="AL41" i="2"/>
  <c r="P39" i="2"/>
  <c r="AE37" i="2"/>
  <c r="AL46" i="2"/>
  <c r="AF31" i="2"/>
  <c r="AL31" i="2"/>
  <c r="AJ30" i="2"/>
  <c r="S30" i="2"/>
  <c r="AG47" i="2"/>
  <c r="AM47" i="2"/>
  <c r="Q45" i="2"/>
  <c r="R33" i="2"/>
  <c r="AD45" i="2"/>
  <c r="AD30" i="2"/>
  <c r="AI47" i="2"/>
  <c r="AF30" i="2"/>
  <c r="AL30" i="2"/>
  <c r="AF42" i="2"/>
  <c r="AL42" i="2"/>
  <c r="S37" i="2"/>
  <c r="AG43" i="2"/>
  <c r="AM43" i="2"/>
  <c r="AH37" i="2"/>
  <c r="Q37" i="2"/>
  <c r="AI37" i="2"/>
  <c r="AK37" i="2"/>
  <c r="AI41" i="2"/>
  <c r="AJ41" i="2"/>
  <c r="Q33" i="2"/>
  <c r="AE43" i="2"/>
  <c r="AD41" i="2"/>
  <c r="R30" i="2"/>
  <c r="Q47" i="2"/>
  <c r="R47" i="2"/>
  <c r="AH43" i="2"/>
  <c r="R42" i="2"/>
  <c r="AH41" i="2"/>
  <c r="AE30" i="2"/>
  <c r="AG30" i="2"/>
  <c r="AM30" i="2"/>
  <c r="AD39" i="2"/>
  <c r="AF37" i="2"/>
  <c r="AL37" i="2"/>
  <c r="AE35" i="2"/>
  <c r="AI33" i="2"/>
  <c r="AK33" i="2"/>
  <c r="H21" i="20"/>
  <c r="S21" i="20"/>
  <c r="U21" i="20"/>
  <c r="AD33" i="2"/>
  <c r="AD37" i="2"/>
  <c r="R45" i="2"/>
  <c r="AF35" i="2"/>
  <c r="G22" i="20"/>
  <c r="R22" i="20"/>
  <c r="T22" i="20"/>
  <c r="AL35" i="2"/>
  <c r="S35" i="2"/>
  <c r="AI42" i="2"/>
  <c r="AK42" i="2"/>
  <c r="Q44" i="2"/>
  <c r="AG44" i="2"/>
  <c r="AM44" i="2"/>
  <c r="AH45" i="2"/>
  <c r="P45" i="2"/>
  <c r="AG42" i="2"/>
  <c r="AM42" i="2"/>
  <c r="AI39" i="2"/>
  <c r="AJ39" i="2"/>
  <c r="AF45" i="2"/>
  <c r="AG35" i="2"/>
  <c r="AM35" i="2"/>
  <c r="P35" i="2"/>
  <c r="R35" i="2"/>
  <c r="P44" i="2"/>
  <c r="AD35" i="2"/>
  <c r="AH39" i="2"/>
  <c r="AH33" i="2"/>
  <c r="AI44" i="2"/>
  <c r="AI45" i="2"/>
  <c r="AJ45" i="2"/>
  <c r="AH42" i="2"/>
  <c r="AE39" i="2"/>
  <c r="AF33" i="2"/>
  <c r="AL33" i="2"/>
  <c r="AG33" i="2"/>
  <c r="AM33" i="2"/>
  <c r="AG37" i="2"/>
  <c r="AM37" i="2"/>
  <c r="S45" i="2"/>
  <c r="AD42" i="2"/>
  <c r="AE44" i="2"/>
  <c r="AF39" i="2"/>
  <c r="AH35" i="2"/>
  <c r="AI35" i="2"/>
  <c r="S44" i="2"/>
  <c r="H32" i="20"/>
  <c r="S32" i="20"/>
  <c r="U32" i="20"/>
  <c r="AK71" i="2"/>
  <c r="AJ76" i="2"/>
  <c r="AK76" i="2"/>
  <c r="AK45" i="2"/>
  <c r="AK12" i="1"/>
  <c r="AM12" i="1"/>
  <c r="AK63" i="2"/>
  <c r="AJ63" i="2"/>
  <c r="AK11" i="2"/>
  <c r="AJ11" i="2"/>
  <c r="AK68" i="2"/>
  <c r="G14" i="20"/>
  <c r="R14" i="20"/>
  <c r="T14" i="20"/>
  <c r="AM21" i="2"/>
  <c r="AK21" i="2"/>
  <c r="AK29" i="28"/>
  <c r="AL30" i="3"/>
  <c r="G26" i="18"/>
  <c r="S26" i="18"/>
  <c r="U26" i="18"/>
  <c r="H29" i="29"/>
  <c r="S29" i="29"/>
  <c r="U29" i="29"/>
  <c r="AN53" i="28"/>
  <c r="AJ10" i="3"/>
  <c r="AN16" i="15"/>
  <c r="H20" i="18"/>
  <c r="T20" i="18"/>
  <c r="V20" i="18"/>
  <c r="Q83" i="15"/>
  <c r="T83" i="15"/>
  <c r="Q80" i="15"/>
  <c r="T80" i="15"/>
  <c r="AN6" i="15"/>
  <c r="Q78" i="15"/>
  <c r="T78" i="15"/>
  <c r="D21" i="34"/>
  <c r="Q21" i="34"/>
  <c r="S21" i="34"/>
  <c r="AJ25" i="7"/>
  <c r="AM18" i="9"/>
  <c r="AL37" i="8"/>
  <c r="AK37" i="8"/>
  <c r="H15" i="24"/>
  <c r="R15" i="24"/>
  <c r="T15" i="24"/>
  <c r="T11" i="24"/>
  <c r="Q79" i="15"/>
  <c r="T79" i="15"/>
  <c r="AO5" i="15"/>
  <c r="AK60" i="28"/>
  <c r="AJ84" i="7"/>
  <c r="AK84" i="7"/>
  <c r="G14" i="23"/>
  <c r="Q14" i="23"/>
  <c r="S14" i="23"/>
  <c r="M81" i="15"/>
  <c r="S81" i="15"/>
  <c r="AN5" i="15"/>
  <c r="M82" i="15"/>
  <c r="S82" i="15"/>
  <c r="G5" i="23"/>
  <c r="Q5" i="23"/>
  <c r="S5" i="23"/>
  <c r="M80" i="15"/>
  <c r="S80" i="15"/>
  <c r="M79" i="15"/>
  <c r="S79" i="15"/>
  <c r="H35" i="18"/>
  <c r="T35" i="18"/>
  <c r="V35" i="18"/>
  <c r="AM55" i="3"/>
  <c r="AD16" i="34"/>
  <c r="AF16" i="34"/>
  <c r="D18" i="34"/>
  <c r="AE31" i="3"/>
  <c r="Q31" i="3"/>
  <c r="P31" i="3"/>
  <c r="AE25" i="3"/>
  <c r="AG25" i="3"/>
  <c r="H21" i="18"/>
  <c r="T21" i="18"/>
  <c r="V21" i="18"/>
  <c r="H29" i="18"/>
  <c r="T29" i="18"/>
  <c r="V29" i="18"/>
  <c r="AS10" i="34"/>
  <c r="AK41" i="7"/>
  <c r="AJ41" i="7"/>
  <c r="AK6" i="7"/>
  <c r="AJ6" i="7"/>
  <c r="G20" i="25"/>
  <c r="R20" i="25"/>
  <c r="T20" i="25"/>
  <c r="AJ23" i="10"/>
  <c r="AJ51" i="3"/>
  <c r="AG31" i="3"/>
  <c r="AM31" i="3"/>
  <c r="AF31" i="3"/>
  <c r="AL31" i="3"/>
  <c r="H8" i="17"/>
  <c r="P8" i="17"/>
  <c r="R8" i="17"/>
  <c r="AN45" i="8"/>
  <c r="AK34" i="8"/>
  <c r="AL34" i="8"/>
  <c r="AK42" i="8"/>
  <c r="AL42" i="8"/>
  <c r="AM27" i="10"/>
  <c r="AJ60" i="3"/>
  <c r="AF19" i="3"/>
  <c r="AL19" i="3"/>
  <c r="AH35" i="3"/>
  <c r="AM48" i="8"/>
  <c r="G32" i="25"/>
  <c r="R32" i="25"/>
  <c r="T32" i="25"/>
  <c r="H27" i="18"/>
  <c r="T27" i="18"/>
  <c r="V27" i="18"/>
  <c r="AL21" i="6"/>
  <c r="AK21" i="6"/>
  <c r="AL9" i="6"/>
  <c r="AK9" i="6"/>
  <c r="AJ16" i="10"/>
  <c r="AK16" i="10"/>
  <c r="AG52" i="7"/>
  <c r="T12" i="24"/>
  <c r="AH9" i="7"/>
  <c r="AG16" i="6"/>
  <c r="AM16" i="6"/>
  <c r="AJ16" i="6"/>
  <c r="AF16" i="6"/>
  <c r="AJ10" i="5"/>
  <c r="AK10" i="5"/>
  <c r="AK20" i="10"/>
  <c r="AJ20" i="10"/>
  <c r="AN29" i="28"/>
  <c r="H17" i="29"/>
  <c r="S17" i="29"/>
  <c r="U17" i="29"/>
  <c r="H12" i="25"/>
  <c r="S12" i="25"/>
  <c r="U12" i="25"/>
  <c r="H19" i="21"/>
  <c r="T19" i="21"/>
  <c r="V19" i="21"/>
  <c r="AM10" i="7"/>
  <c r="AJ9" i="5"/>
  <c r="AK9" i="5"/>
  <c r="AK14" i="6"/>
  <c r="AL14" i="6"/>
  <c r="AF6" i="7"/>
  <c r="AL6" i="7"/>
  <c r="AD6" i="7"/>
  <c r="AF12" i="7"/>
  <c r="AL12" i="7"/>
  <c r="AH12" i="7"/>
  <c r="AI12" i="7"/>
  <c r="AD12" i="7"/>
  <c r="AG12" i="7"/>
  <c r="AM12" i="7"/>
  <c r="AD24" i="7"/>
  <c r="AF24" i="7"/>
  <c r="AL24" i="7"/>
  <c r="AD45" i="7"/>
  <c r="AE45" i="7"/>
  <c r="AH45" i="7"/>
  <c r="AF45" i="7"/>
  <c r="AL45" i="7"/>
  <c r="P45" i="7"/>
  <c r="R45" i="7"/>
  <c r="AG45" i="7"/>
  <c r="AM45" i="7"/>
  <c r="S45" i="7"/>
  <c r="AG13" i="7"/>
  <c r="AM13" i="7"/>
  <c r="AH13" i="7"/>
  <c r="AF13" i="7"/>
  <c r="AL13" i="7"/>
  <c r="AD13" i="7"/>
  <c r="AE13" i="7"/>
  <c r="AG9" i="7"/>
  <c r="AM9" i="7"/>
  <c r="AF9" i="7"/>
  <c r="Q11" i="8"/>
  <c r="AE11" i="8"/>
  <c r="AD6" i="10"/>
  <c r="AE6" i="10"/>
  <c r="AH6" i="10"/>
  <c r="Q6" i="10"/>
  <c r="AF6" i="10"/>
  <c r="S6" i="10"/>
  <c r="AG8" i="5"/>
  <c r="AM8" i="5"/>
  <c r="AD8" i="5"/>
  <c r="AH6" i="5"/>
  <c r="AG6" i="5"/>
  <c r="AM6" i="5"/>
  <c r="AF6" i="5"/>
  <c r="AL6" i="5"/>
  <c r="AD6" i="5"/>
  <c r="AD10" i="10"/>
  <c r="R10" i="10"/>
  <c r="Q10" i="10"/>
  <c r="S10" i="10"/>
  <c r="AF10" i="10"/>
  <c r="AL10" i="10"/>
  <c r="S28" i="25"/>
  <c r="U28" i="25"/>
  <c r="AM4" i="33"/>
  <c r="AL53" i="8"/>
  <c r="U12" i="18"/>
  <c r="S16" i="3"/>
  <c r="AG32" i="1"/>
  <c r="AD19" i="3"/>
  <c r="Q16" i="6"/>
  <c r="T16" i="6"/>
  <c r="P59" i="2"/>
  <c r="S8" i="2"/>
  <c r="Q6" i="2"/>
  <c r="P18" i="2"/>
  <c r="AI52" i="28"/>
  <c r="R52" i="28"/>
  <c r="AH44" i="28"/>
  <c r="AN44" i="28"/>
  <c r="AG44" i="28"/>
  <c r="AM44" i="28"/>
  <c r="AI7" i="37"/>
  <c r="AO7" i="37"/>
  <c r="AJ7" i="37"/>
  <c r="AF7" i="37"/>
  <c r="U7" i="37"/>
  <c r="U24" i="37"/>
  <c r="R24" i="37"/>
  <c r="AI24" i="37"/>
  <c r="AO24" i="37"/>
  <c r="AK24" i="37"/>
  <c r="U5" i="37"/>
  <c r="AE12" i="7"/>
  <c r="R40" i="1"/>
  <c r="AI37" i="3"/>
  <c r="AJ37" i="3"/>
  <c r="P32" i="3"/>
  <c r="Q24" i="3"/>
  <c r="P64" i="2"/>
  <c r="R60" i="2"/>
  <c r="AD67" i="7"/>
  <c r="Q67" i="7"/>
  <c r="P67" i="7"/>
  <c r="R40" i="7"/>
  <c r="S13" i="37"/>
  <c r="AH13" i="37"/>
  <c r="AN13" i="37"/>
  <c r="AH40" i="37"/>
  <c r="AN40" i="37"/>
  <c r="AJ40" i="37"/>
  <c r="T42" i="37"/>
  <c r="U42" i="37"/>
  <c r="R42" i="37"/>
  <c r="AI42" i="37"/>
  <c r="AO42" i="37"/>
  <c r="AK42" i="37"/>
  <c r="R39" i="2"/>
  <c r="Q32" i="2"/>
  <c r="AI32" i="2"/>
  <c r="AK32" i="2"/>
  <c r="AH8" i="9"/>
  <c r="T18" i="1"/>
  <c r="T5" i="1"/>
  <c r="R5" i="1"/>
  <c r="AD42" i="3"/>
  <c r="P71" i="7"/>
  <c r="R55" i="3"/>
  <c r="Q21" i="3"/>
  <c r="AD84" i="7"/>
  <c r="AE58" i="28"/>
  <c r="S67" i="3"/>
  <c r="AI48" i="28"/>
  <c r="AH10" i="37"/>
  <c r="AN10" i="37"/>
  <c r="S11" i="37"/>
  <c r="AH16" i="37"/>
  <c r="AN16" i="37"/>
  <c r="AH18" i="37"/>
  <c r="AN18" i="37"/>
  <c r="AJ18" i="37"/>
  <c r="AJ19" i="37"/>
  <c r="R19" i="37"/>
  <c r="AK19" i="37"/>
  <c r="AM19" i="37"/>
  <c r="AH22" i="37"/>
  <c r="AN22" i="37"/>
  <c r="AF32" i="37"/>
  <c r="T33" i="37"/>
  <c r="AI33" i="37"/>
  <c r="AO33" i="37"/>
  <c r="AJ36" i="37"/>
  <c r="T36" i="37"/>
  <c r="AK36" i="37"/>
  <c r="AM36" i="37"/>
  <c r="AI38" i="37"/>
  <c r="AO38" i="37"/>
  <c r="S38" i="37"/>
  <c r="R51" i="2"/>
  <c r="P10" i="34"/>
  <c r="R10" i="34"/>
  <c r="U10" i="34"/>
  <c r="AD14" i="34"/>
  <c r="AF14" i="34"/>
  <c r="AS14" i="34"/>
  <c r="AI15" i="37"/>
  <c r="AO15" i="37"/>
  <c r="AJ15" i="37"/>
  <c r="S18" i="37"/>
  <c r="AG18" i="37"/>
  <c r="U18" i="37"/>
  <c r="AJ24" i="37"/>
  <c r="AF28" i="37"/>
  <c r="AG40" i="37"/>
  <c r="Q56" i="3"/>
  <c r="AG47" i="28"/>
  <c r="AM47" i="28"/>
  <c r="AK11" i="37"/>
  <c r="AL11" i="37"/>
  <c r="AK18" i="37"/>
  <c r="AI18" i="37"/>
  <c r="AO18" i="37"/>
  <c r="AI20" i="37"/>
  <c r="AO20" i="37"/>
  <c r="AK28" i="37"/>
  <c r="AL28" i="37"/>
  <c r="AG43" i="37"/>
  <c r="AD73" i="2"/>
  <c r="AI44" i="8"/>
  <c r="AE32" i="28"/>
  <c r="AH47" i="28"/>
  <c r="AN47" i="28"/>
  <c r="R7" i="37"/>
  <c r="AK10" i="37"/>
  <c r="AM10" i="37"/>
  <c r="AL10" i="37"/>
  <c r="AI10" i="37"/>
  <c r="AO10" i="37"/>
  <c r="AI17" i="37"/>
  <c r="AO17" i="37"/>
  <c r="AK17" i="37"/>
  <c r="AM17" i="37"/>
  <c r="AF22" i="37"/>
  <c r="U22" i="37"/>
  <c r="AJ28" i="37"/>
  <c r="AG29" i="37"/>
  <c r="AI43" i="37"/>
  <c r="AO43" i="37"/>
  <c r="T43" i="37"/>
  <c r="T48" i="37"/>
  <c r="AG13" i="9"/>
  <c r="AF56" i="3"/>
  <c r="G36" i="18"/>
  <c r="S36" i="18"/>
  <c r="U36" i="18"/>
  <c r="AH83" i="7"/>
  <c r="AG71" i="2"/>
  <c r="AM71" i="2"/>
  <c r="R48" i="1"/>
  <c r="S6" i="28"/>
  <c r="AI13" i="28"/>
  <c r="S8" i="31"/>
  <c r="U8" i="31"/>
  <c r="AJ19" i="9"/>
  <c r="AK19" i="9"/>
  <c r="T10" i="37"/>
  <c r="AI11" i="37"/>
  <c r="AO11" i="37"/>
  <c r="R15" i="37"/>
  <c r="R18" i="37"/>
  <c r="AJ22" i="37"/>
  <c r="AG33" i="37"/>
  <c r="AK39" i="37"/>
  <c r="AM39" i="37"/>
  <c r="AJ42" i="37"/>
  <c r="U10" i="37"/>
  <c r="AI29" i="37"/>
  <c r="AO29" i="37"/>
  <c r="AC10" i="34"/>
  <c r="AE10" i="34"/>
  <c r="R8" i="37"/>
  <c r="AF17" i="37"/>
  <c r="T24" i="37"/>
  <c r="R10" i="37"/>
  <c r="AN8" i="9"/>
  <c r="AL19" i="9"/>
  <c r="AL56" i="3"/>
  <c r="H18" i="21"/>
  <c r="T18" i="21"/>
  <c r="V18" i="21"/>
  <c r="AJ12" i="7"/>
  <c r="AK12" i="7"/>
  <c r="AL16" i="6"/>
  <c r="AK16" i="6"/>
  <c r="AL6" i="10"/>
  <c r="G8" i="24"/>
  <c r="Q8" i="24"/>
  <c r="S8" i="24"/>
  <c r="AM11" i="37"/>
  <c r="AM25" i="3"/>
  <c r="AK37" i="3"/>
  <c r="AM42" i="37"/>
  <c r="AL42" i="37"/>
  <c r="AH16" i="34"/>
  <c r="AS16" i="34"/>
  <c r="AM28" i="37"/>
  <c r="AL19" i="37"/>
  <c r="G18" i="21"/>
  <c r="S18" i="21"/>
  <c r="U18" i="21"/>
  <c r="AL9" i="7"/>
  <c r="AL39" i="37"/>
  <c r="AJ37" i="2"/>
  <c r="G32" i="20"/>
  <c r="R32" i="20"/>
  <c r="T32" i="20"/>
  <c r="AM39" i="2"/>
  <c r="AK35" i="2"/>
  <c r="AJ35" i="2"/>
  <c r="H20" i="20"/>
  <c r="S20" i="20"/>
  <c r="U20" i="20"/>
  <c r="H23" i="20"/>
  <c r="S23" i="20"/>
  <c r="U23" i="20"/>
  <c r="AJ36" i="2"/>
  <c r="AK40" i="2"/>
  <c r="AJ9" i="2"/>
  <c r="AJ16" i="2"/>
  <c r="AK65" i="2"/>
  <c r="AK59" i="2"/>
  <c r="G5" i="20"/>
  <c r="R5" i="20"/>
  <c r="T5" i="20"/>
  <c r="H11" i="20"/>
  <c r="S11" i="20"/>
  <c r="U11" i="20"/>
  <c r="AM60" i="2"/>
  <c r="AM54" i="28"/>
  <c r="AM30" i="28"/>
  <c r="AL35" i="37"/>
  <c r="AL43" i="37"/>
  <c r="AL14" i="37"/>
  <c r="AJ66" i="2"/>
  <c r="H9" i="29"/>
  <c r="S9" i="29"/>
  <c r="U9" i="29"/>
  <c r="AN9" i="28"/>
  <c r="AK13" i="3"/>
  <c r="AJ39" i="7"/>
  <c r="AK39" i="7"/>
  <c r="AJ22" i="3"/>
  <c r="AK22" i="3"/>
  <c r="AJ81" i="7"/>
  <c r="AK81" i="7"/>
  <c r="AM50" i="28"/>
  <c r="AM6" i="10"/>
  <c r="H8" i="24"/>
  <c r="R8" i="24"/>
  <c r="T8" i="24"/>
  <c r="AM28" i="8"/>
  <c r="G24" i="25"/>
  <c r="R24" i="25"/>
  <c r="T24" i="25"/>
  <c r="AJ62" i="3"/>
  <c r="AK62" i="3"/>
  <c r="AL14" i="9"/>
  <c r="AK14" i="9"/>
  <c r="AL8" i="8"/>
  <c r="AK8" i="8"/>
  <c r="G34" i="25"/>
  <c r="R34" i="25"/>
  <c r="T34" i="25"/>
  <c r="AM52" i="8"/>
  <c r="AL10" i="15"/>
  <c r="AM10" i="15"/>
  <c r="M78" i="15"/>
  <c r="S78" i="15"/>
  <c r="AN15" i="9"/>
  <c r="AM15" i="9"/>
  <c r="AM52" i="3"/>
  <c r="H32" i="18"/>
  <c r="T32" i="18"/>
  <c r="V32" i="18"/>
  <c r="AK18" i="3"/>
  <c r="AJ18" i="3"/>
  <c r="AK23" i="8"/>
  <c r="AL23" i="8"/>
  <c r="AK24" i="8"/>
  <c r="AL24" i="8"/>
  <c r="P40" i="3"/>
  <c r="Q40" i="3"/>
  <c r="AH36" i="3"/>
  <c r="AI36" i="3"/>
  <c r="AF36" i="3"/>
  <c r="AL36" i="3"/>
  <c r="AD59" i="7"/>
  <c r="AF59" i="7"/>
  <c r="AL59" i="7"/>
  <c r="AI59" i="7"/>
  <c r="AE69" i="7"/>
  <c r="AH69" i="7"/>
  <c r="AD69" i="7"/>
  <c r="AI69" i="7"/>
  <c r="AJ69" i="7"/>
  <c r="AF69" i="7"/>
  <c r="AL69" i="7"/>
  <c r="AE67" i="7"/>
  <c r="AG67" i="7"/>
  <c r="AM67" i="7"/>
  <c r="AF67" i="7"/>
  <c r="AL67" i="7"/>
  <c r="AG65" i="7"/>
  <c r="AM65" i="7"/>
  <c r="AF65" i="7"/>
  <c r="AL65" i="7"/>
  <c r="AE65" i="7"/>
  <c r="AD28" i="7"/>
  <c r="AH28" i="7"/>
  <c r="AE28" i="7"/>
  <c r="AG28" i="7"/>
  <c r="AM28" i="7"/>
  <c r="AI28" i="7"/>
  <c r="R36" i="3"/>
  <c r="AK15" i="9"/>
  <c r="AL18" i="9"/>
  <c r="AK18" i="9"/>
  <c r="AK16" i="9"/>
  <c r="AL16" i="9"/>
  <c r="AG59" i="7"/>
  <c r="AM59" i="7"/>
  <c r="AG69" i="7"/>
  <c r="AM69" i="7"/>
  <c r="AM9" i="33"/>
  <c r="AE38" i="3"/>
  <c r="AE36" i="3"/>
  <c r="AI38" i="3"/>
  <c r="AD38" i="3"/>
  <c r="Q77" i="15"/>
  <c r="T77" i="15"/>
  <c r="AJ70" i="7"/>
  <c r="G9" i="25"/>
  <c r="R9" i="25"/>
  <c r="T9" i="25"/>
  <c r="G11" i="25"/>
  <c r="R11" i="25"/>
  <c r="T11" i="25"/>
  <c r="AD65" i="7"/>
  <c r="AM23" i="1"/>
  <c r="AL23" i="1"/>
  <c r="AH67" i="7"/>
  <c r="AN10" i="8"/>
  <c r="AE59" i="7"/>
  <c r="AI65" i="7"/>
  <c r="AK65" i="7"/>
  <c r="AK17" i="10"/>
  <c r="AJ17" i="10"/>
  <c r="H31" i="18"/>
  <c r="T31" i="18"/>
  <c r="V31" i="18"/>
  <c r="AM51" i="3"/>
  <c r="AH65" i="7"/>
  <c r="H21" i="25"/>
  <c r="S21" i="25"/>
  <c r="U21" i="25"/>
  <c r="H19" i="25"/>
  <c r="S19" i="25"/>
  <c r="U19" i="25"/>
  <c r="AF28" i="7"/>
  <c r="AL28" i="7"/>
  <c r="AK18" i="10"/>
  <c r="AJ18" i="10"/>
  <c r="G16" i="25"/>
  <c r="R16" i="25"/>
  <c r="T16" i="25"/>
  <c r="AM22" i="8"/>
  <c r="AH59" i="7"/>
  <c r="AM12" i="6"/>
  <c r="G23" i="19"/>
  <c r="Q23" i="19"/>
  <c r="S23" i="19"/>
  <c r="G17" i="19"/>
  <c r="Q17" i="19"/>
  <c r="S17" i="19"/>
  <c r="AL43" i="1"/>
  <c r="AK11" i="7"/>
  <c r="AJ11" i="7"/>
  <c r="AK30" i="1"/>
  <c r="AF30" i="1"/>
  <c r="AN9" i="8"/>
  <c r="AL10" i="8"/>
  <c r="S12" i="24"/>
  <c r="AK35" i="28"/>
  <c r="AL35" i="28"/>
  <c r="AJ45" i="7"/>
  <c r="AK45" i="7"/>
  <c r="AK83" i="7"/>
  <c r="AG14" i="8"/>
  <c r="AM14" i="8"/>
  <c r="Q19" i="28"/>
  <c r="H27" i="19"/>
  <c r="R27" i="19"/>
  <c r="T27" i="19"/>
  <c r="P84" i="7"/>
  <c r="S84" i="7"/>
  <c r="R84" i="7"/>
  <c r="Q18" i="8"/>
  <c r="Q16" i="8"/>
  <c r="AI16" i="8"/>
  <c r="S16" i="8"/>
  <c r="S10" i="8"/>
  <c r="Q10" i="8"/>
  <c r="AE10" i="8"/>
  <c r="T10" i="8"/>
  <c r="R10" i="8"/>
  <c r="AI10" i="8"/>
  <c r="T6" i="8"/>
  <c r="S6" i="8"/>
  <c r="R6" i="8"/>
  <c r="Q5" i="9"/>
  <c r="AF5" i="9"/>
  <c r="AG24" i="10"/>
  <c r="AM24" i="10"/>
  <c r="AF24" i="10"/>
  <c r="AL24" i="10"/>
  <c r="R24" i="10"/>
  <c r="AD24" i="10"/>
  <c r="AI24" i="10"/>
  <c r="AH24" i="10"/>
  <c r="AE35" i="28"/>
  <c r="AG35" i="28"/>
  <c r="AM35" i="28"/>
  <c r="S27" i="7"/>
  <c r="Q27" i="7"/>
  <c r="AI27" i="7"/>
  <c r="AD27" i="7"/>
  <c r="AG27" i="7"/>
  <c r="AM27" i="7"/>
  <c r="Q6" i="8"/>
  <c r="R30" i="10"/>
  <c r="P30" i="10"/>
  <c r="AD30" i="10"/>
  <c r="AH30" i="10"/>
  <c r="AG15" i="10"/>
  <c r="AM15" i="10"/>
  <c r="AE15" i="10"/>
  <c r="AH15" i="10"/>
  <c r="AD15" i="10"/>
  <c r="P29" i="10"/>
  <c r="AH29" i="10"/>
  <c r="S29" i="10"/>
  <c r="R29" i="10"/>
  <c r="AI29" i="10"/>
  <c r="G11" i="21"/>
  <c r="S11" i="21"/>
  <c r="U11" i="21"/>
  <c r="U6" i="21"/>
  <c r="G8" i="21"/>
  <c r="S8" i="21"/>
  <c r="U8" i="21"/>
  <c r="AE38" i="7"/>
  <c r="R53" i="7"/>
  <c r="AE32" i="8"/>
  <c r="AF10" i="9"/>
  <c r="AG11" i="15"/>
  <c r="AF76" i="2"/>
  <c r="AL76" i="2"/>
  <c r="AE41" i="28"/>
  <c r="S47" i="28"/>
  <c r="S17" i="37"/>
  <c r="Q11" i="10"/>
  <c r="AF11" i="10"/>
  <c r="AL11" i="10"/>
  <c r="AG11" i="10"/>
  <c r="AF69" i="2"/>
  <c r="AL69" i="2"/>
  <c r="T5" i="18"/>
  <c r="V5" i="18"/>
  <c r="S5" i="18"/>
  <c r="AD13" i="34"/>
  <c r="AF13" i="34"/>
  <c r="AH13" i="34"/>
  <c r="S61" i="3"/>
  <c r="AF6" i="15"/>
  <c r="AG45" i="1"/>
  <c r="S26" i="37"/>
  <c r="U26" i="37"/>
  <c r="R41" i="37"/>
  <c r="AH41" i="37"/>
  <c r="AN41" i="37"/>
  <c r="R45" i="37"/>
  <c r="AK45" i="37"/>
  <c r="AF15" i="3"/>
  <c r="AL15" i="3"/>
  <c r="Q20" i="2"/>
  <c r="P8" i="7"/>
  <c r="AI26" i="8"/>
  <c r="P51" i="3"/>
  <c r="AH60" i="28"/>
  <c r="AI26" i="37"/>
  <c r="AO26" i="37"/>
  <c r="S28" i="37"/>
  <c r="AJ43" i="37"/>
  <c r="AF43" i="37"/>
  <c r="AJ46" i="37"/>
  <c r="S48" i="3"/>
  <c r="AI12" i="37"/>
  <c r="AO12" i="37"/>
  <c r="AF19" i="37"/>
  <c r="AK46" i="37"/>
  <c r="AM46" i="37"/>
  <c r="AL46" i="37"/>
  <c r="AK69" i="7"/>
  <c r="H13" i="24"/>
  <c r="R13" i="24"/>
  <c r="T13" i="24"/>
  <c r="AM11" i="10"/>
  <c r="AK59" i="7"/>
  <c r="AJ59" i="7"/>
  <c r="AK38" i="3"/>
  <c r="AJ38" i="3"/>
  <c r="G9" i="18"/>
  <c r="S9" i="18"/>
  <c r="U9" i="18"/>
  <c r="G7" i="18"/>
  <c r="S7" i="18"/>
  <c r="U7" i="18"/>
  <c r="U5" i="18"/>
  <c r="AM45" i="37"/>
  <c r="AL45" i="37"/>
  <c r="H7" i="18"/>
  <c r="T7" i="18"/>
  <c r="V7" i="18"/>
  <c r="AL16" i="37"/>
  <c r="AK37" i="28"/>
  <c r="AL33" i="28"/>
  <c r="AL30" i="28"/>
  <c r="G24" i="29"/>
  <c r="R24" i="29"/>
  <c r="T24" i="29"/>
  <c r="G19" i="29"/>
  <c r="R19" i="29"/>
  <c r="T19" i="29"/>
  <c r="AL47" i="37"/>
  <c r="G8" i="25"/>
  <c r="R8" i="25"/>
  <c r="T8" i="25"/>
  <c r="AM14" i="6"/>
  <c r="H18" i="19"/>
  <c r="R18" i="19"/>
  <c r="T18" i="19"/>
  <c r="G25" i="19"/>
  <c r="Q25" i="19"/>
  <c r="H25" i="19"/>
  <c r="R25" i="19"/>
  <c r="H23" i="19"/>
  <c r="R23" i="19"/>
  <c r="T23" i="19"/>
  <c r="AK12" i="6"/>
  <c r="H17" i="19"/>
  <c r="R17" i="19"/>
  <c r="T17" i="19"/>
  <c r="AL5" i="1"/>
  <c r="AM5" i="1"/>
  <c r="AG5" i="1"/>
  <c r="T27" i="1"/>
  <c r="AJ5" i="1"/>
  <c r="AJ34" i="1"/>
  <c r="AF11" i="1"/>
  <c r="AH25" i="1"/>
  <c r="G13" i="17"/>
  <c r="O13" i="17"/>
  <c r="Q13" i="17"/>
  <c r="AN25" i="1"/>
  <c r="AG34" i="1"/>
  <c r="R34" i="1"/>
  <c r="AI31" i="1"/>
  <c r="AF5" i="1"/>
  <c r="AK41" i="1"/>
  <c r="AL41" i="1"/>
  <c r="AL45" i="1"/>
  <c r="AJ42" i="1"/>
  <c r="AF29" i="1"/>
  <c r="AF31" i="1"/>
  <c r="AF14" i="1"/>
  <c r="U25" i="1"/>
  <c r="T31" i="1"/>
  <c r="U31" i="1"/>
  <c r="AJ14" i="1"/>
  <c r="T34" i="1"/>
  <c r="AJ29" i="1"/>
  <c r="R25" i="1"/>
  <c r="AF17" i="1"/>
  <c r="AI14" i="1"/>
  <c r="AO14" i="1"/>
  <c r="U29" i="1"/>
  <c r="AH27" i="1"/>
  <c r="AN27" i="1"/>
  <c r="AK25" i="1"/>
  <c r="AL25" i="1"/>
  <c r="AI29" i="1"/>
  <c r="AO29" i="1"/>
  <c r="AF25" i="1"/>
  <c r="S34" i="1"/>
  <c r="R27" i="1"/>
  <c r="AJ31" i="1"/>
  <c r="AG29" i="1"/>
  <c r="AH41" i="1"/>
  <c r="AN41" i="1"/>
  <c r="G19" i="17"/>
  <c r="O19" i="17"/>
  <c r="Q19" i="17"/>
  <c r="T42" i="1"/>
  <c r="AG21" i="1"/>
  <c r="AK28" i="1"/>
  <c r="AL28" i="1"/>
  <c r="AM28" i="1"/>
  <c r="AF26" i="1"/>
  <c r="S25" i="1"/>
  <c r="AI9" i="1"/>
  <c r="AO9" i="1"/>
  <c r="R7" i="1"/>
  <c r="S13" i="1"/>
  <c r="AK35" i="1"/>
  <c r="AL35" i="1"/>
  <c r="AG27" i="1"/>
  <c r="T29" i="1"/>
  <c r="AG25" i="1"/>
  <c r="AH48" i="1"/>
  <c r="AN48" i="1"/>
  <c r="AG7" i="1"/>
  <c r="AJ27" i="1"/>
  <c r="AG11" i="1"/>
  <c r="R29" i="1"/>
  <c r="AJ25" i="1"/>
  <c r="AH21" i="1"/>
  <c r="AN21" i="1"/>
  <c r="AK21" i="1"/>
  <c r="AL21" i="1"/>
  <c r="AJ11" i="1"/>
  <c r="T17" i="1"/>
  <c r="AH14" i="1"/>
  <c r="AN14" i="1"/>
  <c r="T28" i="1"/>
  <c r="AK42" i="1"/>
  <c r="AM42" i="1"/>
  <c r="AL42" i="1"/>
  <c r="AF42" i="1"/>
  <c r="U39" i="1"/>
  <c r="U32" i="1"/>
  <c r="U28" i="1"/>
  <c r="S31" i="1"/>
  <c r="G5" i="17"/>
  <c r="O5" i="17"/>
  <c r="Q5" i="17"/>
  <c r="AM27" i="1"/>
  <c r="U27" i="1"/>
  <c r="AG31" i="1"/>
  <c r="AH29" i="1"/>
  <c r="AN29" i="1"/>
  <c r="AH11" i="1"/>
  <c r="G9" i="17"/>
  <c r="O9" i="17"/>
  <c r="AK34" i="1"/>
  <c r="AL34" i="1"/>
  <c r="AI5" i="1"/>
  <c r="H5" i="17"/>
  <c r="P5" i="17"/>
  <c r="R5" i="17"/>
  <c r="AH31" i="1"/>
  <c r="AI17" i="1"/>
  <c r="AO17" i="1"/>
  <c r="AK29" i="1"/>
  <c r="AM29" i="1"/>
  <c r="R28" i="1"/>
  <c r="S42" i="1"/>
  <c r="AI42" i="1"/>
  <c r="R17" i="1"/>
  <c r="AJ39" i="1"/>
  <c r="AG14" i="1"/>
  <c r="S17" i="1"/>
  <c r="AK39" i="1"/>
  <c r="AK10" i="1"/>
  <c r="AM10" i="1"/>
  <c r="AJ8" i="1"/>
  <c r="AL22" i="1"/>
  <c r="AI34" i="1"/>
  <c r="AO34" i="1"/>
  <c r="AF34" i="1"/>
  <c r="AF7" i="1"/>
  <c r="T39" i="1"/>
  <c r="AJ21" i="1"/>
  <c r="U42" i="1"/>
  <c r="AH42" i="1"/>
  <c r="G20" i="17"/>
  <c r="O20" i="17"/>
  <c r="Q20" i="17"/>
  <c r="AJ36" i="1"/>
  <c r="S19" i="1"/>
  <c r="AK17" i="1"/>
  <c r="AL17" i="1"/>
  <c r="R37" i="1"/>
  <c r="AJ48" i="1"/>
  <c r="AM17" i="1"/>
  <c r="AM6" i="1"/>
  <c r="AL6" i="1"/>
  <c r="AG12" i="1"/>
  <c r="AM31" i="1"/>
  <c r="U10" i="1"/>
  <c r="AG10" i="1"/>
  <c r="AK15" i="1"/>
  <c r="AL15" i="1"/>
  <c r="AG41" i="1"/>
  <c r="R13" i="1"/>
  <c r="AG13" i="1"/>
  <c r="AF13" i="1"/>
  <c r="AF6" i="1"/>
  <c r="AI15" i="1"/>
  <c r="AO15" i="1"/>
  <c r="AF28" i="1"/>
  <c r="AJ13" i="1"/>
  <c r="U13" i="1"/>
  <c r="AM14" i="1"/>
  <c r="S10" i="1"/>
  <c r="AK13" i="1"/>
  <c r="AL13" i="1"/>
  <c r="AM33" i="1"/>
  <c r="AF12" i="1"/>
  <c r="AI32" i="1"/>
  <c r="AO32" i="1"/>
  <c r="AH37" i="1"/>
  <c r="AN37" i="1"/>
  <c r="AF35" i="1"/>
  <c r="AH35" i="1"/>
  <c r="AN35" i="1"/>
  <c r="AJ32" i="1"/>
  <c r="AH7" i="1"/>
  <c r="AN7" i="1"/>
  <c r="G7" i="17"/>
  <c r="O7" i="17"/>
  <c r="Q7" i="17"/>
  <c r="AJ41" i="1"/>
  <c r="AI41" i="1"/>
  <c r="H19" i="17"/>
  <c r="P19" i="17"/>
  <c r="R19" i="17"/>
  <c r="U35" i="1"/>
  <c r="AF39" i="1"/>
  <c r="T35" i="1"/>
  <c r="AI13" i="1"/>
  <c r="AO13" i="1"/>
  <c r="AH9" i="1"/>
  <c r="AN9" i="1"/>
  <c r="AK9" i="1"/>
  <c r="AG17" i="1"/>
  <c r="T6" i="1"/>
  <c r="AH39" i="1"/>
  <c r="AN39" i="1"/>
  <c r="AJ12" i="1"/>
  <c r="AI28" i="1"/>
  <c r="AO28" i="1"/>
  <c r="T12" i="1"/>
  <c r="R9" i="1"/>
  <c r="AL12" i="1"/>
  <c r="AI12" i="1"/>
  <c r="AO12" i="1"/>
  <c r="AJ10" i="1"/>
  <c r="AF10" i="1"/>
  <c r="AJ7" i="1"/>
  <c r="AI7" i="1"/>
  <c r="AO7" i="1"/>
  <c r="H14" i="17"/>
  <c r="P14" i="17"/>
  <c r="R14" i="17"/>
  <c r="AG47" i="1"/>
  <c r="S15" i="1"/>
  <c r="AH6" i="1"/>
  <c r="G6" i="17"/>
  <c r="O6" i="17"/>
  <c r="Q6" i="17"/>
  <c r="AG9" i="1"/>
  <c r="S9" i="1"/>
  <c r="AL18" i="1"/>
  <c r="AH36" i="1"/>
  <c r="AN36" i="1"/>
  <c r="U6" i="1"/>
  <c r="AG26" i="1"/>
  <c r="S12" i="1"/>
  <c r="T37" i="1"/>
  <c r="S6" i="1"/>
  <c r="AG15" i="1"/>
  <c r="AI35" i="1"/>
  <c r="AO35" i="1"/>
  <c r="AH17" i="1"/>
  <c r="AN17" i="1"/>
  <c r="AK32" i="1"/>
  <c r="AL32" i="1"/>
  <c r="AF37" i="1"/>
  <c r="AL44" i="1"/>
  <c r="AI10" i="1"/>
  <c r="AO10" i="1"/>
  <c r="T32" i="1"/>
  <c r="AK47" i="1"/>
  <c r="AL47" i="1"/>
  <c r="AJ17" i="1"/>
  <c r="AK36" i="1"/>
  <c r="AF36" i="1"/>
  <c r="AI6" i="1"/>
  <c r="AO6" i="1"/>
  <c r="AG39" i="1"/>
  <c r="AK26" i="1"/>
  <c r="AH26" i="1"/>
  <c r="AI39" i="1"/>
  <c r="AO39" i="1"/>
  <c r="AJ6" i="1"/>
  <c r="AJ28" i="1"/>
  <c r="AJ26" i="1"/>
  <c r="T9" i="1"/>
  <c r="AJ37" i="1"/>
  <c r="AL24" i="1"/>
  <c r="AH32" i="1"/>
  <c r="G18" i="17"/>
  <c r="O18" i="17"/>
  <c r="Q18" i="17"/>
  <c r="AG35" i="1"/>
  <c r="AH28" i="1"/>
  <c r="G16" i="17"/>
  <c r="O16" i="17"/>
  <c r="Q16" i="17"/>
  <c r="S32" i="1"/>
  <c r="AJ9" i="1"/>
  <c r="AG6" i="1"/>
  <c r="AF32" i="1"/>
  <c r="R32" i="1"/>
  <c r="AL16" i="1"/>
  <c r="AL38" i="37"/>
  <c r="AM35" i="1"/>
  <c r="H20" i="17"/>
  <c r="P20" i="17"/>
  <c r="R20" i="17"/>
  <c r="AO42" i="1"/>
  <c r="AO5" i="1"/>
  <c r="AM34" i="1"/>
  <c r="AN42" i="1"/>
  <c r="G15" i="17"/>
  <c r="O15" i="17"/>
  <c r="Q15" i="17"/>
  <c r="H18" i="17"/>
  <c r="P18" i="17"/>
  <c r="R18" i="17"/>
  <c r="H16" i="17"/>
  <c r="P16" i="17"/>
  <c r="R16" i="17"/>
  <c r="AO41" i="1"/>
  <c r="AM13" i="1"/>
  <c r="H10" i="17"/>
  <c r="P10" i="17"/>
  <c r="R10" i="17"/>
  <c r="AN6" i="1"/>
  <c r="AE64" i="8"/>
  <c r="AG64" i="8"/>
  <c r="AF65" i="8"/>
  <c r="AH65" i="8"/>
  <c r="AF64" i="8"/>
  <c r="AH64" i="8"/>
  <c r="O67" i="8"/>
  <c r="Q67" i="8"/>
  <c r="AF67" i="8"/>
  <c r="AH67" i="8"/>
  <c r="AE65" i="8"/>
  <c r="AG65" i="8"/>
  <c r="AS13" i="34"/>
  <c r="Q9" i="17"/>
  <c r="AL17" i="37"/>
  <c r="AM14" i="2"/>
  <c r="H6" i="20"/>
  <c r="S6" i="20"/>
  <c r="U6" i="20"/>
  <c r="AN39" i="28"/>
  <c r="AM8" i="9"/>
  <c r="H8" i="22"/>
  <c r="N8" i="22"/>
  <c r="P8" i="22"/>
  <c r="AK44" i="2"/>
  <c r="AJ44" i="2"/>
  <c r="AJ69" i="2"/>
  <c r="AK69" i="2"/>
  <c r="AN32" i="1"/>
  <c r="AM21" i="1"/>
  <c r="H6" i="17"/>
  <c r="P6" i="17"/>
  <c r="R6" i="17"/>
  <c r="H7" i="17"/>
  <c r="P7" i="17"/>
  <c r="R7" i="17"/>
  <c r="AO27" i="1"/>
  <c r="AL36" i="37"/>
  <c r="AK75" i="2"/>
  <c r="AJ75" i="2"/>
  <c r="AK16" i="28"/>
  <c r="AL16" i="28"/>
  <c r="AM21" i="37"/>
  <c r="AL7" i="37"/>
  <c r="AM7" i="37"/>
  <c r="AL40" i="1"/>
  <c r="AM40" i="1"/>
  <c r="AJ65" i="7"/>
  <c r="AL45" i="2"/>
  <c r="G20" i="20"/>
  <c r="R20" i="20"/>
  <c r="T20" i="20"/>
  <c r="G23" i="20"/>
  <c r="R23" i="20"/>
  <c r="T23" i="20"/>
  <c r="AJ56" i="2"/>
  <c r="AK56" i="2"/>
  <c r="AK47" i="28"/>
  <c r="AL47" i="28"/>
  <c r="AL23" i="37"/>
  <c r="AM23" i="37"/>
  <c r="AL29" i="1"/>
  <c r="AM64" i="2"/>
  <c r="H30" i="20"/>
  <c r="S30" i="20"/>
  <c r="U30" i="20"/>
  <c r="H17" i="20"/>
  <c r="S17" i="20"/>
  <c r="U17" i="20"/>
  <c r="AM26" i="2"/>
  <c r="G27" i="29"/>
  <c r="R27" i="29"/>
  <c r="T27" i="29"/>
  <c r="AM49" i="28"/>
  <c r="AL23" i="28"/>
  <c r="AJ47" i="2"/>
  <c r="AK47" i="2"/>
  <c r="AK15" i="2"/>
  <c r="AJ15" i="2"/>
  <c r="AJ25" i="2"/>
  <c r="AK25" i="2"/>
  <c r="AJ27" i="2"/>
  <c r="AK27" i="2"/>
  <c r="AL20" i="2"/>
  <c r="G8" i="20"/>
  <c r="R8" i="20"/>
  <c r="T8" i="20"/>
  <c r="AK55" i="2"/>
  <c r="AJ55" i="2"/>
  <c r="H15" i="29"/>
  <c r="S15" i="29"/>
  <c r="U15" i="29"/>
  <c r="AN21" i="28"/>
  <c r="AL19" i="1"/>
  <c r="AM19" i="1"/>
  <c r="AJ32" i="2"/>
  <c r="AL14" i="2"/>
  <c r="G6" i="20"/>
  <c r="R6" i="20"/>
  <c r="T6" i="20"/>
  <c r="AL26" i="28"/>
  <c r="AM34" i="37"/>
  <c r="AL34" i="37"/>
  <c r="AN7" i="33"/>
  <c r="AM7" i="33"/>
  <c r="AM39" i="7"/>
  <c r="H20" i="21"/>
  <c r="T20" i="21"/>
  <c r="V20" i="21"/>
  <c r="AM24" i="3"/>
  <c r="AK39" i="2"/>
  <c r="AK46" i="2"/>
  <c r="AK19" i="2"/>
  <c r="AK43" i="2"/>
  <c r="AJ23" i="2"/>
  <c r="AJ72" i="2"/>
  <c r="AK25" i="28"/>
  <c r="AK5" i="28"/>
  <c r="AL40" i="37"/>
  <c r="AK9" i="3"/>
  <c r="AK53" i="28"/>
  <c r="H12" i="23"/>
  <c r="R12" i="23"/>
  <c r="T12" i="23"/>
  <c r="M83" i="15"/>
  <c r="S83" i="15"/>
  <c r="M77" i="15"/>
  <c r="S77" i="15"/>
  <c r="H22" i="20"/>
  <c r="S22" i="20"/>
  <c r="U22" i="20"/>
  <c r="AK61" i="2"/>
  <c r="AJ20" i="2"/>
  <c r="AN5" i="33"/>
  <c r="Q19" i="34"/>
  <c r="S19" i="34"/>
  <c r="AD19" i="34"/>
  <c r="AF19" i="34"/>
  <c r="AS19" i="34"/>
  <c r="AJ34" i="7"/>
  <c r="AJ52" i="3"/>
  <c r="AK14" i="3"/>
  <c r="AL46" i="8"/>
  <c r="AK46" i="8"/>
  <c r="AK54" i="8"/>
  <c r="AL54" i="8"/>
  <c r="AJ36" i="7"/>
  <c r="AK36" i="7"/>
  <c r="AG20" i="1"/>
  <c r="S20" i="1"/>
  <c r="AK20" i="1"/>
  <c r="AH44" i="3"/>
  <c r="AE44" i="3"/>
  <c r="AF42" i="3"/>
  <c r="AL42" i="3"/>
  <c r="AG42" i="3"/>
  <c r="AM42" i="3"/>
  <c r="AI34" i="3"/>
  <c r="S34" i="3"/>
  <c r="S63" i="3"/>
  <c r="AD63" i="3"/>
  <c r="Q63" i="3"/>
  <c r="AI63" i="3"/>
  <c r="AH63" i="3"/>
  <c r="AG67" i="3"/>
  <c r="AM67" i="3"/>
  <c r="AI67" i="3"/>
  <c r="S29" i="37"/>
  <c r="R29" i="37"/>
  <c r="F17" i="34"/>
  <c r="D27" i="34"/>
  <c r="AD27" i="34"/>
  <c r="AF27" i="34"/>
  <c r="AH27" i="34"/>
  <c r="D23" i="34"/>
  <c r="H38" i="19"/>
  <c r="R38" i="19"/>
  <c r="T38" i="19"/>
  <c r="AK9" i="8"/>
  <c r="AJ33" i="10"/>
  <c r="AN19" i="9"/>
  <c r="AJ28" i="10"/>
  <c r="H11" i="25"/>
  <c r="S11" i="25"/>
  <c r="U11" i="25"/>
  <c r="AK20" i="9"/>
  <c r="AL20" i="9"/>
  <c r="AJ35" i="7"/>
  <c r="AK35" i="7"/>
  <c r="G15" i="24"/>
  <c r="Q15" i="24"/>
  <c r="S15" i="24"/>
  <c r="AL31" i="8"/>
  <c r="AN22" i="9"/>
  <c r="AM22" i="9"/>
  <c r="H9" i="25"/>
  <c r="S9" i="25"/>
  <c r="U9" i="25"/>
  <c r="AJ34" i="10"/>
  <c r="U13" i="34"/>
  <c r="Q17" i="34"/>
  <c r="S17" i="34"/>
  <c r="AK8" i="5"/>
  <c r="H10" i="18"/>
  <c r="T10" i="18"/>
  <c r="V10" i="18"/>
  <c r="H8" i="18"/>
  <c r="T8" i="18"/>
  <c r="V8" i="18"/>
  <c r="AL25" i="6"/>
  <c r="AK25" i="6"/>
  <c r="H14" i="25"/>
  <c r="S14" i="25"/>
  <c r="U14" i="25"/>
  <c r="U6" i="18"/>
  <c r="U14" i="34"/>
  <c r="AN42" i="8"/>
  <c r="AK79" i="7"/>
  <c r="S7" i="7"/>
  <c r="AF9" i="5"/>
  <c r="AL9" i="5"/>
  <c r="AG9" i="5"/>
  <c r="AM9" i="5"/>
  <c r="AE9" i="5"/>
  <c r="AG7" i="5"/>
  <c r="AM7" i="5"/>
  <c r="AE7" i="5"/>
  <c r="AI7" i="5"/>
  <c r="AL19" i="28"/>
  <c r="AK19" i="28"/>
  <c r="AK27" i="6"/>
  <c r="R46" i="7"/>
  <c r="S46" i="7"/>
  <c r="AE46" i="7"/>
  <c r="AI46" i="7"/>
  <c r="AH46" i="7"/>
  <c r="AG46" i="7"/>
  <c r="AM46" i="7"/>
  <c r="Q46" i="7"/>
  <c r="AD46" i="7"/>
  <c r="P46" i="7"/>
  <c r="AH44" i="7"/>
  <c r="AE44" i="7"/>
  <c r="Q44" i="7"/>
  <c r="AI44" i="7"/>
  <c r="P44" i="7"/>
  <c r="AF44" i="7"/>
  <c r="AL44" i="7"/>
  <c r="AG44" i="7"/>
  <c r="AM44" i="7"/>
  <c r="R44" i="7"/>
  <c r="AI40" i="7"/>
  <c r="AF40" i="7"/>
  <c r="P40" i="7"/>
  <c r="S40" i="7"/>
  <c r="AD40" i="7"/>
  <c r="Q40" i="7"/>
  <c r="AE40" i="7"/>
  <c r="AG40" i="7"/>
  <c r="AH26" i="7"/>
  <c r="AI26" i="7"/>
  <c r="AE26" i="7"/>
  <c r="S26" i="7"/>
  <c r="AF26" i="7"/>
  <c r="AL26" i="7"/>
  <c r="P26" i="7"/>
  <c r="R38" i="7"/>
  <c r="P38" i="7"/>
  <c r="S38" i="7"/>
  <c r="AF38" i="7"/>
  <c r="AL38" i="7"/>
  <c r="AD38" i="7"/>
  <c r="Q38" i="7"/>
  <c r="AI38" i="7"/>
  <c r="AI12" i="8"/>
  <c r="AE12" i="8"/>
  <c r="Q19" i="8"/>
  <c r="S19" i="8"/>
  <c r="T19" i="8"/>
  <c r="R19" i="8"/>
  <c r="AH19" i="8"/>
  <c r="AN19" i="8"/>
  <c r="AE19" i="8"/>
  <c r="AI19" i="8"/>
  <c r="AF19" i="8"/>
  <c r="AG19" i="8"/>
  <c r="AM19" i="8"/>
  <c r="T13" i="8"/>
  <c r="R13" i="8"/>
  <c r="AJ13" i="8"/>
  <c r="AK13" i="8"/>
  <c r="AH13" i="8"/>
  <c r="AN13" i="8"/>
  <c r="T15" i="8"/>
  <c r="AH15" i="8"/>
  <c r="AN15" i="8"/>
  <c r="AJ15" i="8"/>
  <c r="AK15" i="8"/>
  <c r="T11" i="9"/>
  <c r="Q11" i="9"/>
  <c r="AJ11" i="9"/>
  <c r="AH11" i="9"/>
  <c r="AI11" i="9"/>
  <c r="AE11" i="9"/>
  <c r="AF9" i="9"/>
  <c r="AH9" i="9"/>
  <c r="S9" i="9"/>
  <c r="AG9" i="9"/>
  <c r="AI5" i="9"/>
  <c r="T5" i="9"/>
  <c r="S5" i="9"/>
  <c r="AH5" i="9"/>
  <c r="AJ5" i="9"/>
  <c r="R5" i="9"/>
  <c r="R55" i="7"/>
  <c r="AD55" i="7"/>
  <c r="P55" i="7"/>
  <c r="P7" i="7"/>
  <c r="R7" i="7"/>
  <c r="AH7" i="7"/>
  <c r="AF7" i="7"/>
  <c r="AL7" i="7"/>
  <c r="AG7" i="7"/>
  <c r="AM7" i="7"/>
  <c r="Q7" i="7"/>
  <c r="AL29" i="3"/>
  <c r="R44" i="3"/>
  <c r="Q12" i="10"/>
  <c r="R14" i="10"/>
  <c r="AH23" i="7"/>
  <c r="S23" i="7"/>
  <c r="AF23" i="7"/>
  <c r="AL23" i="7"/>
  <c r="R33" i="7"/>
  <c r="AD33" i="7"/>
  <c r="S16" i="7"/>
  <c r="AH16" i="7"/>
  <c r="AF16" i="7"/>
  <c r="AL16" i="7"/>
  <c r="AI16" i="7"/>
  <c r="AD16" i="7"/>
  <c r="P16" i="7"/>
  <c r="R14" i="7"/>
  <c r="AF14" i="7"/>
  <c r="AL14" i="7"/>
  <c r="Q14" i="7"/>
  <c r="AH11" i="10"/>
  <c r="S11" i="10"/>
  <c r="AI11" i="10"/>
  <c r="AD11" i="10"/>
  <c r="R15" i="10"/>
  <c r="Q15" i="10"/>
  <c r="P15" i="10"/>
  <c r="S15" i="10"/>
  <c r="R48" i="3"/>
  <c r="AE48" i="3"/>
  <c r="AH48" i="3"/>
  <c r="AI48" i="3"/>
  <c r="AF48" i="3"/>
  <c r="AL48" i="3"/>
  <c r="P49" i="7"/>
  <c r="AK43" i="7"/>
  <c r="AJ43" i="7"/>
  <c r="AK11" i="1"/>
  <c r="AL11" i="1"/>
  <c r="AI11" i="1"/>
  <c r="AH61" i="7"/>
  <c r="S61" i="7"/>
  <c r="AD61" i="7"/>
  <c r="AE61" i="7"/>
  <c r="AH14" i="10"/>
  <c r="AF14" i="10"/>
  <c r="AL14" i="10"/>
  <c r="AI12" i="10"/>
  <c r="AF12" i="10"/>
  <c r="S5" i="10"/>
  <c r="AH5" i="10"/>
  <c r="AI32" i="10"/>
  <c r="AE32" i="10"/>
  <c r="AF32" i="10"/>
  <c r="AL32" i="10"/>
  <c r="R16" i="3"/>
  <c r="AI16" i="3"/>
  <c r="AF22" i="10"/>
  <c r="AL22" i="10"/>
  <c r="AG22" i="10"/>
  <c r="AM22" i="10"/>
  <c r="AE43" i="7"/>
  <c r="S43" i="7"/>
  <c r="R43" i="7"/>
  <c r="P43" i="7"/>
  <c r="S8" i="10"/>
  <c r="R8" i="10"/>
  <c r="AE8" i="10"/>
  <c r="AF8" i="10"/>
  <c r="G10" i="24"/>
  <c r="Q10" i="24"/>
  <c r="S10" i="24"/>
  <c r="P8" i="10"/>
  <c r="Q8" i="10"/>
  <c r="AE36" i="8"/>
  <c r="Q36" i="8"/>
  <c r="S36" i="8"/>
  <c r="AG36" i="8"/>
  <c r="AM36" i="8"/>
  <c r="AJ44" i="8"/>
  <c r="T44" i="8"/>
  <c r="S44" i="8"/>
  <c r="AF44" i="8"/>
  <c r="AE44" i="8"/>
  <c r="AH44" i="8"/>
  <c r="AN44" i="8"/>
  <c r="AH50" i="8"/>
  <c r="AN50" i="8"/>
  <c r="AJ50" i="8"/>
  <c r="R50" i="8"/>
  <c r="Q52" i="8"/>
  <c r="U8" i="37"/>
  <c r="S8" i="37"/>
  <c r="S46" i="37"/>
  <c r="R46" i="37"/>
  <c r="AJ21" i="8"/>
  <c r="AH21" i="8"/>
  <c r="H15" i="25"/>
  <c r="S15" i="25"/>
  <c r="U15" i="25"/>
  <c r="AG22" i="28"/>
  <c r="Q7" i="33"/>
  <c r="T7" i="33"/>
  <c r="AG38" i="28"/>
  <c r="AM38" i="28"/>
  <c r="AF63" i="3"/>
  <c r="AL63" i="3"/>
  <c r="T29" i="37"/>
  <c r="U18" i="1"/>
  <c r="AH12" i="1"/>
  <c r="AK7" i="1"/>
  <c r="R71" i="7"/>
  <c r="R57" i="7"/>
  <c r="AE52" i="7"/>
  <c r="AE6" i="7"/>
  <c r="AD23" i="7"/>
  <c r="S44" i="7"/>
  <c r="AI9" i="7"/>
  <c r="AD33" i="10"/>
  <c r="AH12" i="15"/>
  <c r="AG45" i="8"/>
  <c r="AH70" i="2"/>
  <c r="P40" i="10"/>
  <c r="AG36" i="1"/>
  <c r="AE19" i="9"/>
  <c r="AF10" i="37"/>
  <c r="AH11" i="37"/>
  <c r="AN11" i="37"/>
  <c r="U19" i="37"/>
  <c r="AG19" i="37"/>
  <c r="T6" i="21"/>
  <c r="V6" i="21"/>
  <c r="R31" i="1"/>
  <c r="AI25" i="1"/>
  <c r="AH15" i="3"/>
  <c r="AD44" i="2"/>
  <c r="S31" i="8"/>
  <c r="AF35" i="10"/>
  <c r="AL35" i="10"/>
  <c r="AI6" i="10"/>
  <c r="AK6" i="10"/>
  <c r="R6" i="24"/>
  <c r="T6" i="24"/>
  <c r="T19" i="6"/>
  <c r="R23" i="28"/>
  <c r="AJ54" i="28"/>
  <c r="AI7" i="33"/>
  <c r="T17" i="34"/>
  <c r="S21" i="9"/>
  <c r="R21" i="9"/>
  <c r="AG43" i="28"/>
  <c r="AM43" i="28"/>
  <c r="Q43" i="28"/>
  <c r="AF12" i="37"/>
  <c r="AI19" i="37"/>
  <c r="AO19" i="37"/>
  <c r="T19" i="37"/>
  <c r="AH34" i="37"/>
  <c r="AN34" i="37"/>
  <c r="R26" i="2"/>
  <c r="R65" i="7"/>
  <c r="P65" i="7"/>
  <c r="AG38" i="8"/>
  <c r="AM38" i="8"/>
  <c r="S16" i="9"/>
  <c r="S10" i="6"/>
  <c r="S28" i="29"/>
  <c r="U28" i="29"/>
  <c r="T5" i="33"/>
  <c r="AK7" i="36"/>
  <c r="AM7" i="36"/>
  <c r="AF47" i="2"/>
  <c r="AL47" i="2"/>
  <c r="AH47" i="2"/>
  <c r="AI7" i="3"/>
  <c r="Q36" i="2"/>
  <c r="Q31" i="2"/>
  <c r="Q5" i="2"/>
  <c r="AG11" i="9"/>
  <c r="AG5" i="9"/>
  <c r="AE14" i="10"/>
  <c r="AI5" i="10"/>
  <c r="R9" i="5"/>
  <c r="AG31" i="10"/>
  <c r="AM31" i="10"/>
  <c r="T17" i="21"/>
  <c r="V17" i="21"/>
  <c r="S17" i="21"/>
  <c r="U17" i="21"/>
  <c r="AF39" i="8"/>
  <c r="T16" i="18"/>
  <c r="V16" i="18"/>
  <c r="T18" i="37"/>
  <c r="AH46" i="37"/>
  <c r="AN46" i="37"/>
  <c r="AJ29" i="37"/>
  <c r="R36" i="37"/>
  <c r="AL54" i="28"/>
  <c r="AK54" i="28"/>
  <c r="AL8" i="10"/>
  <c r="AK12" i="10"/>
  <c r="AJ12" i="10"/>
  <c r="H11" i="21"/>
  <c r="T11" i="21"/>
  <c r="V11" i="21"/>
  <c r="H8" i="21"/>
  <c r="T8" i="21"/>
  <c r="V8" i="21"/>
  <c r="H9" i="17"/>
  <c r="P9" i="17"/>
  <c r="R9" i="17"/>
  <c r="AO11" i="1"/>
  <c r="G29" i="25"/>
  <c r="R29" i="25"/>
  <c r="T29" i="25"/>
  <c r="AM45" i="8"/>
  <c r="AM7" i="1"/>
  <c r="AL7" i="1"/>
  <c r="AK32" i="10"/>
  <c r="AJ32" i="10"/>
  <c r="AM11" i="1"/>
  <c r="AK46" i="7"/>
  <c r="AJ46" i="7"/>
  <c r="AK7" i="5"/>
  <c r="AJ7" i="5"/>
  <c r="G12" i="23"/>
  <c r="Q12" i="23"/>
  <c r="S12" i="23"/>
  <c r="AN12" i="15"/>
  <c r="AN12" i="1"/>
  <c r="G10" i="17"/>
  <c r="O10" i="17"/>
  <c r="Q10" i="17"/>
  <c r="AN5" i="9"/>
  <c r="AM5" i="9"/>
  <c r="AN9" i="9"/>
  <c r="AM9" i="9"/>
  <c r="AJ26" i="7"/>
  <c r="AK26" i="7"/>
  <c r="AJ67" i="3"/>
  <c r="AK67" i="3"/>
  <c r="AJ16" i="3"/>
  <c r="AK16" i="3"/>
  <c r="AK16" i="7"/>
  <c r="AJ16" i="7"/>
  <c r="AJ38" i="7"/>
  <c r="AK38" i="7"/>
  <c r="Q23" i="34"/>
  <c r="AD23" i="34"/>
  <c r="AF23" i="34"/>
  <c r="AH23" i="34"/>
  <c r="H13" i="17"/>
  <c r="P13" i="17"/>
  <c r="R13" i="17"/>
  <c r="AO25" i="1"/>
  <c r="AK9" i="7"/>
  <c r="AJ9" i="7"/>
  <c r="AL50" i="8"/>
  <c r="AK50" i="8"/>
  <c r="AL15" i="8"/>
  <c r="AL13" i="8"/>
  <c r="H21" i="21"/>
  <c r="T21" i="21"/>
  <c r="V21" i="21"/>
  <c r="AM40" i="7"/>
  <c r="G21" i="21"/>
  <c r="S21" i="21"/>
  <c r="U21" i="21"/>
  <c r="AL40" i="7"/>
  <c r="AJ44" i="7"/>
  <c r="AK44" i="7"/>
  <c r="Q27" i="34"/>
  <c r="AL20" i="1"/>
  <c r="AM20" i="1"/>
  <c r="AJ5" i="10"/>
  <c r="AK5" i="10"/>
  <c r="AJ6" i="10"/>
  <c r="G16" i="29"/>
  <c r="R16" i="29"/>
  <c r="T16" i="29"/>
  <c r="AM22" i="28"/>
  <c r="AL12" i="10"/>
  <c r="G14" i="24"/>
  <c r="Q14" i="24"/>
  <c r="S14" i="24"/>
  <c r="AK48" i="3"/>
  <c r="AJ48" i="3"/>
  <c r="AK7" i="3"/>
  <c r="AJ7" i="3"/>
  <c r="AJ40" i="7"/>
  <c r="AK40" i="7"/>
  <c r="AK63" i="3"/>
  <c r="AJ63" i="3"/>
  <c r="AK34" i="3"/>
  <c r="AJ34" i="3"/>
  <c r="AH19" i="34"/>
  <c r="AH34" i="7"/>
  <c r="S34" i="7"/>
  <c r="Q34" i="7"/>
  <c r="AF34" i="7"/>
  <c r="AL34" i="7"/>
  <c r="AG34" i="7"/>
  <c r="AM34" i="7"/>
  <c r="R34" i="7"/>
  <c r="AD34" i="7"/>
  <c r="P34" i="7"/>
  <c r="AD75" i="7"/>
  <c r="AF75" i="7"/>
  <c r="G26" i="21"/>
  <c r="S26" i="21"/>
  <c r="U26" i="21"/>
  <c r="P75" i="7"/>
  <c r="AH75" i="7"/>
  <c r="AL48" i="8"/>
  <c r="AN21" i="8"/>
  <c r="T25" i="19"/>
  <c r="H21" i="19"/>
  <c r="R21" i="19"/>
  <c r="T21" i="19"/>
  <c r="H26" i="19"/>
  <c r="R26" i="19"/>
  <c r="T26" i="19"/>
  <c r="G21" i="19"/>
  <c r="Q21" i="19"/>
  <c r="S21" i="19"/>
  <c r="S25" i="19"/>
  <c r="AJ20" i="3"/>
  <c r="AL50" i="3"/>
  <c r="G28" i="18"/>
  <c r="S28" i="18"/>
  <c r="U28" i="18"/>
  <c r="AM15" i="1"/>
  <c r="AK54" i="3"/>
  <c r="AJ40" i="3"/>
  <c r="AN30" i="28"/>
  <c r="G22" i="29"/>
  <c r="R22" i="29"/>
  <c r="T22" i="29"/>
  <c r="G20" i="29"/>
  <c r="R20" i="29"/>
  <c r="T20" i="29"/>
  <c r="AK27" i="28"/>
  <c r="H19" i="29"/>
  <c r="S19" i="29"/>
  <c r="U19" i="29"/>
  <c r="H21" i="29"/>
  <c r="S21" i="29"/>
  <c r="U21" i="29"/>
  <c r="AK23" i="6"/>
  <c r="G48" i="19"/>
  <c r="Q48" i="19"/>
  <c r="S48" i="19"/>
  <c r="S42" i="19"/>
  <c r="AM47" i="1"/>
  <c r="G26" i="25"/>
  <c r="R26" i="25"/>
  <c r="T26" i="25"/>
  <c r="AL27" i="8"/>
  <c r="AK6" i="8"/>
  <c r="AJ23" i="7"/>
  <c r="AD76" i="7"/>
  <c r="AF76" i="7"/>
  <c r="AL76" i="7"/>
  <c r="R76" i="7"/>
  <c r="AH76" i="7"/>
  <c r="P76" i="7"/>
  <c r="G30" i="7"/>
  <c r="AH49" i="7"/>
  <c r="G32" i="7"/>
  <c r="G54" i="7"/>
  <c r="AF54" i="7"/>
  <c r="AL54" i="7"/>
  <c r="G64" i="7"/>
  <c r="AD64" i="7"/>
  <c r="G72" i="7"/>
  <c r="AH72" i="7"/>
  <c r="G78" i="7"/>
  <c r="AH78" i="7"/>
  <c r="AD49" i="7"/>
  <c r="R49" i="7"/>
  <c r="G48" i="7"/>
  <c r="P48" i="7"/>
  <c r="G56" i="7"/>
  <c r="G74" i="7"/>
  <c r="R54" i="7"/>
  <c r="AD54" i="7"/>
  <c r="AH54" i="7"/>
  <c r="P54" i="7"/>
  <c r="AF74" i="7"/>
  <c r="AL74" i="7"/>
  <c r="AH74" i="7"/>
  <c r="R74" i="7"/>
  <c r="P74" i="7"/>
  <c r="AD74" i="7"/>
  <c r="AH32" i="7"/>
  <c r="R32" i="7"/>
  <c r="P32" i="7"/>
  <c r="AD32" i="7"/>
  <c r="AF32" i="7"/>
  <c r="AL32" i="7"/>
  <c r="G27" i="21"/>
  <c r="S27" i="21"/>
  <c r="U27" i="21"/>
  <c r="AF56" i="7"/>
  <c r="AL56" i="7"/>
  <c r="AD56" i="7"/>
  <c r="R56" i="7"/>
  <c r="P56" i="7"/>
  <c r="AH56" i="7"/>
  <c r="R48" i="7"/>
  <c r="AH48" i="7"/>
  <c r="AD48" i="7"/>
  <c r="P78" i="7"/>
  <c r="AF78" i="7"/>
  <c r="AL78" i="7"/>
  <c r="AD72" i="7"/>
  <c r="P72" i="7"/>
  <c r="R72" i="7"/>
  <c r="P64" i="7"/>
  <c r="AF64" i="7"/>
  <c r="AL64" i="7"/>
  <c r="AH64" i="7"/>
  <c r="AF15" i="26"/>
  <c r="AH15" i="26"/>
  <c r="G10" i="26"/>
  <c r="AE14" i="26"/>
  <c r="AG14" i="26"/>
  <c r="AF16" i="26"/>
  <c r="AH16" i="26"/>
  <c r="H5" i="30"/>
  <c r="P5" i="30"/>
  <c r="AF14" i="26"/>
  <c r="AH14" i="26"/>
  <c r="G9" i="26"/>
  <c r="AE17" i="26"/>
  <c r="AG17" i="26"/>
  <c r="G6" i="30"/>
  <c r="O6" i="30"/>
  <c r="AE16" i="26"/>
  <c r="AG16" i="26"/>
  <c r="G5" i="30"/>
  <c r="O5" i="30"/>
  <c r="AF17" i="26"/>
  <c r="AH17" i="26"/>
  <c r="G8" i="23"/>
  <c r="Q8" i="23"/>
  <c r="S8" i="23"/>
  <c r="AN10" i="15"/>
  <c r="G10" i="23"/>
  <c r="Q10" i="23"/>
  <c r="S10" i="23"/>
  <c r="AO10" i="15"/>
  <c r="G15" i="23"/>
  <c r="Q15" i="23"/>
  <c r="S15" i="23"/>
  <c r="S7" i="15"/>
  <c r="AI15" i="15"/>
  <c r="AK9" i="15"/>
  <c r="AL9" i="15"/>
  <c r="AO11" i="15"/>
  <c r="R8" i="15"/>
  <c r="AH9" i="15"/>
  <c r="G7" i="23"/>
  <c r="Q7" i="23"/>
  <c r="S7" i="23"/>
  <c r="AK15" i="15"/>
  <c r="AK7" i="15"/>
  <c r="AF9" i="15"/>
  <c r="AG9" i="15"/>
  <c r="AI9" i="15"/>
  <c r="AO9" i="15"/>
  <c r="AL11" i="15"/>
  <c r="AM13" i="15"/>
  <c r="AF7" i="15"/>
  <c r="AK8" i="15"/>
  <c r="AL8" i="15"/>
  <c r="AF8" i="15"/>
  <c r="U8" i="15"/>
  <c r="AH7" i="15"/>
  <c r="AN7" i="15"/>
  <c r="H10" i="23"/>
  <c r="R10" i="23"/>
  <c r="T10" i="23"/>
  <c r="AG15" i="15"/>
  <c r="AG8" i="15"/>
  <c r="AJ15" i="15"/>
  <c r="R7" i="15"/>
  <c r="U7" i="15"/>
  <c r="AN15" i="15"/>
  <c r="S8" i="15"/>
  <c r="AG7" i="15"/>
  <c r="AI7" i="15"/>
  <c r="AO7" i="15"/>
  <c r="H6" i="30"/>
  <c r="P6" i="30"/>
  <c r="R6" i="30"/>
  <c r="AE15" i="26"/>
  <c r="AG15" i="26"/>
  <c r="G9" i="23"/>
  <c r="Q9" i="23"/>
  <c r="S9" i="23"/>
  <c r="AN9" i="15"/>
  <c r="AM9" i="15"/>
  <c r="AM15" i="15"/>
  <c r="AL15" i="15"/>
  <c r="H7" i="23"/>
  <c r="R7" i="23"/>
  <c r="T7" i="23"/>
  <c r="AM8" i="15"/>
  <c r="AM7" i="15"/>
  <c r="AL7" i="15"/>
  <c r="H13" i="23"/>
  <c r="R13" i="23"/>
  <c r="T13" i="23"/>
  <c r="AO15" i="15"/>
  <c r="H15" i="23"/>
  <c r="R15" i="23"/>
  <c r="T15" i="23"/>
  <c r="AF19" i="15"/>
  <c r="G21" i="15"/>
  <c r="G26" i="15"/>
  <c r="AG19" i="15"/>
  <c r="H21" i="15"/>
  <c r="H26" i="15"/>
  <c r="S19" i="15"/>
  <c r="U19" i="15"/>
  <c r="R19" i="15"/>
  <c r="T19" i="15"/>
  <c r="S18" i="15"/>
  <c r="U18" i="15"/>
  <c r="AG18" i="15"/>
  <c r="H20" i="15"/>
  <c r="AF18" i="15"/>
  <c r="G20" i="15"/>
  <c r="AI21" i="15"/>
  <c r="AO21" i="15"/>
  <c r="R21" i="15"/>
  <c r="T21" i="15"/>
  <c r="AF21" i="15"/>
  <c r="H23" i="15"/>
  <c r="AH26" i="15"/>
  <c r="AN26" i="15"/>
  <c r="S12" i="35"/>
  <c r="U12" i="35"/>
  <c r="R11" i="35"/>
  <c r="T11" i="35"/>
  <c r="R12" i="35"/>
  <c r="T12" i="35"/>
  <c r="G12" i="26"/>
  <c r="AF12" i="26"/>
  <c r="G6" i="26"/>
  <c r="AJ6" i="26"/>
  <c r="AK6" i="26"/>
  <c r="G8" i="26"/>
  <c r="F8" i="26"/>
  <c r="G7" i="26"/>
  <c r="AF7" i="26"/>
  <c r="R6" i="26"/>
  <c r="AF6" i="26"/>
  <c r="P6" i="26"/>
  <c r="AH6" i="26"/>
  <c r="AN6" i="26"/>
  <c r="AH12" i="26"/>
  <c r="AN12" i="26"/>
  <c r="R12" i="26"/>
  <c r="AJ12" i="26"/>
  <c r="AK12" i="26"/>
  <c r="AH7" i="26"/>
  <c r="AN7" i="26"/>
  <c r="P7" i="26"/>
  <c r="AL6" i="26"/>
  <c r="Q5" i="30"/>
  <c r="G9" i="30"/>
  <c r="O9" i="30"/>
  <c r="Q9" i="30"/>
  <c r="G7" i="30"/>
  <c r="O7" i="30"/>
  <c r="AL5" i="9"/>
  <c r="AK5" i="9"/>
  <c r="S20" i="15"/>
  <c r="U20" i="15"/>
  <c r="H25" i="15"/>
  <c r="AG20" i="15"/>
  <c r="AI20" i="15"/>
  <c r="AO20" i="15"/>
  <c r="H22" i="15"/>
  <c r="F6" i="26"/>
  <c r="F12" i="26"/>
  <c r="AH9" i="26"/>
  <c r="AN9" i="26"/>
  <c r="R9" i="26"/>
  <c r="P9" i="26"/>
  <c r="AF9" i="26"/>
  <c r="AM11" i="9"/>
  <c r="AN11" i="9"/>
  <c r="AL26" i="1"/>
  <c r="AM26" i="1"/>
  <c r="AJ27" i="7"/>
  <c r="AK27" i="7"/>
  <c r="R5" i="30"/>
  <c r="H7" i="30"/>
  <c r="P7" i="30"/>
  <c r="H9" i="30"/>
  <c r="P9" i="30"/>
  <c r="R9" i="30"/>
  <c r="AJ11" i="10"/>
  <c r="AK11" i="10"/>
  <c r="G17" i="17"/>
  <c r="O17" i="17"/>
  <c r="Q17" i="17"/>
  <c r="AN31" i="1"/>
  <c r="AK36" i="3"/>
  <c r="AJ36" i="3"/>
  <c r="AL11" i="9"/>
  <c r="AK11" i="9"/>
  <c r="S23" i="15"/>
  <c r="U23" i="15"/>
  <c r="AG23" i="15"/>
  <c r="AK21" i="8"/>
  <c r="AL21" i="8"/>
  <c r="AF10" i="26"/>
  <c r="P10" i="26"/>
  <c r="R10" i="26"/>
  <c r="AJ10" i="26"/>
  <c r="AH10" i="26"/>
  <c r="AN10" i="26"/>
  <c r="F5" i="26"/>
  <c r="F9" i="26"/>
  <c r="F7" i="26"/>
  <c r="F11" i="26"/>
  <c r="AG26" i="15"/>
  <c r="U26" i="15"/>
  <c r="S26" i="15"/>
  <c r="AJ9" i="26"/>
  <c r="H24" i="15"/>
  <c r="AG21" i="15"/>
  <c r="S21" i="15"/>
  <c r="U21" i="15"/>
  <c r="AH30" i="7"/>
  <c r="P30" i="7"/>
  <c r="AF30" i="7"/>
  <c r="AL30" i="7"/>
  <c r="AD30" i="7"/>
  <c r="R30" i="7"/>
  <c r="AN28" i="1"/>
  <c r="O8" i="26"/>
  <c r="AE8" i="26"/>
  <c r="Q8" i="26"/>
  <c r="AI8" i="26"/>
  <c r="F10" i="26"/>
  <c r="AL44" i="8"/>
  <c r="AK44" i="8"/>
  <c r="H10" i="30"/>
  <c r="P10" i="30"/>
  <c r="R10" i="30"/>
  <c r="H8" i="30"/>
  <c r="P8" i="30"/>
  <c r="AM39" i="1"/>
  <c r="AL39" i="1"/>
  <c r="AI23" i="15"/>
  <c r="AO23" i="15"/>
  <c r="AK26" i="15"/>
  <c r="AO31" i="1"/>
  <c r="H17" i="17"/>
  <c r="P17" i="17"/>
  <c r="R17" i="17"/>
  <c r="AF8" i="26"/>
  <c r="R8" i="26"/>
  <c r="AJ8" i="26"/>
  <c r="AH8" i="26"/>
  <c r="AN8" i="26"/>
  <c r="P8" i="26"/>
  <c r="AI26" i="15"/>
  <c r="AO26" i="15"/>
  <c r="AJ26" i="15"/>
  <c r="AF26" i="15"/>
  <c r="R26" i="15"/>
  <c r="T26" i="15"/>
  <c r="AG8" i="26"/>
  <c r="AM8" i="26"/>
  <c r="G22" i="15"/>
  <c r="AH20" i="15"/>
  <c r="AN20" i="15"/>
  <c r="G23" i="15"/>
  <c r="R20" i="15"/>
  <c r="T20" i="15"/>
  <c r="AF20" i="15"/>
  <c r="G25" i="15"/>
  <c r="G10" i="30"/>
  <c r="O10" i="30"/>
  <c r="Q10" i="30"/>
  <c r="G8" i="30"/>
  <c r="O8" i="30"/>
  <c r="Q6" i="30"/>
  <c r="AN26" i="1"/>
  <c r="G14" i="17"/>
  <c r="O14" i="17"/>
  <c r="Q14" i="17"/>
  <c r="AL75" i="7"/>
  <c r="AK73" i="2"/>
  <c r="AJ73" i="2"/>
  <c r="AJ7" i="26"/>
  <c r="AF72" i="7"/>
  <c r="AL72" i="7"/>
  <c r="R78" i="7"/>
  <c r="AE67" i="8"/>
  <c r="AG67" i="8"/>
  <c r="AN60" i="28"/>
  <c r="H34" i="29"/>
  <c r="S34" i="29"/>
  <c r="U34" i="29"/>
  <c r="AM30" i="1"/>
  <c r="AL30" i="1"/>
  <c r="R7" i="26"/>
  <c r="AD78" i="7"/>
  <c r="D20" i="34"/>
  <c r="Q20" i="34"/>
  <c r="S20" i="34"/>
  <c r="Q18" i="34"/>
  <c r="S18" i="34"/>
  <c r="D22" i="34"/>
  <c r="AR10" i="34"/>
  <c r="C16" i="34"/>
  <c r="AL18" i="37"/>
  <c r="AM18" i="37"/>
  <c r="AM32" i="1"/>
  <c r="AL36" i="1"/>
  <c r="AM36" i="1"/>
  <c r="AL10" i="1"/>
  <c r="AN11" i="1"/>
  <c r="AK29" i="10"/>
  <c r="AJ29" i="10"/>
  <c r="AM24" i="37"/>
  <c r="AL24" i="37"/>
  <c r="AJ24" i="10"/>
  <c r="AK24" i="10"/>
  <c r="AD18" i="34"/>
  <c r="AF18" i="34"/>
  <c r="P12" i="26"/>
  <c r="AL12" i="26"/>
  <c r="AH21" i="15"/>
  <c r="AN21" i="15"/>
  <c r="H9" i="23"/>
  <c r="R9" i="23"/>
  <c r="T9" i="23"/>
  <c r="R64" i="7"/>
  <c r="AF48" i="7"/>
  <c r="AL48" i="7"/>
  <c r="AL9" i="1"/>
  <c r="AM9" i="1"/>
  <c r="AK28" i="7"/>
  <c r="AJ28" i="7"/>
  <c r="AL39" i="2"/>
  <c r="G18" i="20"/>
  <c r="R18" i="20"/>
  <c r="T18" i="20"/>
  <c r="G24" i="15"/>
  <c r="G5" i="26"/>
  <c r="G11" i="26"/>
  <c r="AM25" i="1"/>
  <c r="AM41" i="1"/>
  <c r="H9" i="18"/>
  <c r="T9" i="18"/>
  <c r="V9" i="18"/>
  <c r="AM52" i="7"/>
  <c r="H25" i="21"/>
  <c r="T25" i="21"/>
  <c r="V25" i="21"/>
  <c r="AJ51" i="2"/>
  <c r="AK51" i="2"/>
  <c r="AL19" i="2"/>
  <c r="G10" i="20"/>
  <c r="R10" i="20"/>
  <c r="T10" i="20"/>
  <c r="AK52" i="2"/>
  <c r="AJ52" i="2"/>
  <c r="AM21" i="28"/>
  <c r="G15" i="29"/>
  <c r="R15" i="29"/>
  <c r="T15" i="29"/>
  <c r="AN49" i="28"/>
  <c r="H27" i="29"/>
  <c r="S27" i="29"/>
  <c r="U27" i="29"/>
  <c r="AK74" i="2"/>
  <c r="AJ17" i="2"/>
  <c r="AK17" i="2"/>
  <c r="AJ60" i="2"/>
  <c r="AK60" i="2"/>
  <c r="AJ52" i="7"/>
  <c r="AK52" i="7"/>
  <c r="AH14" i="34"/>
  <c r="AJ42" i="2"/>
  <c r="AK70" i="2"/>
  <c r="H29" i="20"/>
  <c r="S29" i="20"/>
  <c r="U29" i="20"/>
  <c r="G13" i="24"/>
  <c r="Q13" i="24"/>
  <c r="S13" i="24"/>
  <c r="AK41" i="2"/>
  <c r="AJ5" i="2"/>
  <c r="AK7" i="2"/>
  <c r="AJ7" i="2"/>
  <c r="AL27" i="10"/>
  <c r="G17" i="24"/>
  <c r="Q17" i="24"/>
  <c r="S17" i="24"/>
  <c r="AK57" i="2"/>
  <c r="AJ57" i="2"/>
  <c r="AK13" i="28"/>
  <c r="AL13" i="28"/>
  <c r="AL25" i="2"/>
  <c r="G16" i="20"/>
  <c r="R16" i="20"/>
  <c r="T16" i="20"/>
  <c r="G18" i="24"/>
  <c r="Q18" i="24"/>
  <c r="S18" i="24"/>
  <c r="AL28" i="10"/>
  <c r="AJ33" i="2"/>
  <c r="AK34" i="2"/>
  <c r="H14" i="20"/>
  <c r="S14" i="20"/>
  <c r="U14" i="20"/>
  <c r="AK12" i="3"/>
  <c r="G7" i="20"/>
  <c r="R7" i="20"/>
  <c r="T7" i="20"/>
  <c r="AL15" i="28"/>
  <c r="AK15" i="28"/>
  <c r="AJ62" i="7"/>
  <c r="AK62" i="7"/>
  <c r="AM9" i="2"/>
  <c r="H31" i="29"/>
  <c r="S31" i="29"/>
  <c r="U31" i="29"/>
  <c r="AK42" i="28"/>
  <c r="AO19" i="1"/>
  <c r="AO20" i="1"/>
  <c r="AM56" i="3"/>
  <c r="S11" i="1"/>
  <c r="U11" i="1"/>
  <c r="R11" i="1"/>
  <c r="T11" i="1"/>
  <c r="AN11" i="15"/>
  <c r="AM13" i="37"/>
  <c r="H41" i="19"/>
  <c r="R41" i="19"/>
  <c r="T41" i="19"/>
  <c r="G5" i="29"/>
  <c r="G5" i="25"/>
  <c r="R5" i="25"/>
  <c r="T5" i="25"/>
  <c r="AK66" i="7"/>
  <c r="AJ14" i="10"/>
  <c r="AK14" i="10"/>
  <c r="H10" i="29"/>
  <c r="S10" i="29"/>
  <c r="U10" i="29"/>
  <c r="AL8" i="1"/>
  <c r="AK56" i="3"/>
  <c r="G22" i="18"/>
  <c r="S22" i="18"/>
  <c r="U22" i="18"/>
  <c r="AD17" i="34"/>
  <c r="AF17" i="34"/>
  <c r="D25" i="34"/>
  <c r="AM20" i="9"/>
  <c r="AN20" i="9"/>
  <c r="S18" i="6"/>
  <c r="AJ18" i="6"/>
  <c r="AG18" i="6"/>
  <c r="Q18" i="6"/>
  <c r="AE18" i="6"/>
  <c r="AI18" i="6"/>
  <c r="T18" i="6"/>
  <c r="AH18" i="6"/>
  <c r="R18" i="6"/>
  <c r="AF18" i="6"/>
  <c r="AG59" i="28"/>
  <c r="AI59" i="28"/>
  <c r="S33" i="29"/>
  <c r="U33" i="29"/>
  <c r="R42" i="7"/>
  <c r="AD42" i="7"/>
  <c r="AG42" i="7"/>
  <c r="AM42" i="7"/>
  <c r="AE42" i="7"/>
  <c r="S42" i="7"/>
  <c r="AI42" i="7"/>
  <c r="AH42" i="7"/>
  <c r="P42" i="7"/>
  <c r="Q42" i="7"/>
  <c r="AF42" i="7"/>
  <c r="AL42" i="7"/>
  <c r="R40" i="10"/>
  <c r="Q40" i="10"/>
  <c r="S40" i="10"/>
  <c r="AL21" i="2"/>
  <c r="G17" i="20"/>
  <c r="R17" i="20"/>
  <c r="T17" i="20"/>
  <c r="AK45" i="28"/>
  <c r="AM44" i="37"/>
  <c r="AK17" i="9"/>
  <c r="AK21" i="10"/>
  <c r="U11" i="34"/>
  <c r="AJ24" i="2"/>
  <c r="AJ73" i="3"/>
  <c r="AG20" i="8"/>
  <c r="AM20" i="8"/>
  <c r="AE20" i="8"/>
  <c r="AI20" i="8"/>
  <c r="AF13" i="8"/>
  <c r="R12" i="9"/>
  <c r="AJ12" i="9"/>
  <c r="AG12" i="9"/>
  <c r="AI12" i="9"/>
  <c r="Q12" i="9"/>
  <c r="AH12" i="9"/>
  <c r="AE12" i="9"/>
  <c r="T12" i="9"/>
  <c r="S12" i="9"/>
  <c r="AF12" i="9"/>
  <c r="S6" i="9"/>
  <c r="AH6" i="9"/>
  <c r="AG6" i="9"/>
  <c r="AE6" i="9"/>
  <c r="AJ6" i="9"/>
  <c r="R6" i="9"/>
  <c r="AI6" i="9"/>
  <c r="Q6" i="9"/>
  <c r="AF15" i="10"/>
  <c r="AL15" i="10"/>
  <c r="AI15" i="10"/>
  <c r="AI51" i="7"/>
  <c r="P51" i="7"/>
  <c r="Q51" i="7"/>
  <c r="S51" i="7"/>
  <c r="AH51" i="7"/>
  <c r="AD51" i="7"/>
  <c r="AE51" i="7"/>
  <c r="R51" i="7"/>
  <c r="AF51" i="7"/>
  <c r="AG51" i="7"/>
  <c r="Q5" i="7"/>
  <c r="AE5" i="7"/>
  <c r="AF5" i="7"/>
  <c r="AL5" i="7"/>
  <c r="AG5" i="7"/>
  <c r="AM5" i="7"/>
  <c r="S5" i="7"/>
  <c r="AD5" i="7"/>
  <c r="AI5" i="7"/>
  <c r="P5" i="7"/>
  <c r="AH5" i="7"/>
  <c r="R5" i="7"/>
  <c r="Q82" i="15"/>
  <c r="T82" i="15"/>
  <c r="T64" i="15"/>
  <c r="S64" i="15"/>
  <c r="G9" i="24"/>
  <c r="Q9" i="24"/>
  <c r="S9" i="24"/>
  <c r="S53" i="19"/>
  <c r="AH20" i="7"/>
  <c r="AI20" i="7"/>
  <c r="Q20" i="7"/>
  <c r="P20" i="7"/>
  <c r="AD20" i="7"/>
  <c r="AE20" i="7"/>
  <c r="S20" i="7"/>
  <c r="S37" i="8"/>
  <c r="T37" i="8"/>
  <c r="Q37" i="8"/>
  <c r="R37" i="8"/>
  <c r="R33" i="8"/>
  <c r="T33" i="8"/>
  <c r="AF33" i="8"/>
  <c r="AH33" i="8"/>
  <c r="AN33" i="8"/>
  <c r="AI33" i="8"/>
  <c r="AJ33" i="8"/>
  <c r="AG33" i="8"/>
  <c r="AM33" i="8"/>
  <c r="Q33" i="8"/>
  <c r="T13" i="28"/>
  <c r="S13" i="28"/>
  <c r="AL30" i="8"/>
  <c r="AK30" i="8"/>
  <c r="R28" i="7"/>
  <c r="S28" i="7"/>
  <c r="Q28" i="7"/>
  <c r="AI20" i="6"/>
  <c r="T20" i="6"/>
  <c r="AG20" i="6"/>
  <c r="Q20" i="6"/>
  <c r="AJ20" i="6"/>
  <c r="AF20" i="6"/>
  <c r="R20" i="6"/>
  <c r="AI35" i="10"/>
  <c r="S35" i="10"/>
  <c r="Q35" i="10"/>
  <c r="R35" i="10"/>
  <c r="AH35" i="10"/>
  <c r="AG19" i="6"/>
  <c r="S19" i="6"/>
  <c r="AI19" i="6"/>
  <c r="Q19" i="6"/>
  <c r="R19" i="6"/>
  <c r="AF19" i="6"/>
  <c r="AH19" i="6"/>
  <c r="Q20" i="19"/>
  <c r="AJ35" i="8"/>
  <c r="T35" i="8"/>
  <c r="R35" i="8"/>
  <c r="O66" i="8"/>
  <c r="P66" i="8"/>
  <c r="H6" i="25"/>
  <c r="S6" i="25"/>
  <c r="U6" i="25"/>
  <c r="H6" i="29"/>
  <c r="S6" i="29"/>
  <c r="U6" i="29"/>
  <c r="AK19" i="6"/>
  <c r="AL19" i="6"/>
  <c r="S20" i="6"/>
  <c r="AG81" i="7"/>
  <c r="AM81" i="7"/>
  <c r="S81" i="7"/>
  <c r="T53" i="19"/>
  <c r="T6" i="35"/>
  <c r="AE20" i="6"/>
  <c r="Q15" i="7"/>
  <c r="S15" i="7"/>
  <c r="P15" i="7"/>
  <c r="AF6" i="3"/>
  <c r="AL6" i="3"/>
  <c r="AE6" i="3"/>
  <c r="AH6" i="3"/>
  <c r="AJ17" i="8"/>
  <c r="AH17" i="8"/>
  <c r="AN17" i="8"/>
  <c r="AF17" i="8"/>
  <c r="AM28" i="10"/>
  <c r="H18" i="24"/>
  <c r="R18" i="24"/>
  <c r="T18" i="24"/>
  <c r="H5" i="25"/>
  <c r="S5" i="25"/>
  <c r="U5" i="25"/>
  <c r="H5" i="29"/>
  <c r="S5" i="29"/>
  <c r="U5" i="29"/>
  <c r="T5" i="35"/>
  <c r="AI14" i="7"/>
  <c r="AG14" i="7"/>
  <c r="AM14" i="7"/>
  <c r="P14" i="7"/>
  <c r="S14" i="7"/>
  <c r="AH14" i="7"/>
  <c r="AE14" i="7"/>
  <c r="AI38" i="8"/>
  <c r="AJ38" i="8"/>
  <c r="AF38" i="8"/>
  <c r="AJ43" i="8"/>
  <c r="AH43" i="8"/>
  <c r="AN43" i="8"/>
  <c r="AG43" i="8"/>
  <c r="AM43" i="8"/>
  <c r="AI43" i="8"/>
  <c r="AE43" i="8"/>
  <c r="H47" i="3"/>
  <c r="H39" i="3"/>
  <c r="H35" i="3"/>
  <c r="H33" i="3"/>
  <c r="S33" i="3"/>
  <c r="H29" i="3"/>
  <c r="H15" i="3"/>
  <c r="H53" i="3"/>
  <c r="AI5" i="3"/>
  <c r="H11" i="3"/>
  <c r="AD7" i="7"/>
  <c r="AI7" i="7"/>
  <c r="Q6" i="5"/>
  <c r="AI6" i="5"/>
  <c r="P6" i="5"/>
  <c r="AH46" i="8"/>
  <c r="AG46" i="8"/>
  <c r="AF46" i="8"/>
  <c r="AE5" i="5"/>
  <c r="P5" i="5"/>
  <c r="AM26" i="6"/>
  <c r="G47" i="19"/>
  <c r="Q47" i="19"/>
  <c r="Q29" i="8"/>
  <c r="AI29" i="8"/>
  <c r="T29" i="8"/>
  <c r="AG29" i="8"/>
  <c r="AJ29" i="8"/>
  <c r="R29" i="8"/>
  <c r="S29" i="8"/>
  <c r="AF29" i="8"/>
  <c r="T30" i="37"/>
  <c r="AI30" i="37"/>
  <c r="AO30" i="37"/>
  <c r="AF30" i="37"/>
  <c r="S54" i="19"/>
  <c r="U5" i="35"/>
  <c r="AK25" i="8"/>
  <c r="H75" i="7"/>
  <c r="H63" i="7"/>
  <c r="H31" i="7"/>
  <c r="H73" i="7"/>
  <c r="H71" i="7"/>
  <c r="H55" i="7"/>
  <c r="H29" i="7"/>
  <c r="H22" i="7"/>
  <c r="AE22" i="7"/>
  <c r="H77" i="7"/>
  <c r="H49" i="7"/>
  <c r="H47" i="7"/>
  <c r="H53" i="7"/>
  <c r="AE21" i="7"/>
  <c r="AI21" i="7"/>
  <c r="AH20" i="6"/>
  <c r="AH50" i="3"/>
  <c r="R50" i="3"/>
  <c r="P50" i="3"/>
  <c r="AG58" i="7"/>
  <c r="AM58" i="7"/>
  <c r="AF58" i="7"/>
  <c r="AL58" i="7"/>
  <c r="AJ7" i="9"/>
  <c r="AE7" i="9"/>
  <c r="AG7" i="9"/>
  <c r="G7" i="22"/>
  <c r="M7" i="22"/>
  <c r="O7" i="22"/>
  <c r="AF7" i="9"/>
  <c r="AH7" i="9"/>
  <c r="AJ39" i="8"/>
  <c r="AH39" i="8"/>
  <c r="AI5" i="5"/>
  <c r="AI11" i="28"/>
  <c r="AG11" i="28"/>
  <c r="AI51" i="8"/>
  <c r="S51" i="8"/>
  <c r="AE51" i="8"/>
  <c r="Q51" i="8"/>
  <c r="AG51" i="8"/>
  <c r="T10" i="6"/>
  <c r="R10" i="6"/>
  <c r="S31" i="10"/>
  <c r="P31" i="10"/>
  <c r="AI31" i="10"/>
  <c r="Q31" i="10"/>
  <c r="H17" i="3"/>
  <c r="R39" i="8"/>
  <c r="G6" i="29"/>
  <c r="R6" i="29"/>
  <c r="T6" i="29"/>
  <c r="AM6" i="8"/>
  <c r="AF27" i="1"/>
  <c r="P22" i="7"/>
  <c r="T6" i="9"/>
  <c r="AE30" i="10"/>
  <c r="S12" i="21"/>
  <c r="T12" i="21"/>
  <c r="R7" i="24"/>
  <c r="T7" i="24"/>
  <c r="AG8" i="28"/>
  <c r="AM8" i="28"/>
  <c r="S18" i="29"/>
  <c r="U18" i="29"/>
  <c r="AG10" i="37"/>
  <c r="AG47" i="37"/>
  <c r="AH57" i="2"/>
  <c r="S11" i="35"/>
  <c r="U11" i="35"/>
  <c r="Q41" i="3"/>
  <c r="AI41" i="3"/>
  <c r="AS13" i="3"/>
  <c r="AT13" i="3"/>
  <c r="AI60" i="7"/>
  <c r="AH21" i="7"/>
  <c r="AE5" i="10"/>
  <c r="Q5" i="10"/>
  <c r="Q48" i="3"/>
  <c r="AC11" i="34"/>
  <c r="AE11" i="34"/>
  <c r="H28" i="8"/>
  <c r="G6" i="25"/>
  <c r="R6" i="25"/>
  <c r="T6" i="25"/>
  <c r="U8" i="1"/>
  <c r="P60" i="7"/>
  <c r="S60" i="7"/>
  <c r="P37" i="7"/>
  <c r="R37" i="7"/>
  <c r="AH37" i="7"/>
  <c r="Q29" i="3"/>
  <c r="P29" i="3"/>
  <c r="AF33" i="10"/>
  <c r="AL33" i="10"/>
  <c r="AH52" i="3"/>
  <c r="AG30" i="8"/>
  <c r="R30" i="8"/>
  <c r="AE30" i="8"/>
  <c r="AI30" i="8"/>
  <c r="S30" i="8"/>
  <c r="Q55" i="19"/>
  <c r="S55" i="19"/>
  <c r="AE6" i="6"/>
  <c r="P21" i="7"/>
  <c r="S21" i="7"/>
  <c r="Q21" i="7"/>
  <c r="AE38" i="10"/>
  <c r="AI38" i="10"/>
  <c r="Q14" i="10"/>
  <c r="AG14" i="10"/>
  <c r="AM14" i="10"/>
  <c r="AH30" i="8"/>
  <c r="AF49" i="3"/>
  <c r="R8" i="3"/>
  <c r="S16" i="6"/>
  <c r="AF7" i="8"/>
  <c r="S12" i="10"/>
  <c r="P12" i="10"/>
  <c r="S22" i="10"/>
  <c r="S20" i="10"/>
  <c r="R13" i="6"/>
  <c r="AE63" i="7"/>
  <c r="AF75" i="2"/>
  <c r="AL75" i="2"/>
  <c r="AJ14" i="28"/>
  <c r="AJ59" i="28"/>
  <c r="AJ11" i="37"/>
  <c r="R56" i="19"/>
  <c r="T56" i="19"/>
  <c r="Q56" i="19"/>
  <c r="S56" i="19"/>
  <c r="S26" i="6"/>
  <c r="T26" i="6"/>
  <c r="AE19" i="3"/>
  <c r="Q16" i="7"/>
  <c r="AG16" i="7"/>
  <c r="AM16" i="7"/>
  <c r="AF15" i="15"/>
  <c r="Q26" i="6"/>
  <c r="Q31" i="7"/>
  <c r="P31" i="7"/>
  <c r="AE31" i="7"/>
  <c r="AF43" i="7"/>
  <c r="AL43" i="7"/>
  <c r="Q43" i="7"/>
  <c r="AH43" i="7"/>
  <c r="AI19" i="7"/>
  <c r="AH19" i="7"/>
  <c r="AG19" i="7"/>
  <c r="AM19" i="7"/>
  <c r="AF19" i="7"/>
  <c r="AL19" i="7"/>
  <c r="AF21" i="8"/>
  <c r="R21" i="8"/>
  <c r="AD8" i="10"/>
  <c r="AI8" i="10"/>
  <c r="AH8" i="10"/>
  <c r="R43" i="1"/>
  <c r="S8" i="35"/>
  <c r="U8" i="35"/>
  <c r="R8" i="35"/>
  <c r="T8" i="35"/>
  <c r="R23" i="7"/>
  <c r="U33" i="1"/>
  <c r="S22" i="1"/>
  <c r="S7" i="3"/>
  <c r="AE7" i="3"/>
  <c r="Q7" i="3"/>
  <c r="R10" i="7"/>
  <c r="Q10" i="7"/>
  <c r="AF10" i="7"/>
  <c r="AH10" i="7"/>
  <c r="AD50" i="7"/>
  <c r="AE41" i="8"/>
  <c r="AI41" i="8"/>
  <c r="S41" i="8"/>
  <c r="AJ41" i="8"/>
  <c r="AG41" i="8"/>
  <c r="T41" i="8"/>
  <c r="S31" i="37"/>
  <c r="G23" i="28"/>
  <c r="G23" i="6"/>
  <c r="G39" i="8"/>
  <c r="G27" i="8"/>
  <c r="G15" i="8"/>
  <c r="G35" i="8"/>
  <c r="G39" i="28"/>
  <c r="G47" i="1"/>
  <c r="G25" i="8"/>
  <c r="G13" i="8"/>
  <c r="G37" i="28"/>
  <c r="G33" i="28"/>
  <c r="G29" i="28"/>
  <c r="G25" i="28"/>
  <c r="G25" i="6"/>
  <c r="AF48" i="8"/>
  <c r="R48" i="8"/>
  <c r="Q7" i="2"/>
  <c r="Q22" i="2"/>
  <c r="Q35" i="7"/>
  <c r="P35" i="7"/>
  <c r="AG35" i="7"/>
  <c r="AM35" i="7"/>
  <c r="R19" i="7"/>
  <c r="Q19" i="7"/>
  <c r="P19" i="7"/>
  <c r="AE19" i="7"/>
  <c r="AE24" i="10"/>
  <c r="AG8" i="10"/>
  <c r="R5" i="29"/>
  <c r="T5" i="29"/>
  <c r="AH25" i="8"/>
  <c r="AN25" i="8"/>
  <c r="AI36" i="8"/>
  <c r="AH8" i="28"/>
  <c r="AN8" i="28"/>
  <c r="S8" i="28"/>
  <c r="AH5" i="28"/>
  <c r="AN5" i="28"/>
  <c r="AF27" i="28"/>
  <c r="H40" i="28"/>
  <c r="H28" i="6"/>
  <c r="H48" i="1"/>
  <c r="AG48" i="1"/>
  <c r="H26" i="8"/>
  <c r="H14" i="8"/>
  <c r="H38" i="28"/>
  <c r="H26" i="6"/>
  <c r="H36" i="8"/>
  <c r="H36" i="28"/>
  <c r="AF36" i="28"/>
  <c r="H24" i="6"/>
  <c r="H34" i="28"/>
  <c r="H32" i="28"/>
  <c r="H48" i="37"/>
  <c r="H20" i="8"/>
  <c r="H28" i="28"/>
  <c r="H24" i="28"/>
  <c r="H40" i="8"/>
  <c r="H16" i="8"/>
  <c r="H31" i="28"/>
  <c r="G18" i="3"/>
  <c r="G53" i="3"/>
  <c r="H37" i="37"/>
  <c r="U37" i="37"/>
  <c r="G25" i="3"/>
  <c r="H6" i="6"/>
  <c r="H13" i="6"/>
  <c r="H12" i="28"/>
  <c r="H18" i="28"/>
  <c r="G21" i="8"/>
  <c r="H22" i="8"/>
  <c r="R55" i="19"/>
  <c r="T55" i="19"/>
  <c r="G34" i="3"/>
  <c r="G16" i="1"/>
  <c r="G49" i="3"/>
  <c r="G8" i="6"/>
  <c r="H15" i="6"/>
  <c r="T15" i="6"/>
  <c r="G17" i="28"/>
  <c r="H22" i="28"/>
  <c r="G47" i="8"/>
  <c r="H49" i="8"/>
  <c r="G15" i="1"/>
  <c r="G11" i="6"/>
  <c r="G5" i="6"/>
  <c r="H56" i="28"/>
  <c r="G49" i="8"/>
  <c r="H47" i="8"/>
  <c r="U36" i="37"/>
  <c r="G29" i="7"/>
  <c r="AF29" i="7"/>
  <c r="AL29" i="7"/>
  <c r="G77" i="7"/>
  <c r="P77" i="7"/>
  <c r="H30" i="3"/>
  <c r="G54" i="3"/>
  <c r="G38" i="1"/>
  <c r="H19" i="3"/>
  <c r="G13" i="6"/>
  <c r="G22" i="6"/>
  <c r="G55" i="28"/>
  <c r="H58" i="28"/>
  <c r="G50" i="8"/>
  <c r="H52" i="8"/>
  <c r="G57" i="28"/>
  <c r="AG36" i="37"/>
  <c r="G31" i="7"/>
  <c r="G11" i="3"/>
  <c r="G33" i="3"/>
  <c r="H37" i="1"/>
  <c r="H26" i="3"/>
  <c r="G15" i="6"/>
  <c r="H5" i="6"/>
  <c r="G56" i="28"/>
  <c r="H12" i="8"/>
  <c r="R12" i="8"/>
  <c r="H11" i="8"/>
  <c r="H38" i="1"/>
  <c r="G17" i="3"/>
  <c r="G39" i="3"/>
  <c r="G37" i="37"/>
  <c r="G20" i="3"/>
  <c r="AF20" i="3"/>
  <c r="AL20" i="3"/>
  <c r="H50" i="3"/>
  <c r="H11" i="6"/>
  <c r="R11" i="6"/>
  <c r="H22" i="6"/>
  <c r="H11" i="28"/>
  <c r="G17" i="8"/>
  <c r="AE17" i="8"/>
  <c r="H18" i="8"/>
  <c r="G38" i="37"/>
  <c r="G6" i="6"/>
  <c r="G12" i="28"/>
  <c r="H17" i="28"/>
  <c r="AE12" i="28"/>
  <c r="Q12" i="28"/>
  <c r="AG12" i="28"/>
  <c r="S12" i="28"/>
  <c r="AI12" i="28"/>
  <c r="AG38" i="1"/>
  <c r="S38" i="1"/>
  <c r="U38" i="1"/>
  <c r="AI38" i="1"/>
  <c r="AO38" i="1"/>
  <c r="AK38" i="1"/>
  <c r="AI39" i="8"/>
  <c r="S39" i="8"/>
  <c r="Q39" i="8"/>
  <c r="R11" i="8"/>
  <c r="AJ11" i="8"/>
  <c r="AF11" i="8"/>
  <c r="T11" i="8"/>
  <c r="AH11" i="8"/>
  <c r="Q50" i="8"/>
  <c r="AE50" i="8"/>
  <c r="AI50" i="8"/>
  <c r="AG50" i="8"/>
  <c r="AM50" i="8"/>
  <c r="S50" i="8"/>
  <c r="P49" i="3"/>
  <c r="R49" i="3"/>
  <c r="AH49" i="3"/>
  <c r="AD49" i="3"/>
  <c r="P34" i="3"/>
  <c r="R34" i="3"/>
  <c r="AH34" i="3"/>
  <c r="AF34" i="3"/>
  <c r="AL34" i="3"/>
  <c r="AD34" i="3"/>
  <c r="AH26" i="6"/>
  <c r="AJ26" i="6"/>
  <c r="AJ16" i="8"/>
  <c r="R16" i="8"/>
  <c r="AH16" i="8"/>
  <c r="AN16" i="8"/>
  <c r="T16" i="8"/>
  <c r="AF16" i="8"/>
  <c r="AH38" i="28"/>
  <c r="AN38" i="28"/>
  <c r="AJ38" i="28"/>
  <c r="AF38" i="28"/>
  <c r="R38" i="28"/>
  <c r="T38" i="28"/>
  <c r="Q13" i="8"/>
  <c r="S13" i="8"/>
  <c r="AI13" i="8"/>
  <c r="AG13" i="8"/>
  <c r="AM13" i="8"/>
  <c r="AM41" i="8"/>
  <c r="G27" i="25"/>
  <c r="R27" i="25"/>
  <c r="T27" i="25"/>
  <c r="G18" i="25"/>
  <c r="R18" i="25"/>
  <c r="T18" i="25"/>
  <c r="AM30" i="8"/>
  <c r="AN39" i="8"/>
  <c r="H25" i="25"/>
  <c r="S25" i="25"/>
  <c r="U25" i="25"/>
  <c r="H29" i="19"/>
  <c r="R29" i="19"/>
  <c r="T29" i="19"/>
  <c r="AN20" i="6"/>
  <c r="H36" i="19"/>
  <c r="R36" i="19"/>
  <c r="AG31" i="7"/>
  <c r="AM31" i="7"/>
  <c r="S31" i="7"/>
  <c r="AI31" i="7"/>
  <c r="AL29" i="8"/>
  <c r="AK29" i="8"/>
  <c r="AN46" i="8"/>
  <c r="H30" i="25"/>
  <c r="S30" i="25"/>
  <c r="U30" i="25"/>
  <c r="AI35" i="3"/>
  <c r="S35" i="3"/>
  <c r="Q35" i="3"/>
  <c r="AE35" i="3"/>
  <c r="AG35" i="3"/>
  <c r="AM35" i="3"/>
  <c r="G29" i="19"/>
  <c r="Q29" i="19"/>
  <c r="S29" i="19"/>
  <c r="AM20" i="6"/>
  <c r="G36" i="19"/>
  <c r="Q36" i="19"/>
  <c r="AK6" i="9"/>
  <c r="AL6" i="9"/>
  <c r="AN18" i="6"/>
  <c r="H28" i="19"/>
  <c r="R28" i="19"/>
  <c r="T28" i="19"/>
  <c r="H34" i="19"/>
  <c r="R34" i="19"/>
  <c r="T34" i="19"/>
  <c r="H31" i="19"/>
  <c r="R31" i="19"/>
  <c r="AH11" i="26"/>
  <c r="AN11" i="26"/>
  <c r="AF11" i="26"/>
  <c r="AJ11" i="26"/>
  <c r="R11" i="26"/>
  <c r="P11" i="26"/>
  <c r="AM26" i="15"/>
  <c r="AL26" i="15"/>
  <c r="R7" i="30"/>
  <c r="H11" i="30"/>
  <c r="P11" i="30"/>
  <c r="R11" i="30"/>
  <c r="Q12" i="26"/>
  <c r="AE12" i="26"/>
  <c r="AI12" i="26"/>
  <c r="O12" i="26"/>
  <c r="AG12" i="26"/>
  <c r="AM12" i="26"/>
  <c r="AE17" i="28"/>
  <c r="AI17" i="28"/>
  <c r="S17" i="28"/>
  <c r="Q17" i="28"/>
  <c r="AG17" i="28"/>
  <c r="AM17" i="28"/>
  <c r="AF38" i="37"/>
  <c r="AH38" i="37"/>
  <c r="AN38" i="37"/>
  <c r="AJ38" i="37"/>
  <c r="T38" i="37"/>
  <c r="R38" i="37"/>
  <c r="Q8" i="6"/>
  <c r="S8" i="6"/>
  <c r="AI8" i="6"/>
  <c r="AG8" i="6"/>
  <c r="R24" i="6"/>
  <c r="AJ24" i="6"/>
  <c r="T24" i="6"/>
  <c r="AF24" i="6"/>
  <c r="AH24" i="6"/>
  <c r="AG25" i="28"/>
  <c r="AM25" i="28"/>
  <c r="AE25" i="28"/>
  <c r="Q25" i="28"/>
  <c r="AI25" i="28"/>
  <c r="S25" i="28"/>
  <c r="AH5" i="6"/>
  <c r="H7" i="6"/>
  <c r="R5" i="6"/>
  <c r="AJ5" i="6"/>
  <c r="T5" i="6"/>
  <c r="AF5" i="6"/>
  <c r="AE15" i="6"/>
  <c r="AG15" i="6"/>
  <c r="AM15" i="6"/>
  <c r="AI15" i="6"/>
  <c r="Q15" i="6"/>
  <c r="S15" i="6"/>
  <c r="Q22" i="6"/>
  <c r="S22" i="6"/>
  <c r="AI22" i="6"/>
  <c r="AE22" i="6"/>
  <c r="AG22" i="6"/>
  <c r="AM22" i="6"/>
  <c r="AI5" i="6"/>
  <c r="S5" i="6"/>
  <c r="AE5" i="6"/>
  <c r="AG5" i="6"/>
  <c r="Q5" i="6"/>
  <c r="AH11" i="6"/>
  <c r="AJ11" i="6"/>
  <c r="Q13" i="6"/>
  <c r="AG13" i="6"/>
  <c r="AE13" i="6"/>
  <c r="AI13" i="6"/>
  <c r="S13" i="6"/>
  <c r="T22" i="8"/>
  <c r="R22" i="8"/>
  <c r="AF22" i="8"/>
  <c r="AH22" i="8"/>
  <c r="AJ22" i="8"/>
  <c r="AF40" i="8"/>
  <c r="T40" i="8"/>
  <c r="AH40" i="8"/>
  <c r="AJ40" i="8"/>
  <c r="R40" i="8"/>
  <c r="AF14" i="8"/>
  <c r="T14" i="8"/>
  <c r="AJ14" i="8"/>
  <c r="R14" i="8"/>
  <c r="AH14" i="8"/>
  <c r="AN14" i="8"/>
  <c r="Q25" i="8"/>
  <c r="AI25" i="8"/>
  <c r="AE25" i="8"/>
  <c r="S25" i="8"/>
  <c r="AL41" i="8"/>
  <c r="AK41" i="8"/>
  <c r="AK41" i="3"/>
  <c r="AJ41" i="3"/>
  <c r="AK39" i="8"/>
  <c r="AL39" i="8"/>
  <c r="AK21" i="7"/>
  <c r="AJ21" i="7"/>
  <c r="AI63" i="7"/>
  <c r="AG63" i="7"/>
  <c r="AM63" i="7"/>
  <c r="S63" i="7"/>
  <c r="Q63" i="7"/>
  <c r="G17" i="25"/>
  <c r="R17" i="25"/>
  <c r="T17" i="25"/>
  <c r="AM29" i="8"/>
  <c r="AI39" i="3"/>
  <c r="S39" i="3"/>
  <c r="AG39" i="3"/>
  <c r="AM39" i="3"/>
  <c r="Q39" i="3"/>
  <c r="AE39" i="3"/>
  <c r="AK35" i="8"/>
  <c r="AL35" i="8"/>
  <c r="T11" i="6"/>
  <c r="AL33" i="8"/>
  <c r="AK33" i="8"/>
  <c r="AK12" i="9"/>
  <c r="AL12" i="9"/>
  <c r="AJ42" i="7"/>
  <c r="AK42" i="7"/>
  <c r="AF5" i="26"/>
  <c r="AH5" i="26"/>
  <c r="AN5" i="26"/>
  <c r="P5" i="26"/>
  <c r="AJ5" i="26"/>
  <c r="R5" i="26"/>
  <c r="AI6" i="26"/>
  <c r="AE6" i="26"/>
  <c r="AG6" i="26"/>
  <c r="AM6" i="26"/>
  <c r="Q6" i="26"/>
  <c r="O6" i="26"/>
  <c r="H8" i="6"/>
  <c r="T6" i="6"/>
  <c r="R6" i="6"/>
  <c r="AH6" i="6"/>
  <c r="AJ6" i="6"/>
  <c r="AG27" i="8"/>
  <c r="AI27" i="8"/>
  <c r="AE27" i="8"/>
  <c r="Q27" i="8"/>
  <c r="S27" i="8"/>
  <c r="AJ19" i="7"/>
  <c r="AK19" i="7"/>
  <c r="AD25" i="3"/>
  <c r="P25" i="3"/>
  <c r="AF25" i="3"/>
  <c r="AH25" i="3"/>
  <c r="R25" i="3"/>
  <c r="AG23" i="6"/>
  <c r="AE23" i="6"/>
  <c r="Q23" i="6"/>
  <c r="S23" i="6"/>
  <c r="AI23" i="6"/>
  <c r="AF56" i="28"/>
  <c r="AH56" i="28"/>
  <c r="AJ56" i="28"/>
  <c r="R56" i="28"/>
  <c r="T56" i="28"/>
  <c r="AJ8" i="10"/>
  <c r="AK8" i="10"/>
  <c r="AF22" i="6"/>
  <c r="AH22" i="6"/>
  <c r="AN22" i="6"/>
  <c r="R22" i="6"/>
  <c r="T22" i="6"/>
  <c r="AJ22" i="6"/>
  <c r="S26" i="3"/>
  <c r="AG26" i="3"/>
  <c r="Q26" i="3"/>
  <c r="AE26" i="3"/>
  <c r="AI26" i="3"/>
  <c r="AI11" i="6"/>
  <c r="S11" i="6"/>
  <c r="AG11" i="6"/>
  <c r="AE50" i="3"/>
  <c r="AG50" i="3"/>
  <c r="AI50" i="3"/>
  <c r="S50" i="3"/>
  <c r="Q50" i="3"/>
  <c r="S37" i="1"/>
  <c r="U37" i="1"/>
  <c r="AK37" i="1"/>
  <c r="AG37" i="1"/>
  <c r="AI37" i="1"/>
  <c r="AO37" i="1"/>
  <c r="S19" i="3"/>
  <c r="AI19" i="3"/>
  <c r="Q19" i="3"/>
  <c r="AG19" i="3"/>
  <c r="AM19" i="3"/>
  <c r="T15" i="1"/>
  <c r="AH15" i="1"/>
  <c r="AN15" i="1"/>
  <c r="AF15" i="1"/>
  <c r="R15" i="1"/>
  <c r="AJ15" i="1"/>
  <c r="AE21" i="8"/>
  <c r="S21" i="8"/>
  <c r="Q21" i="8"/>
  <c r="AI21" i="8"/>
  <c r="AG21" i="8"/>
  <c r="R24" i="28"/>
  <c r="AF24" i="28"/>
  <c r="T24" i="28"/>
  <c r="AJ24" i="28"/>
  <c r="AH24" i="28"/>
  <c r="AN24" i="28"/>
  <c r="AH26" i="8"/>
  <c r="AN26" i="8"/>
  <c r="AF26" i="8"/>
  <c r="R26" i="8"/>
  <c r="T26" i="8"/>
  <c r="AJ26" i="8"/>
  <c r="T47" i="1"/>
  <c r="R47" i="1"/>
  <c r="AF47" i="1"/>
  <c r="AJ47" i="1"/>
  <c r="AH47" i="1"/>
  <c r="AN47" i="1"/>
  <c r="T28" i="8"/>
  <c r="AF28" i="8"/>
  <c r="AJ28" i="8"/>
  <c r="R28" i="8"/>
  <c r="AH28" i="8"/>
  <c r="AN7" i="9"/>
  <c r="AM7" i="9"/>
  <c r="H7" i="22"/>
  <c r="N7" i="22"/>
  <c r="P7" i="22"/>
  <c r="S75" i="7"/>
  <c r="AE75" i="7"/>
  <c r="AI75" i="7"/>
  <c r="Q75" i="7"/>
  <c r="AG75" i="7"/>
  <c r="AJ6" i="5"/>
  <c r="AK6" i="5"/>
  <c r="AE47" i="3"/>
  <c r="Q47" i="3"/>
  <c r="S47" i="3"/>
  <c r="AI47" i="3"/>
  <c r="AG47" i="3"/>
  <c r="AM47" i="3"/>
  <c r="G26" i="19"/>
  <c r="Q26" i="19"/>
  <c r="S26" i="19"/>
  <c r="S20" i="19"/>
  <c r="AE11" i="6"/>
  <c r="AJ5" i="7"/>
  <c r="AK5" i="7"/>
  <c r="R24" i="15"/>
  <c r="T24" i="15"/>
  <c r="AF24" i="15"/>
  <c r="AH24" i="15"/>
  <c r="AN24" i="15"/>
  <c r="AI11" i="26"/>
  <c r="Q11" i="26"/>
  <c r="AE11" i="26"/>
  <c r="AG11" i="26"/>
  <c r="AM11" i="26"/>
  <c r="O11" i="26"/>
  <c r="S22" i="15"/>
  <c r="U22" i="15"/>
  <c r="AG22" i="15"/>
  <c r="AI22" i="15"/>
  <c r="AO22" i="15"/>
  <c r="T49" i="8"/>
  <c r="AH49" i="8"/>
  <c r="AN49" i="8"/>
  <c r="AJ49" i="8"/>
  <c r="AF49" i="8"/>
  <c r="R49" i="8"/>
  <c r="T18" i="28"/>
  <c r="R18" i="28"/>
  <c r="AJ18" i="28"/>
  <c r="AH18" i="28"/>
  <c r="AN18" i="28"/>
  <c r="AF18" i="28"/>
  <c r="R28" i="28"/>
  <c r="T28" i="28"/>
  <c r="AF28" i="28"/>
  <c r="AJ28" i="28"/>
  <c r="AH28" i="28"/>
  <c r="U48" i="1"/>
  <c r="S48" i="1"/>
  <c r="AI48" i="1"/>
  <c r="AO48" i="1"/>
  <c r="AK48" i="1"/>
  <c r="S39" i="28"/>
  <c r="AG39" i="28"/>
  <c r="AE39" i="28"/>
  <c r="AI39" i="28"/>
  <c r="AL59" i="28"/>
  <c r="AK59" i="28"/>
  <c r="AG39" i="8"/>
  <c r="C17" i="34"/>
  <c r="AR11" i="34"/>
  <c r="AI53" i="7"/>
  <c r="S53" i="7"/>
  <c r="AE53" i="7"/>
  <c r="AG53" i="7"/>
  <c r="AM53" i="7"/>
  <c r="AK17" i="8"/>
  <c r="AL17" i="8"/>
  <c r="AN19" i="6"/>
  <c r="H35" i="19"/>
  <c r="R35" i="19"/>
  <c r="T35" i="19"/>
  <c r="AM6" i="9"/>
  <c r="AN6" i="9"/>
  <c r="AS18" i="34"/>
  <c r="AH18" i="34"/>
  <c r="Q8" i="30"/>
  <c r="G12" i="30"/>
  <c r="O12" i="30"/>
  <c r="Q12" i="30"/>
  <c r="Q7" i="26"/>
  <c r="O7" i="26"/>
  <c r="AE7" i="26"/>
  <c r="AG7" i="26"/>
  <c r="AM7" i="26"/>
  <c r="AI7" i="26"/>
  <c r="P17" i="3"/>
  <c r="AF17" i="3"/>
  <c r="AL17" i="3"/>
  <c r="R17" i="3"/>
  <c r="AH17" i="3"/>
  <c r="AD17" i="3"/>
  <c r="AJ32" i="28"/>
  <c r="AH32" i="28"/>
  <c r="AN32" i="28"/>
  <c r="R32" i="28"/>
  <c r="AF32" i="28"/>
  <c r="AI29" i="28"/>
  <c r="Q29" i="28"/>
  <c r="AE29" i="28"/>
  <c r="AG29" i="28"/>
  <c r="S29" i="28"/>
  <c r="AE23" i="28"/>
  <c r="AG23" i="28"/>
  <c r="AM23" i="28"/>
  <c r="S23" i="28"/>
  <c r="AI23" i="28"/>
  <c r="Q23" i="28"/>
  <c r="G19" i="21"/>
  <c r="S19" i="21"/>
  <c r="U19" i="21"/>
  <c r="AL10" i="7"/>
  <c r="R20" i="3"/>
  <c r="AH20" i="3"/>
  <c r="AD20" i="3"/>
  <c r="P20" i="3"/>
  <c r="AD33" i="3"/>
  <c r="P33" i="3"/>
  <c r="R33" i="3"/>
  <c r="AH33" i="3"/>
  <c r="AF33" i="3"/>
  <c r="AL33" i="3"/>
  <c r="Q39" i="28"/>
  <c r="G33" i="25"/>
  <c r="R33" i="25"/>
  <c r="T33" i="25"/>
  <c r="AM51" i="8"/>
  <c r="AG47" i="7"/>
  <c r="AM47" i="7"/>
  <c r="AI47" i="7"/>
  <c r="Q47" i="7"/>
  <c r="AE47" i="7"/>
  <c r="S47" i="7"/>
  <c r="AJ7" i="7"/>
  <c r="AK7" i="7"/>
  <c r="AK14" i="7"/>
  <c r="AJ14" i="7"/>
  <c r="AJ20" i="7"/>
  <c r="AK20" i="7"/>
  <c r="AE13" i="8"/>
  <c r="H12" i="30"/>
  <c r="P12" i="30"/>
  <c r="R12" i="30"/>
  <c r="R8" i="30"/>
  <c r="AI9" i="26"/>
  <c r="Q9" i="26"/>
  <c r="AG9" i="26"/>
  <c r="AM9" i="26"/>
  <c r="O9" i="26"/>
  <c r="AE9" i="26"/>
  <c r="AG77" i="7"/>
  <c r="AM77" i="7"/>
  <c r="Q77" i="7"/>
  <c r="S77" i="7"/>
  <c r="AI77" i="7"/>
  <c r="AE77" i="7"/>
  <c r="AJ18" i="8"/>
  <c r="T18" i="8"/>
  <c r="R18" i="8"/>
  <c r="AH18" i="8"/>
  <c r="AN18" i="8"/>
  <c r="AF18" i="8"/>
  <c r="T47" i="8"/>
  <c r="AJ47" i="8"/>
  <c r="AF47" i="8"/>
  <c r="R47" i="8"/>
  <c r="AH47" i="8"/>
  <c r="AH53" i="3"/>
  <c r="R53" i="3"/>
  <c r="AF53" i="3"/>
  <c r="AD53" i="3"/>
  <c r="P53" i="3"/>
  <c r="R38" i="1"/>
  <c r="AJ38" i="1"/>
  <c r="AF38" i="1"/>
  <c r="T38" i="1"/>
  <c r="AH38" i="1"/>
  <c r="AN38" i="1"/>
  <c r="AJ37" i="37"/>
  <c r="AH37" i="37"/>
  <c r="AN37" i="37"/>
  <c r="AF37" i="37"/>
  <c r="T37" i="37"/>
  <c r="R37" i="37"/>
  <c r="AD11" i="3"/>
  <c r="P11" i="3"/>
  <c r="AH11" i="3"/>
  <c r="AF11" i="3"/>
  <c r="AL11" i="3"/>
  <c r="R11" i="3"/>
  <c r="AF54" i="3"/>
  <c r="R54" i="3"/>
  <c r="AH54" i="3"/>
  <c r="AD54" i="3"/>
  <c r="P54" i="3"/>
  <c r="S47" i="8"/>
  <c r="Q47" i="8"/>
  <c r="AE47" i="8"/>
  <c r="AG47" i="8"/>
  <c r="AI47" i="8"/>
  <c r="R12" i="28"/>
  <c r="AF12" i="28"/>
  <c r="AJ12" i="28"/>
  <c r="AH12" i="28"/>
  <c r="AJ20" i="8"/>
  <c r="AH20" i="8"/>
  <c r="AN20" i="8"/>
  <c r="T20" i="8"/>
  <c r="R20" i="8"/>
  <c r="R28" i="6"/>
  <c r="AF28" i="6"/>
  <c r="AJ28" i="6"/>
  <c r="AH28" i="6"/>
  <c r="AN28" i="6"/>
  <c r="T28" i="6"/>
  <c r="T12" i="28"/>
  <c r="AE8" i="6"/>
  <c r="S35" i="8"/>
  <c r="Q35" i="8"/>
  <c r="AG35" i="8"/>
  <c r="AM35" i="8"/>
  <c r="AE35" i="8"/>
  <c r="AI35" i="8"/>
  <c r="R26" i="6"/>
  <c r="R17" i="28"/>
  <c r="AF17" i="28"/>
  <c r="T17" i="28"/>
  <c r="AJ17" i="28"/>
  <c r="AH17" i="28"/>
  <c r="AN17" i="28"/>
  <c r="AH39" i="3"/>
  <c r="R39" i="3"/>
  <c r="P39" i="3"/>
  <c r="AF39" i="3"/>
  <c r="AL39" i="3"/>
  <c r="AD39" i="3"/>
  <c r="R31" i="7"/>
  <c r="AF31" i="7"/>
  <c r="AL31" i="7"/>
  <c r="AH31" i="7"/>
  <c r="AD31" i="7"/>
  <c r="S30" i="3"/>
  <c r="AE30" i="3"/>
  <c r="Q30" i="3"/>
  <c r="AI30" i="3"/>
  <c r="AG30" i="3"/>
  <c r="T22" i="28"/>
  <c r="AF22" i="28"/>
  <c r="R22" i="28"/>
  <c r="AJ22" i="28"/>
  <c r="AH22" i="28"/>
  <c r="AJ13" i="6"/>
  <c r="T13" i="6"/>
  <c r="AF13" i="6"/>
  <c r="AH13" i="6"/>
  <c r="U48" i="37"/>
  <c r="AG48" i="37"/>
  <c r="S48" i="37"/>
  <c r="AI48" i="37"/>
  <c r="AO48" i="37"/>
  <c r="AK48" i="37"/>
  <c r="AJ40" i="28"/>
  <c r="AF40" i="28"/>
  <c r="AH40" i="28"/>
  <c r="T40" i="28"/>
  <c r="R40" i="28"/>
  <c r="H10" i="24"/>
  <c r="R10" i="24"/>
  <c r="T10" i="24"/>
  <c r="AM8" i="10"/>
  <c r="AI15" i="8"/>
  <c r="AE15" i="8"/>
  <c r="Q15" i="8"/>
  <c r="AG15" i="8"/>
  <c r="AM15" i="8"/>
  <c r="S15" i="8"/>
  <c r="AF26" i="6"/>
  <c r="AL14" i="28"/>
  <c r="AK14" i="28"/>
  <c r="AF6" i="6"/>
  <c r="Q53" i="7"/>
  <c r="AG49" i="7"/>
  <c r="AM49" i="7"/>
  <c r="S49" i="7"/>
  <c r="AE49" i="7"/>
  <c r="Q49" i="7"/>
  <c r="AI49" i="7"/>
  <c r="AM18" i="6"/>
  <c r="G31" i="19"/>
  <c r="Q31" i="19"/>
  <c r="G34" i="19"/>
  <c r="Q34" i="19"/>
  <c r="S34" i="19"/>
  <c r="G28" i="19"/>
  <c r="Q28" i="19"/>
  <c r="S28" i="19"/>
  <c r="E16" i="34"/>
  <c r="C18" i="34"/>
  <c r="AC16" i="34"/>
  <c r="AE16" i="34"/>
  <c r="P16" i="34"/>
  <c r="R16" i="34"/>
  <c r="U16" i="34"/>
  <c r="T25" i="15"/>
  <c r="AH25" i="15"/>
  <c r="AN25" i="15"/>
  <c r="AJ25" i="15"/>
  <c r="AF25" i="15"/>
  <c r="R25" i="15"/>
  <c r="AG5" i="26"/>
  <c r="AM5" i="26"/>
  <c r="AE5" i="26"/>
  <c r="O5" i="26"/>
  <c r="Q5" i="26"/>
  <c r="AI5" i="26"/>
  <c r="U25" i="15"/>
  <c r="AI25" i="15"/>
  <c r="AO25" i="15"/>
  <c r="S25" i="15"/>
  <c r="AK25" i="15"/>
  <c r="AG25" i="15"/>
  <c r="Q11" i="3"/>
  <c r="AI11" i="3"/>
  <c r="AE11" i="3"/>
  <c r="AG11" i="3"/>
  <c r="AM11" i="3"/>
  <c r="S11" i="3"/>
  <c r="AJ51" i="7"/>
  <c r="AK51" i="7"/>
  <c r="AF20" i="8"/>
  <c r="AK18" i="6"/>
  <c r="AL18" i="6"/>
  <c r="AN30" i="8"/>
  <c r="H18" i="25"/>
  <c r="S18" i="25"/>
  <c r="U18" i="25"/>
  <c r="H32" i="7"/>
  <c r="S22" i="7"/>
  <c r="H74" i="7"/>
  <c r="H72" i="7"/>
  <c r="H56" i="7"/>
  <c r="H30" i="7"/>
  <c r="AI22" i="7"/>
  <c r="H54" i="7"/>
  <c r="H24" i="7"/>
  <c r="H64" i="7"/>
  <c r="H78" i="7"/>
  <c r="H76" i="7"/>
  <c r="AG22" i="7"/>
  <c r="AM22" i="7"/>
  <c r="Q22" i="7"/>
  <c r="H50" i="7"/>
  <c r="H48" i="7"/>
  <c r="AJ5" i="3"/>
  <c r="AK5" i="3"/>
  <c r="AK43" i="8"/>
  <c r="AL43" i="8"/>
  <c r="AK35" i="10"/>
  <c r="AJ35" i="10"/>
  <c r="AJ15" i="10"/>
  <c r="AK15" i="10"/>
  <c r="AL8" i="26"/>
  <c r="AK8" i="26"/>
  <c r="AL10" i="26"/>
  <c r="AK10" i="26"/>
  <c r="AL7" i="9"/>
  <c r="AK7" i="9"/>
  <c r="AI6" i="6"/>
  <c r="AG6" i="6"/>
  <c r="Q6" i="6"/>
  <c r="S6" i="6"/>
  <c r="Q57" i="28"/>
  <c r="AE57" i="28"/>
  <c r="AG57" i="28"/>
  <c r="AM57" i="28"/>
  <c r="S57" i="28"/>
  <c r="AI57" i="28"/>
  <c r="S37" i="37"/>
  <c r="AG37" i="37"/>
  <c r="AK37" i="37"/>
  <c r="AI37" i="37"/>
  <c r="AO37" i="37"/>
  <c r="AG29" i="7"/>
  <c r="AM29" i="7"/>
  <c r="AI29" i="7"/>
  <c r="Q29" i="7"/>
  <c r="S29" i="7"/>
  <c r="AE29" i="7"/>
  <c r="AE53" i="3"/>
  <c r="AI53" i="3"/>
  <c r="Q53" i="3"/>
  <c r="AG53" i="3"/>
  <c r="S53" i="3"/>
  <c r="AE39" i="8"/>
  <c r="D24" i="34"/>
  <c r="AD22" i="34"/>
  <c r="AF22" i="34"/>
  <c r="AH22" i="34"/>
  <c r="Q22" i="34"/>
  <c r="AL7" i="26"/>
  <c r="AK7" i="26"/>
  <c r="AF23" i="15"/>
  <c r="R23" i="15"/>
  <c r="T23" i="15"/>
  <c r="AH23" i="15"/>
  <c r="AN23" i="15"/>
  <c r="AE10" i="26"/>
  <c r="AG10" i="26"/>
  <c r="AM10" i="26"/>
  <c r="AI10" i="26"/>
  <c r="O10" i="26"/>
  <c r="Q10" i="26"/>
  <c r="S17" i="3"/>
  <c r="AG17" i="3"/>
  <c r="AM17" i="3"/>
  <c r="Q17" i="3"/>
  <c r="AE17" i="3"/>
  <c r="AI17" i="3"/>
  <c r="AM11" i="28"/>
  <c r="G7" i="29"/>
  <c r="R7" i="29"/>
  <c r="T7" i="29"/>
  <c r="AI55" i="7"/>
  <c r="AG55" i="7"/>
  <c r="AM55" i="7"/>
  <c r="AE55" i="7"/>
  <c r="S55" i="7"/>
  <c r="Q55" i="7"/>
  <c r="AE15" i="3"/>
  <c r="AG15" i="3"/>
  <c r="AM15" i="3"/>
  <c r="AI15" i="3"/>
  <c r="S15" i="3"/>
  <c r="Q15" i="3"/>
  <c r="AK38" i="8"/>
  <c r="AL38" i="8"/>
  <c r="R66" i="8"/>
  <c r="AF66" i="8"/>
  <c r="AH66" i="8"/>
  <c r="G35" i="19"/>
  <c r="Q35" i="19"/>
  <c r="S35" i="19"/>
  <c r="AM19" i="6"/>
  <c r="AM51" i="7"/>
  <c r="H24" i="21"/>
  <c r="T24" i="21"/>
  <c r="V24" i="21"/>
  <c r="AN12" i="9"/>
  <c r="AM12" i="9"/>
  <c r="G33" i="29"/>
  <c r="R33" i="29"/>
  <c r="T33" i="29"/>
  <c r="AM59" i="28"/>
  <c r="AG24" i="15"/>
  <c r="AI24" i="15"/>
  <c r="AO24" i="15"/>
  <c r="S24" i="15"/>
  <c r="U24" i="15"/>
  <c r="G11" i="30"/>
  <c r="O11" i="30"/>
  <c r="Q11" i="30"/>
  <c r="Q7" i="30"/>
  <c r="R77" i="7"/>
  <c r="AF77" i="7"/>
  <c r="AL77" i="7"/>
  <c r="AD77" i="7"/>
  <c r="AH77" i="7"/>
  <c r="T32" i="28"/>
  <c r="R29" i="7"/>
  <c r="P29" i="7"/>
  <c r="AD29" i="7"/>
  <c r="AH29" i="7"/>
  <c r="R15" i="6"/>
  <c r="AF15" i="6"/>
  <c r="AH15" i="6"/>
  <c r="AN15" i="6"/>
  <c r="AJ15" i="6"/>
  <c r="AI25" i="6"/>
  <c r="AE25" i="6"/>
  <c r="S25" i="6"/>
  <c r="AG25" i="6"/>
  <c r="Q25" i="6"/>
  <c r="AJ36" i="28"/>
  <c r="T36" i="28"/>
  <c r="R36" i="28"/>
  <c r="AH36" i="28"/>
  <c r="AN36" i="28"/>
  <c r="AI17" i="8"/>
  <c r="AG17" i="8"/>
  <c r="AM17" i="8"/>
  <c r="Q17" i="8"/>
  <c r="S17" i="8"/>
  <c r="Q56" i="28"/>
  <c r="S56" i="28"/>
  <c r="AG56" i="28"/>
  <c r="AE56" i="28"/>
  <c r="AI56" i="28"/>
  <c r="AJ58" i="28"/>
  <c r="AH58" i="28"/>
  <c r="AN58" i="28"/>
  <c r="T58" i="28"/>
  <c r="AF58" i="28"/>
  <c r="R58" i="28"/>
  <c r="Q49" i="8"/>
  <c r="AE49" i="8"/>
  <c r="S49" i="8"/>
  <c r="AG49" i="8"/>
  <c r="AM49" i="8"/>
  <c r="AI49" i="8"/>
  <c r="R16" i="1"/>
  <c r="AF16" i="1"/>
  <c r="AJ16" i="1"/>
  <c r="T16" i="1"/>
  <c r="AH16" i="1"/>
  <c r="AN16" i="1"/>
  <c r="R18" i="3"/>
  <c r="AD18" i="3"/>
  <c r="P18" i="3"/>
  <c r="AH18" i="3"/>
  <c r="AF18" i="3"/>
  <c r="AL18" i="3"/>
  <c r="AH36" i="8"/>
  <c r="AN36" i="8"/>
  <c r="AJ36" i="8"/>
  <c r="T36" i="8"/>
  <c r="AF36" i="8"/>
  <c r="R36" i="8"/>
  <c r="AE33" i="28"/>
  <c r="AG33" i="28"/>
  <c r="AM33" i="28"/>
  <c r="AI33" i="28"/>
  <c r="S33" i="28"/>
  <c r="Q33" i="28"/>
  <c r="AK60" i="7"/>
  <c r="AJ60" i="7"/>
  <c r="V12" i="21"/>
  <c r="H14" i="21"/>
  <c r="T14" i="21"/>
  <c r="V14" i="21"/>
  <c r="AG71" i="7"/>
  <c r="AM71" i="7"/>
  <c r="AI71" i="7"/>
  <c r="AE71" i="7"/>
  <c r="Q71" i="7"/>
  <c r="S71" i="7"/>
  <c r="S29" i="3"/>
  <c r="AG29" i="3"/>
  <c r="AI29" i="3"/>
  <c r="AE29" i="3"/>
  <c r="Q66" i="8"/>
  <c r="AE66" i="8"/>
  <c r="AG66" i="8"/>
  <c r="AF11" i="6"/>
  <c r="AK20" i="6"/>
  <c r="AL20" i="6"/>
  <c r="AG25" i="8"/>
  <c r="AM25" i="8"/>
  <c r="G24" i="21"/>
  <c r="S24" i="21"/>
  <c r="U24" i="21"/>
  <c r="AL51" i="7"/>
  <c r="Q25" i="34"/>
  <c r="AD25" i="34"/>
  <c r="AF25" i="34"/>
  <c r="AH22" i="15"/>
  <c r="AN22" i="15"/>
  <c r="R22" i="15"/>
  <c r="T22" i="15"/>
  <c r="AF22" i="15"/>
  <c r="AK9" i="26"/>
  <c r="AL9" i="26"/>
  <c r="G29" i="18"/>
  <c r="S29" i="18"/>
  <c r="U29" i="18"/>
  <c r="AL49" i="3"/>
  <c r="G27" i="18"/>
  <c r="S27" i="18"/>
  <c r="U27" i="18"/>
  <c r="S47" i="19"/>
  <c r="G43" i="19"/>
  <c r="Q43" i="19"/>
  <c r="S43" i="19"/>
  <c r="R34" i="28"/>
  <c r="AF34" i="28"/>
  <c r="AJ34" i="28"/>
  <c r="T34" i="28"/>
  <c r="AH34" i="28"/>
  <c r="AN34" i="28"/>
  <c r="AJ52" i="8"/>
  <c r="AF52" i="8"/>
  <c r="R52" i="8"/>
  <c r="AH52" i="8"/>
  <c r="T52" i="8"/>
  <c r="T12" i="8"/>
  <c r="AF12" i="8"/>
  <c r="AH12" i="8"/>
  <c r="AJ12" i="8"/>
  <c r="AJ11" i="28"/>
  <c r="AH11" i="28"/>
  <c r="R11" i="28"/>
  <c r="AF11" i="28"/>
  <c r="T11" i="28"/>
  <c r="Q55" i="28"/>
  <c r="S55" i="28"/>
  <c r="AI55" i="28"/>
  <c r="AG55" i="28"/>
  <c r="AE55" i="28"/>
  <c r="AJ31" i="28"/>
  <c r="T31" i="28"/>
  <c r="AH31" i="28"/>
  <c r="AN31" i="28"/>
  <c r="AF31" i="28"/>
  <c r="R31" i="28"/>
  <c r="Q37" i="28"/>
  <c r="AG37" i="28"/>
  <c r="AM37" i="28"/>
  <c r="AE37" i="28"/>
  <c r="S37" i="28"/>
  <c r="AI37" i="28"/>
  <c r="AJ38" i="10"/>
  <c r="AK38" i="10"/>
  <c r="U12" i="21"/>
  <c r="G14" i="21"/>
  <c r="S14" i="21"/>
  <c r="U14" i="21"/>
  <c r="AJ31" i="10"/>
  <c r="AK31" i="10"/>
  <c r="AK5" i="5"/>
  <c r="AJ5" i="5"/>
  <c r="S73" i="7"/>
  <c r="AG73" i="7"/>
  <c r="AM73" i="7"/>
  <c r="AE73" i="7"/>
  <c r="Q73" i="7"/>
  <c r="AI73" i="7"/>
  <c r="G30" i="25"/>
  <c r="R30" i="25"/>
  <c r="T30" i="25"/>
  <c r="AM46" i="8"/>
  <c r="Q33" i="3"/>
  <c r="AE33" i="3"/>
  <c r="AI33" i="3"/>
  <c r="AG33" i="3"/>
  <c r="AM33" i="3"/>
  <c r="Q11" i="6"/>
  <c r="AH17" i="34"/>
  <c r="AS17" i="34"/>
  <c r="AK31" i="28"/>
  <c r="AL31" i="28"/>
  <c r="AN12" i="8"/>
  <c r="H8" i="25"/>
  <c r="S8" i="25"/>
  <c r="U8" i="25"/>
  <c r="AM53" i="3"/>
  <c r="H33" i="18"/>
  <c r="T33" i="18"/>
  <c r="V33" i="18"/>
  <c r="S48" i="7"/>
  <c r="AE48" i="7"/>
  <c r="AI48" i="7"/>
  <c r="AG48" i="7"/>
  <c r="AM48" i="7"/>
  <c r="Q48" i="7"/>
  <c r="AE72" i="7"/>
  <c r="AG72" i="7"/>
  <c r="AM72" i="7"/>
  <c r="AI72" i="7"/>
  <c r="Q72" i="7"/>
  <c r="S72" i="7"/>
  <c r="S31" i="19"/>
  <c r="G37" i="19"/>
  <c r="Q37" i="19"/>
  <c r="S37" i="19"/>
  <c r="AM48" i="37"/>
  <c r="AL48" i="37"/>
  <c r="AN47" i="8"/>
  <c r="H31" i="25"/>
  <c r="S31" i="25"/>
  <c r="U31" i="25"/>
  <c r="AJ26" i="3"/>
  <c r="AK26" i="3"/>
  <c r="AL25" i="3"/>
  <c r="G21" i="18"/>
  <c r="S21" i="18"/>
  <c r="U21" i="18"/>
  <c r="AL5" i="6"/>
  <c r="AK5" i="6"/>
  <c r="AL24" i="6"/>
  <c r="AK24" i="6"/>
  <c r="S36" i="19"/>
  <c r="G32" i="19"/>
  <c r="Q32" i="19"/>
  <c r="S32" i="19"/>
  <c r="AJ31" i="7"/>
  <c r="AK31" i="7"/>
  <c r="AI50" i="7"/>
  <c r="Q50" i="7"/>
  <c r="AG50" i="7"/>
  <c r="AM50" i="7"/>
  <c r="S50" i="7"/>
  <c r="AE50" i="7"/>
  <c r="AK53" i="7"/>
  <c r="AJ53" i="7"/>
  <c r="AJ73" i="7"/>
  <c r="AK73" i="7"/>
  <c r="AK53" i="3"/>
  <c r="AJ53" i="3"/>
  <c r="AJ11" i="3"/>
  <c r="AK11" i="3"/>
  <c r="AJ49" i="7"/>
  <c r="AK49" i="7"/>
  <c r="H26" i="18"/>
  <c r="T26" i="18"/>
  <c r="V26" i="18"/>
  <c r="AM30" i="3"/>
  <c r="H8" i="29"/>
  <c r="S8" i="29"/>
  <c r="U8" i="29"/>
  <c r="AN12" i="28"/>
  <c r="AL56" i="28"/>
  <c r="AK56" i="28"/>
  <c r="T8" i="6"/>
  <c r="AH8" i="6"/>
  <c r="AJ8" i="6"/>
  <c r="AF8" i="6"/>
  <c r="R8" i="6"/>
  <c r="AJ39" i="3"/>
  <c r="AK39" i="3"/>
  <c r="R7" i="6"/>
  <c r="AF7" i="6"/>
  <c r="AJ7" i="6"/>
  <c r="AH7" i="6"/>
  <c r="T7" i="6"/>
  <c r="AM8" i="6"/>
  <c r="G14" i="19"/>
  <c r="Q14" i="19"/>
  <c r="G7" i="19"/>
  <c r="Q7" i="19"/>
  <c r="S7" i="19"/>
  <c r="AK26" i="6"/>
  <c r="AL26" i="6"/>
  <c r="AM38" i="1"/>
  <c r="AL38" i="1"/>
  <c r="AK49" i="8"/>
  <c r="AL49" i="8"/>
  <c r="AK28" i="8"/>
  <c r="AL28" i="8"/>
  <c r="AM26" i="3"/>
  <c r="H22" i="18"/>
  <c r="T22" i="18"/>
  <c r="V22" i="18"/>
  <c r="H32" i="29"/>
  <c r="S32" i="29"/>
  <c r="U32" i="29"/>
  <c r="AN56" i="28"/>
  <c r="AL40" i="8"/>
  <c r="AK40" i="8"/>
  <c r="G24" i="19"/>
  <c r="Q24" i="19"/>
  <c r="S24" i="19"/>
  <c r="AM13" i="6"/>
  <c r="H11" i="19"/>
  <c r="R11" i="19"/>
  <c r="T11" i="19"/>
  <c r="H5" i="19"/>
  <c r="R5" i="19"/>
  <c r="T5" i="19"/>
  <c r="H8" i="19"/>
  <c r="R8" i="19"/>
  <c r="T8" i="19"/>
  <c r="AN5" i="6"/>
  <c r="AK11" i="26"/>
  <c r="AL11" i="26"/>
  <c r="H32" i="19"/>
  <c r="R32" i="19"/>
  <c r="T32" i="19"/>
  <c r="T36" i="19"/>
  <c r="H40" i="19"/>
  <c r="R40" i="19"/>
  <c r="T40" i="19"/>
  <c r="H47" i="19"/>
  <c r="R47" i="19"/>
  <c r="AN26" i="6"/>
  <c r="AK36" i="28"/>
  <c r="AL36" i="28"/>
  <c r="AJ17" i="3"/>
  <c r="AK17" i="3"/>
  <c r="AI76" i="7"/>
  <c r="AE76" i="7"/>
  <c r="Q76" i="7"/>
  <c r="S76" i="7"/>
  <c r="AG76" i="7"/>
  <c r="G25" i="25"/>
  <c r="R25" i="25"/>
  <c r="T25" i="25"/>
  <c r="AM39" i="8"/>
  <c r="AL28" i="28"/>
  <c r="AK28" i="28"/>
  <c r="H26" i="25"/>
  <c r="S26" i="25"/>
  <c r="U26" i="25"/>
  <c r="AN40" i="8"/>
  <c r="AK58" i="28"/>
  <c r="AL58" i="28"/>
  <c r="AG32" i="7"/>
  <c r="AM32" i="7"/>
  <c r="AE32" i="7"/>
  <c r="AI32" i="7"/>
  <c r="S32" i="7"/>
  <c r="Q32" i="7"/>
  <c r="AK30" i="3"/>
  <c r="AJ30" i="3"/>
  <c r="AL12" i="28"/>
  <c r="AK12" i="28"/>
  <c r="AN52" i="8"/>
  <c r="H34" i="25"/>
  <c r="S34" i="25"/>
  <c r="U34" i="25"/>
  <c r="AE78" i="7"/>
  <c r="Q78" i="7"/>
  <c r="AI78" i="7"/>
  <c r="S78" i="7"/>
  <c r="AG78" i="7"/>
  <c r="AM78" i="7"/>
  <c r="AM25" i="15"/>
  <c r="AL25" i="15"/>
  <c r="H24" i="19"/>
  <c r="R24" i="19"/>
  <c r="T24" i="19"/>
  <c r="AN13" i="6"/>
  <c r="AK17" i="28"/>
  <c r="AL17" i="28"/>
  <c r="H26" i="21"/>
  <c r="T26" i="21"/>
  <c r="V26" i="21"/>
  <c r="AM75" i="7"/>
  <c r="AK24" i="28"/>
  <c r="AL24" i="28"/>
  <c r="AK22" i="6"/>
  <c r="AL22" i="6"/>
  <c r="AK11" i="6"/>
  <c r="AL11" i="6"/>
  <c r="AK55" i="7"/>
  <c r="AJ55" i="7"/>
  <c r="AK36" i="8"/>
  <c r="AL36" i="8"/>
  <c r="AM56" i="28"/>
  <c r="G32" i="29"/>
  <c r="R32" i="29"/>
  <c r="T32" i="29"/>
  <c r="AM25" i="6"/>
  <c r="G46" i="19"/>
  <c r="Q46" i="19"/>
  <c r="S46" i="19"/>
  <c r="AK15" i="3"/>
  <c r="AJ15" i="3"/>
  <c r="AI64" i="7"/>
  <c r="Q64" i="7"/>
  <c r="AG64" i="7"/>
  <c r="AM64" i="7"/>
  <c r="S64" i="7"/>
  <c r="AE64" i="7"/>
  <c r="G17" i="29"/>
  <c r="R17" i="29"/>
  <c r="T17" i="29"/>
  <c r="AM29" i="28"/>
  <c r="AK50" i="3"/>
  <c r="AJ50" i="3"/>
  <c r="H22" i="19"/>
  <c r="R22" i="19"/>
  <c r="T22" i="19"/>
  <c r="H16" i="19"/>
  <c r="R16" i="19"/>
  <c r="T16" i="19"/>
  <c r="H19" i="19"/>
  <c r="R19" i="19"/>
  <c r="T19" i="19"/>
  <c r="AN11" i="6"/>
  <c r="T31" i="19"/>
  <c r="H37" i="19"/>
  <c r="R37" i="19"/>
  <c r="T37" i="19"/>
  <c r="AN11" i="8"/>
  <c r="H7" i="25"/>
  <c r="S7" i="25"/>
  <c r="U7" i="25"/>
  <c r="AM37" i="1"/>
  <c r="AL37" i="1"/>
  <c r="AK16" i="8"/>
  <c r="AL16" i="8"/>
  <c r="AK47" i="8"/>
  <c r="AL47" i="8"/>
  <c r="AK52" i="8"/>
  <c r="AL52" i="8"/>
  <c r="AJ29" i="7"/>
  <c r="AK29" i="7"/>
  <c r="AI24" i="7"/>
  <c r="S24" i="7"/>
  <c r="Q24" i="7"/>
  <c r="AG24" i="7"/>
  <c r="AM24" i="7"/>
  <c r="AE24" i="7"/>
  <c r="AG16" i="34"/>
  <c r="AR16" i="34"/>
  <c r="AL28" i="6"/>
  <c r="AK28" i="6"/>
  <c r="G31" i="25"/>
  <c r="R31" i="25"/>
  <c r="T31" i="25"/>
  <c r="AM47" i="8"/>
  <c r="AK75" i="7"/>
  <c r="AJ75" i="7"/>
  <c r="AM50" i="3"/>
  <c r="H28" i="18"/>
  <c r="T28" i="18"/>
  <c r="V28" i="18"/>
  <c r="H30" i="18"/>
  <c r="T30" i="18"/>
  <c r="V30" i="18"/>
  <c r="AL22" i="8"/>
  <c r="AK22" i="8"/>
  <c r="AK35" i="3"/>
  <c r="AJ35" i="3"/>
  <c r="AK38" i="28"/>
  <c r="AL38" i="28"/>
  <c r="AK20" i="8"/>
  <c r="AL20" i="8"/>
  <c r="H20" i="25"/>
  <c r="S20" i="25"/>
  <c r="U20" i="25"/>
  <c r="H22" i="25"/>
  <c r="S22" i="25"/>
  <c r="U22" i="25"/>
  <c r="H24" i="25"/>
  <c r="S24" i="25"/>
  <c r="U24" i="25"/>
  <c r="AN28" i="8"/>
  <c r="AL54" i="3"/>
  <c r="G34" i="18"/>
  <c r="S34" i="18"/>
  <c r="U34" i="18"/>
  <c r="H22" i="29"/>
  <c r="S22" i="29"/>
  <c r="U22" i="29"/>
  <c r="H20" i="29"/>
  <c r="S20" i="29"/>
  <c r="U20" i="29"/>
  <c r="H24" i="29"/>
  <c r="S24" i="29"/>
  <c r="U24" i="29"/>
  <c r="AN28" i="28"/>
  <c r="AJ47" i="7"/>
  <c r="AK47" i="7"/>
  <c r="AJ63" i="7"/>
  <c r="AK63" i="7"/>
  <c r="AN22" i="8"/>
  <c r="H16" i="25"/>
  <c r="S16" i="25"/>
  <c r="U16" i="25"/>
  <c r="AM5" i="6"/>
  <c r="G11" i="19"/>
  <c r="Q11" i="19"/>
  <c r="S11" i="19"/>
  <c r="G8" i="19"/>
  <c r="Q8" i="19"/>
  <c r="S8" i="19"/>
  <c r="G5" i="19"/>
  <c r="Q5" i="19"/>
  <c r="S5" i="19"/>
  <c r="AG74" i="7"/>
  <c r="AM74" i="7"/>
  <c r="S74" i="7"/>
  <c r="AI74" i="7"/>
  <c r="Q74" i="7"/>
  <c r="AE74" i="7"/>
  <c r="G31" i="29"/>
  <c r="R31" i="29"/>
  <c r="T31" i="29"/>
  <c r="AM55" i="28"/>
  <c r="G6" i="19"/>
  <c r="Q6" i="19"/>
  <c r="S6" i="19"/>
  <c r="AM6" i="6"/>
  <c r="G9" i="19"/>
  <c r="Q9" i="19"/>
  <c r="G12" i="19"/>
  <c r="Q12" i="19"/>
  <c r="S12" i="19"/>
  <c r="AK33" i="3"/>
  <c r="AJ33" i="3"/>
  <c r="AN11" i="28"/>
  <c r="H7" i="29"/>
  <c r="S7" i="29"/>
  <c r="U7" i="29"/>
  <c r="Q24" i="34"/>
  <c r="D26" i="34"/>
  <c r="AD24" i="34"/>
  <c r="AF24" i="34"/>
  <c r="AJ22" i="7"/>
  <c r="AK22" i="7"/>
  <c r="AN40" i="28"/>
  <c r="H26" i="29"/>
  <c r="S26" i="29"/>
  <c r="U26" i="29"/>
  <c r="AN22" i="28"/>
  <c r="H16" i="29"/>
  <c r="S16" i="29"/>
  <c r="U16" i="29"/>
  <c r="G33" i="18"/>
  <c r="S33" i="18"/>
  <c r="U33" i="18"/>
  <c r="AL53" i="3"/>
  <c r="AL18" i="8"/>
  <c r="AK18" i="8"/>
  <c r="G25" i="29"/>
  <c r="R25" i="29"/>
  <c r="T25" i="29"/>
  <c r="AM39" i="28"/>
  <c r="G15" i="25"/>
  <c r="R15" i="25"/>
  <c r="T15" i="25"/>
  <c r="AM21" i="8"/>
  <c r="AJ19" i="3"/>
  <c r="AK19" i="3"/>
  <c r="G22" i="19"/>
  <c r="Q22" i="19"/>
  <c r="S22" i="19"/>
  <c r="G19" i="19"/>
  <c r="Q19" i="19"/>
  <c r="S19" i="19"/>
  <c r="G16" i="19"/>
  <c r="Q16" i="19"/>
  <c r="S16" i="19"/>
  <c r="AM11" i="6"/>
  <c r="G44" i="19"/>
  <c r="Q44" i="19"/>
  <c r="S44" i="19"/>
  <c r="G38" i="19"/>
  <c r="Q38" i="19"/>
  <c r="S38" i="19"/>
  <c r="AM23" i="6"/>
  <c r="G41" i="19"/>
  <c r="Q41" i="19"/>
  <c r="S41" i="19"/>
  <c r="G23" i="25"/>
  <c r="R23" i="25"/>
  <c r="T23" i="25"/>
  <c r="G19" i="25"/>
  <c r="R19" i="25"/>
  <c r="T19" i="25"/>
  <c r="G21" i="25"/>
  <c r="R21" i="25"/>
  <c r="T21" i="25"/>
  <c r="AM27" i="8"/>
  <c r="AK5" i="26"/>
  <c r="AL5" i="26"/>
  <c r="H39" i="19"/>
  <c r="R39" i="19"/>
  <c r="T39" i="19"/>
  <c r="H42" i="19"/>
  <c r="R42" i="19"/>
  <c r="AN24" i="6"/>
  <c r="H45" i="19"/>
  <c r="R45" i="19"/>
  <c r="T45" i="19"/>
  <c r="AL11" i="8"/>
  <c r="AK11" i="8"/>
  <c r="AM12" i="28"/>
  <c r="G8" i="29"/>
  <c r="R8" i="29"/>
  <c r="T8" i="29"/>
  <c r="C25" i="34"/>
  <c r="C23" i="34"/>
  <c r="P17" i="34"/>
  <c r="R17" i="34"/>
  <c r="U17" i="34"/>
  <c r="E17" i="34"/>
  <c r="C27" i="34"/>
  <c r="AC17" i="34"/>
  <c r="AE17" i="34"/>
  <c r="C19" i="34"/>
  <c r="AJ71" i="7"/>
  <c r="AK71" i="7"/>
  <c r="S54" i="7"/>
  <c r="AI54" i="7"/>
  <c r="AE54" i="7"/>
  <c r="AG54" i="7"/>
  <c r="AM54" i="7"/>
  <c r="Q54" i="7"/>
  <c r="E18" i="34"/>
  <c r="C20" i="34"/>
  <c r="C22" i="34"/>
  <c r="P18" i="34"/>
  <c r="R18" i="34"/>
  <c r="U18" i="34"/>
  <c r="F18" i="34"/>
  <c r="AC18" i="34"/>
  <c r="AE18" i="34"/>
  <c r="AK13" i="6"/>
  <c r="AL13" i="6"/>
  <c r="AL11" i="28"/>
  <c r="AK11" i="28"/>
  <c r="AK34" i="28"/>
  <c r="AL34" i="28"/>
  <c r="AJ29" i="3"/>
  <c r="AK29" i="3"/>
  <c r="AL15" i="6"/>
  <c r="AK15" i="6"/>
  <c r="AM37" i="37"/>
  <c r="AL37" i="37"/>
  <c r="S30" i="7"/>
  <c r="AE30" i="7"/>
  <c r="AG30" i="7"/>
  <c r="AM30" i="7"/>
  <c r="AI30" i="7"/>
  <c r="Q30" i="7"/>
  <c r="AK22" i="28"/>
  <c r="AL22" i="28"/>
  <c r="AL18" i="28"/>
  <c r="AK18" i="28"/>
  <c r="AL6" i="6"/>
  <c r="AK6" i="6"/>
  <c r="AL32" i="28"/>
  <c r="AK32" i="28"/>
  <c r="AL12" i="8"/>
  <c r="AK12" i="8"/>
  <c r="AH25" i="34"/>
  <c r="AS25" i="34"/>
  <c r="AM29" i="3"/>
  <c r="H25" i="18"/>
  <c r="T25" i="18"/>
  <c r="V25" i="18"/>
  <c r="S56" i="7"/>
  <c r="AI56" i="7"/>
  <c r="AG56" i="7"/>
  <c r="AM56" i="7"/>
  <c r="AE56" i="7"/>
  <c r="Q56" i="7"/>
  <c r="AK40" i="28"/>
  <c r="AL40" i="28"/>
  <c r="AJ77" i="7"/>
  <c r="AK77" i="7"/>
  <c r="AL48" i="1"/>
  <c r="AM48" i="1"/>
  <c r="AK47" i="3"/>
  <c r="AJ47" i="3"/>
  <c r="AL26" i="8"/>
  <c r="AK26" i="8"/>
  <c r="H9" i="19"/>
  <c r="R9" i="19"/>
  <c r="H12" i="19"/>
  <c r="R12" i="19"/>
  <c r="T12" i="19"/>
  <c r="AN6" i="6"/>
  <c r="H6" i="19"/>
  <c r="R6" i="19"/>
  <c r="T6" i="19"/>
  <c r="AL14" i="8"/>
  <c r="AK14" i="8"/>
  <c r="H15" i="19"/>
  <c r="R15" i="19"/>
  <c r="T15" i="19"/>
  <c r="T9" i="19"/>
  <c r="E19" i="34"/>
  <c r="C21" i="34"/>
  <c r="AC19" i="34"/>
  <c r="AE19" i="34"/>
  <c r="P19" i="34"/>
  <c r="R19" i="34"/>
  <c r="U19" i="34"/>
  <c r="F19" i="34"/>
  <c r="AJ74" i="7"/>
  <c r="AK74" i="7"/>
  <c r="T47" i="19"/>
  <c r="H43" i="19"/>
  <c r="R43" i="19"/>
  <c r="T43" i="19"/>
  <c r="AK64" i="7"/>
  <c r="AJ64" i="7"/>
  <c r="AJ50" i="7"/>
  <c r="AK50" i="7"/>
  <c r="AK56" i="7"/>
  <c r="AJ56" i="7"/>
  <c r="E22" i="34"/>
  <c r="C24" i="34"/>
  <c r="AC22" i="34"/>
  <c r="AE22" i="34"/>
  <c r="AG22" i="34"/>
  <c r="P22" i="34"/>
  <c r="F22" i="34"/>
  <c r="AC27" i="34"/>
  <c r="AE27" i="34"/>
  <c r="AG27" i="34"/>
  <c r="P27" i="34"/>
  <c r="F27" i="34"/>
  <c r="E27" i="34"/>
  <c r="H27" i="21"/>
  <c r="T27" i="21"/>
  <c r="V27" i="21"/>
  <c r="AM76" i="7"/>
  <c r="AL8" i="6"/>
  <c r="AK8" i="6"/>
  <c r="F20" i="34"/>
  <c r="E20" i="34"/>
  <c r="P20" i="34"/>
  <c r="R20" i="34"/>
  <c r="U20" i="34"/>
  <c r="AJ32" i="7"/>
  <c r="AK32" i="7"/>
  <c r="G10" i="19"/>
  <c r="Q10" i="19"/>
  <c r="S10" i="19"/>
  <c r="S14" i="19"/>
  <c r="H14" i="19"/>
  <c r="R14" i="19"/>
  <c r="AN8" i="6"/>
  <c r="H7" i="19"/>
  <c r="R7" i="19"/>
  <c r="T7" i="19"/>
  <c r="AJ48" i="7"/>
  <c r="AK48" i="7"/>
  <c r="AK78" i="7"/>
  <c r="AJ78" i="7"/>
  <c r="P23" i="34"/>
  <c r="AC23" i="34"/>
  <c r="AE23" i="34"/>
  <c r="AG23" i="34"/>
  <c r="F23" i="34"/>
  <c r="E23" i="34"/>
  <c r="S9" i="19"/>
  <c r="G15" i="19"/>
  <c r="Q15" i="19"/>
  <c r="S15" i="19"/>
  <c r="AC25" i="34"/>
  <c r="AE25" i="34"/>
  <c r="E25" i="34"/>
  <c r="F25" i="34"/>
  <c r="P25" i="34"/>
  <c r="AK76" i="7"/>
  <c r="AJ76" i="7"/>
  <c r="AN7" i="6"/>
  <c r="H13" i="19"/>
  <c r="R13" i="19"/>
  <c r="T13" i="19"/>
  <c r="AG17" i="34"/>
  <c r="AR17" i="34"/>
  <c r="AL7" i="6"/>
  <c r="AK7" i="6"/>
  <c r="AJ54" i="7"/>
  <c r="AK54" i="7"/>
  <c r="H48" i="19"/>
  <c r="R48" i="19"/>
  <c r="T48" i="19"/>
  <c r="T42" i="19"/>
  <c r="AH24" i="34"/>
  <c r="AS24" i="34"/>
  <c r="AD26" i="34"/>
  <c r="AF26" i="34"/>
  <c r="AH26" i="34"/>
  <c r="Q26" i="34"/>
  <c r="AJ24" i="7"/>
  <c r="AK24" i="7"/>
  <c r="AJ72" i="7"/>
  <c r="AK72" i="7"/>
  <c r="AJ30" i="7"/>
  <c r="AK30" i="7"/>
  <c r="AG18" i="34"/>
  <c r="AR18" i="34"/>
  <c r="R27" i="34"/>
  <c r="U27" i="34"/>
  <c r="S27" i="34"/>
  <c r="AG19" i="34"/>
  <c r="AR19" i="34"/>
  <c r="S22" i="34"/>
  <c r="R22" i="34"/>
  <c r="U22" i="34"/>
  <c r="R25" i="34"/>
  <c r="U25" i="34"/>
  <c r="S25" i="34"/>
  <c r="F21" i="34"/>
  <c r="P21" i="34"/>
  <c r="R21" i="34"/>
  <c r="U21" i="34"/>
  <c r="E21" i="34"/>
  <c r="R23" i="34"/>
  <c r="U23" i="34"/>
  <c r="S23" i="34"/>
  <c r="F24" i="34"/>
  <c r="C26" i="34"/>
  <c r="E24" i="34"/>
  <c r="AC24" i="34"/>
  <c r="AE24" i="34"/>
  <c r="P24" i="34"/>
  <c r="H10" i="19"/>
  <c r="R10" i="19"/>
  <c r="T10" i="19"/>
  <c r="T14" i="19"/>
  <c r="AR25" i="34"/>
  <c r="AG25" i="34"/>
  <c r="AR24" i="34"/>
  <c r="AG24" i="34"/>
  <c r="F26" i="34"/>
  <c r="P26" i="34"/>
  <c r="E26" i="34"/>
  <c r="AC26" i="34"/>
  <c r="AE26" i="34"/>
  <c r="AG26" i="34"/>
  <c r="R24" i="34"/>
  <c r="U24" i="34"/>
  <c r="S24" i="34"/>
  <c r="R26" i="34"/>
  <c r="U26" i="34"/>
  <c r="S26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15" authorId="0" shapeId="0" xr:uid="{80B1B288-0DE8-4E68-971D-D7E02F58ECA2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  <comment ref="H15" authorId="0" shapeId="0" xr:uid="{91764804-E69E-4B60-B6F0-6E54602DA079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  <comment ref="G16" authorId="0" shapeId="0" xr:uid="{186EF831-3406-4773-822D-DBD40F0C8FAE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  <comment ref="H16" authorId="0" shapeId="0" xr:uid="{960FF6DB-A0A4-4E63-B934-950013397D04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Анастасия:
</t>
        </r>
        <r>
          <rPr>
            <sz val="9"/>
            <color indexed="81"/>
            <rFont val="Tahoma"/>
            <family val="2"/>
            <charset val="204"/>
          </rPr>
          <t>расчет при Uпа=121,5кВ 
(по письму от АО"СОЕЭС" от 21.10.24)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5" authorId="0" shapeId="0" xr:uid="{01A41BEA-9526-4F6E-97B3-EE8A5283AA40}">
      <text>
        <r>
          <rPr>
            <b/>
            <sz val="9"/>
            <color indexed="81"/>
            <rFont val="Tahoma"/>
            <family val="2"/>
            <charset val="204"/>
          </rPr>
          <t>Анастасия:</t>
        </r>
        <r>
          <rPr>
            <sz val="9"/>
            <color indexed="81"/>
            <rFont val="Tahoma"/>
            <family val="2"/>
            <charset val="204"/>
          </rPr>
          <t xml:space="preserve">
расчет при Uпа=121,7кВ 
(по письму от АО"СОЕЭС" от 21.10.24)</t>
        </r>
      </text>
    </comment>
    <comment ref="H5" authorId="0" shapeId="0" xr:uid="{1FB1447B-B002-4A7D-A98F-F17AE403834C}">
      <text>
        <r>
          <rPr>
            <b/>
            <sz val="9"/>
            <color indexed="81"/>
            <rFont val="Tahoma"/>
            <family val="2"/>
            <charset val="204"/>
          </rPr>
          <t>Анастасия:
расчет при Uпа=121,7кВ 
(по письму от АО"СОЕЭС" от 21.10.24)</t>
        </r>
      </text>
    </comment>
    <comment ref="G6" authorId="0" shapeId="0" xr:uid="{BBAC00FE-2FBD-4A0D-A5B8-555884C431B9}">
      <text>
        <r>
          <rPr>
            <b/>
            <sz val="9"/>
            <color indexed="81"/>
            <rFont val="Tahoma"/>
            <family val="2"/>
            <charset val="204"/>
          </rPr>
          <t>Анастасия:
расчет при Uпа=121,7кВ 
(по письму от АО"СОЕЭС" от 21.10.24)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6" authorId="0" shapeId="0" xr:uid="{AE2E2CD8-4739-4246-AC0E-83800C73EFE9}">
      <text>
        <r>
          <rPr>
            <b/>
            <sz val="9"/>
            <color indexed="81"/>
            <rFont val="Tahoma"/>
            <family val="2"/>
            <charset val="204"/>
          </rPr>
          <t>Анастасия:
расчет при Uпа=121,7кВ 
(по письму от АО"СОЕЭС" от 21.10.24)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21" authorId="0" shapeId="0" xr:uid="{7381B329-AD78-49D6-9F58-6897B0977620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
z=120,8/1,73/Iкз</t>
        </r>
      </text>
    </comment>
    <comment ref="H21" authorId="0" shapeId="0" xr:uid="{48E627B1-55B8-4E19-8927-D08103E6AF8E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2" authorId="0" shapeId="0" xr:uid="{766FE9E2-DFFF-4E06-AB7C-12EDD00306BE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2" authorId="0" shapeId="0" xr:uid="{6F8F74B1-EDEB-4697-BE56-1C10C2ED90B4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3" authorId="0" shapeId="0" xr:uid="{C6511B5D-B826-4D85-BFD4-46642204F536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3" authorId="0" shapeId="0" xr:uid="{97E675BC-B253-42F3-B2BD-F751E495EC87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4" authorId="0" shapeId="0" xr:uid="{9EDEA552-B4C6-44FD-B1A2-919CA92444D0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4" authorId="0" shapeId="0" xr:uid="{98D8EBC7-84D4-49EF-B547-B131E5A2E2BC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29" authorId="0" shapeId="0" xr:uid="{9FB26BED-CCA7-44DB-857F-7EF465EF6325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29" authorId="0" shapeId="0" xr:uid="{AE155F48-E4AF-407F-A83C-FBE024BF1715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30" authorId="0" shapeId="0" xr:uid="{4F1C9402-123D-4759-98D2-A8D0C742C01B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30" authorId="0" shapeId="0" xr:uid="{A76D0B8F-9DAE-4539-9EE4-633ABF9B1AA1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31" authorId="0" shapeId="0" xr:uid="{5ED55A50-7FAB-4A48-A671-383C2A07795B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31" authorId="0" shapeId="0" xr:uid="{0F4CB3A1-CE45-45AE-9BB7-3214CF000A98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32" authorId="0" shapeId="0" xr:uid="{DE69C27B-312C-46F1-B359-B5D6EB4AE0AA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H32" authorId="0" shapeId="0" xr:uid="{F9200B61-AE46-413C-939C-9A58CC6F6967}">
      <text>
        <r>
          <rPr>
            <b/>
            <sz val="9"/>
            <color indexed="81"/>
            <rFont val="Tahoma"/>
            <family val="2"/>
            <charset val="204"/>
          </rPr>
          <t xml:space="preserve">Анастасия 
расчет реактансов при 
Uпа=120,8 кВ
</t>
        </r>
      </text>
    </comment>
    <comment ref="G47" authorId="0" shapeId="0" xr:uid="{007E59E7-5C5C-403E-9D06-DE41CC816A45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48" authorId="0" shapeId="0" xr:uid="{8D75B0B2-8380-4654-82CA-A7ECAF5BDB31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49" authorId="0" shapeId="0" xr:uid="{72AEC630-D509-4FA9-B932-9ACE66E8EA3B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0" authorId="0" shapeId="0" xr:uid="{F6790041-F8B0-41C8-89E5-1253B04F5418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3" authorId="0" shapeId="0" xr:uid="{A91DD05C-2384-48E7-A85C-F85560DD39EC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4" authorId="0" shapeId="0" xr:uid="{887B0C43-E467-497B-B7B6-A4036AE9E4A8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5" authorId="0" shapeId="0" xr:uid="{64CE5A91-5736-4DDF-ADF3-B98E2BC14EEA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56" authorId="0" shapeId="0" xr:uid="{57183851-A293-4847-8D60-36168FD2A40D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63" authorId="0" shapeId="0" xr:uid="{65B4E468-8347-4423-A1A5-1CFE59CAC0C9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64" authorId="0" shapeId="0" xr:uid="{BE4B3361-7F66-4DBE-A327-773F6002D7AD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1" authorId="0" shapeId="0" xr:uid="{6A928AC9-69D0-4A3A-A361-740E2F868AF6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2" authorId="0" shapeId="0" xr:uid="{8303C499-B0A9-4DA5-8396-C49D2DFC9D1D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3" authorId="0" shapeId="0" xr:uid="{A9EECD6A-563B-4F3B-83B4-F933C034708C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4" authorId="0" shapeId="0" xr:uid="{90C6CA21-1AEB-4148-B793-EEB6EFCE66BA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5" authorId="0" shapeId="0" xr:uid="{17FF8201-D750-45A9-93FA-0A177348D232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6" authorId="0" shapeId="0" xr:uid="{5148C78F-1E6C-4070-BAF4-4ABA5A2165C6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7" authorId="0" shapeId="0" xr:uid="{92860A6B-72C3-497C-89BF-C199E559EE7D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  <comment ref="G78" authorId="0" shapeId="0" xr:uid="{1385E5FF-531E-4156-8F95-57254E0626E5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Uпа=120,8 кВ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5" authorId="0" shapeId="0" xr:uid="{05CC6F7C-1DAE-49A4-9713-05253D5F1D4F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Uпа=121,2 кВ</t>
        </r>
      </text>
    </comment>
    <comment ref="G6" authorId="0" shapeId="0" xr:uid="{FFE56F96-A1BE-4EDF-819E-C354B498E2F7}">
      <text>
        <r>
          <rPr>
            <b/>
            <sz val="9"/>
            <color indexed="81"/>
            <rFont val="Tahoma"/>
            <family val="2"/>
            <charset val="204"/>
          </rPr>
          <t>Анастасия 
расчет реактансов при 
Uпа=121,2 кВ</t>
        </r>
      </text>
    </comment>
    <comment ref="G64" authorId="0" shapeId="0" xr:uid="{BC056AC7-4F3A-4FD7-9E18-04293B8BF02F}">
      <text>
        <r>
          <rPr>
            <b/>
            <sz val="8"/>
            <color indexed="81"/>
            <rFont val="Tahoma"/>
            <family val="2"/>
            <charset val="204"/>
          </rPr>
          <t>Анастасия :</t>
        </r>
        <r>
          <rPr>
            <sz val="8"/>
            <color indexed="81"/>
            <rFont val="Tahoma"/>
            <family val="2"/>
            <charset val="204"/>
          </rPr>
          <t xml:space="preserve">
по письму от 22.11.24 №РТ№211/1635
Россети Тюмень г.Когалым
8(34667)91385 -Дмитрий Геннадьевич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18" authorId="0" shapeId="0" xr:uid="{17F8B417-981E-4F43-9064-CEC0EE578615}">
      <text>
        <r>
          <rPr>
            <b/>
            <sz val="9"/>
            <color indexed="81"/>
            <rFont val="Tahoma"/>
            <family val="2"/>
            <charset val="204"/>
          </rPr>
          <t>Анастасия :</t>
        </r>
        <r>
          <rPr>
            <sz val="9"/>
            <color indexed="81"/>
            <rFont val="Tahoma"/>
            <family val="2"/>
            <charset val="204"/>
          </rPr>
          <t xml:space="preserve">
по письму №М4/П6/2/227 от 18.02.2026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Анастасия Владимировна Нефёдова</author>
  </authors>
  <commentList>
    <comment ref="G14" authorId="0" shapeId="0" xr:uid="{C4BCF2FD-4C9B-47DC-9AF5-9D547692D8AF}">
      <text>
        <r>
          <rPr>
            <b/>
            <sz val="8"/>
            <color indexed="81"/>
            <rFont val="Tahoma"/>
            <family val="2"/>
            <charset val="204"/>
          </rPr>
          <t>Анастасия :</t>
        </r>
        <r>
          <rPr>
            <sz val="8"/>
            <color indexed="81"/>
            <rFont val="Tahoma"/>
            <family val="2"/>
            <charset val="204"/>
          </rPr>
          <t xml:space="preserve">
по письму от 22.11.24 №РТ№211/1635
Россети Тюмень г.Когалым
8(34667)91385 -Дмитрий Геннадьевич</t>
        </r>
      </text>
    </comment>
    <comment ref="Q14" authorId="0" shapeId="0" xr:uid="{1770E2B8-1175-4C4D-8FB2-43A6B374C2CA}">
      <text>
        <r>
          <rPr>
            <b/>
            <sz val="9"/>
            <color indexed="81"/>
            <rFont val="Tahoma"/>
            <family val="2"/>
            <charset val="204"/>
          </rPr>
          <t>Анастасия :</t>
        </r>
        <r>
          <rPr>
            <sz val="9"/>
            <color indexed="81"/>
            <rFont val="Tahoma"/>
            <family val="2"/>
            <charset val="204"/>
          </rPr>
          <t xml:space="preserve">
расчет при Uпа=121,5кВ 
(по письму от АО"СОЕЭС" от 21.10.24)</t>
        </r>
      </text>
    </comment>
  </commentList>
</comments>
</file>

<file path=xl/sharedStrings.xml><?xml version="1.0" encoding="utf-8"?>
<sst xmlns="http://schemas.openxmlformats.org/spreadsheetml/2006/main" count="5182" uniqueCount="645">
  <si>
    <t>СР</t>
  </si>
  <si>
    <t>Наименование ПС 35/6кВ</t>
  </si>
  <si>
    <t>Тип ПС</t>
  </si>
  <si>
    <t>Наименование ВЛ-35кВ</t>
  </si>
  <si>
    <t>Режим</t>
  </si>
  <si>
    <t>Головная ПС</t>
  </si>
  <si>
    <t>Реактансы на сш35кВ ПС110/35/6кВ</t>
  </si>
  <si>
    <t>Длина ВЛ-35кВ</t>
  </si>
  <si>
    <t>Хвл-35кВ</t>
  </si>
  <si>
    <t>№ тр-ра</t>
  </si>
  <si>
    <t>Тип</t>
  </si>
  <si>
    <t>Реактансы на ЛР 35кВ ПС35/6кВ</t>
  </si>
  <si>
    <t>S</t>
  </si>
  <si>
    <t>Груп Соед</t>
  </si>
  <si>
    <r>
      <t>U</t>
    </r>
    <r>
      <rPr>
        <b/>
        <sz val="8"/>
        <rFont val="Times New Roman"/>
        <family val="1"/>
      </rPr>
      <t xml:space="preserve"> ВН</t>
    </r>
  </si>
  <si>
    <r>
      <t>U</t>
    </r>
    <r>
      <rPr>
        <b/>
        <sz val="8"/>
        <rFont val="Times New Roman"/>
        <family val="1"/>
      </rPr>
      <t xml:space="preserve"> HН</t>
    </r>
  </si>
  <si>
    <t>Uкз</t>
  </si>
  <si>
    <t>Iвн/Iнн</t>
  </si>
  <si>
    <t xml:space="preserve">РПН </t>
  </si>
  <si>
    <t>Хтмак</t>
  </si>
  <si>
    <t>Кч=1.2</t>
  </si>
  <si>
    <t>Кч=1.5</t>
  </si>
  <si>
    <t>Хс мак</t>
  </si>
  <si>
    <t>Хс мин</t>
  </si>
  <si>
    <t>АС-95</t>
  </si>
  <si>
    <t>АС-120</t>
  </si>
  <si>
    <t>АС-150</t>
  </si>
  <si>
    <t>АС-185</t>
  </si>
  <si>
    <t>АС-500</t>
  </si>
  <si>
    <t>Хсмин</t>
  </si>
  <si>
    <t>Ом</t>
  </si>
  <si>
    <t>км</t>
  </si>
  <si>
    <t>МВА</t>
  </si>
  <si>
    <t>кВ</t>
  </si>
  <si>
    <t>%</t>
  </si>
  <si>
    <t>А</t>
  </si>
  <si>
    <t>Аригольская</t>
  </si>
  <si>
    <t>КТПБ</t>
  </si>
  <si>
    <t>16ЦЛ,17ЦЛ</t>
  </si>
  <si>
    <t>Н</t>
  </si>
  <si>
    <t>Вахская</t>
  </si>
  <si>
    <t>ТМН 6300/35</t>
  </si>
  <si>
    <t>ТМН 6300/36</t>
  </si>
  <si>
    <t>ST-7</t>
  </si>
  <si>
    <t>Таёжная</t>
  </si>
  <si>
    <t>Ю-Аганская</t>
  </si>
  <si>
    <t>Мартыновская</t>
  </si>
  <si>
    <t>Y/∆ -11</t>
  </si>
  <si>
    <t>ДНС-1</t>
  </si>
  <si>
    <t>Ватинская</t>
  </si>
  <si>
    <t>ТМН-6300/35</t>
  </si>
  <si>
    <t>103,92/577,33</t>
  </si>
  <si>
    <t>ДНС-2В</t>
  </si>
  <si>
    <t>Кирьяновская</t>
  </si>
  <si>
    <t>66/366</t>
  </si>
  <si>
    <t>ТМН 4000/35</t>
  </si>
  <si>
    <t>Западная</t>
  </si>
  <si>
    <t>Сев-Покурская</t>
  </si>
  <si>
    <t>ТДНС 10000/35</t>
  </si>
  <si>
    <t>КНС-2</t>
  </si>
  <si>
    <t>103/577</t>
  </si>
  <si>
    <t>КНС-2Б</t>
  </si>
  <si>
    <t>ТМН-6300/35-У1</t>
  </si>
  <si>
    <t>103,9/577,4</t>
  </si>
  <si>
    <t>КНС-3В</t>
  </si>
  <si>
    <t>Сев-Ватинская</t>
  </si>
  <si>
    <t>ТМН-6300/35-73У1</t>
  </si>
  <si>
    <t>104/577</t>
  </si>
  <si>
    <t>104/578</t>
  </si>
  <si>
    <t>КНС-4В</t>
  </si>
  <si>
    <t>КНС-5В</t>
  </si>
  <si>
    <t>КНС-6В</t>
  </si>
  <si>
    <t>КНС-7В</t>
  </si>
  <si>
    <t>ТДНС-10000/35-74У1</t>
  </si>
  <si>
    <t>157/916</t>
  </si>
  <si>
    <t>КНС-8В</t>
  </si>
  <si>
    <t>Кондратьевская</t>
  </si>
  <si>
    <t>103,9/577,5</t>
  </si>
  <si>
    <t>Мартовская</t>
  </si>
  <si>
    <t>Куст-120</t>
  </si>
  <si>
    <t>TONb 4000/35</t>
  </si>
  <si>
    <t>66/367</t>
  </si>
  <si>
    <t>Куст-124</t>
  </si>
  <si>
    <t>ТМН-6300/35-1000</t>
  </si>
  <si>
    <t>Куст-150</t>
  </si>
  <si>
    <t>ТОа-4000/35</t>
  </si>
  <si>
    <t>Куст-211</t>
  </si>
  <si>
    <t>Куст-25</t>
  </si>
  <si>
    <t>Куст-27</t>
  </si>
  <si>
    <t>Куст-28</t>
  </si>
  <si>
    <t>Куст-30</t>
  </si>
  <si>
    <t>Куст-37</t>
  </si>
  <si>
    <t>Куст-41</t>
  </si>
  <si>
    <t>Куст-43</t>
  </si>
  <si>
    <t>Куст-47</t>
  </si>
  <si>
    <t>Куст-50</t>
  </si>
  <si>
    <t>Куст-53</t>
  </si>
  <si>
    <t>Куст-64</t>
  </si>
  <si>
    <t>Куст-93</t>
  </si>
  <si>
    <t>ТОN6-4000/35</t>
  </si>
  <si>
    <t>Баграс</t>
  </si>
  <si>
    <t>В-Аганская</t>
  </si>
  <si>
    <t>ВЦТП</t>
  </si>
  <si>
    <t>162/916</t>
  </si>
  <si>
    <t>165/916</t>
  </si>
  <si>
    <t>З-Аганская</t>
  </si>
  <si>
    <t>Асомкинская</t>
  </si>
  <si>
    <t>157,1/916,4</t>
  </si>
  <si>
    <t>Кедровая</t>
  </si>
  <si>
    <t>Ново-Покурская</t>
  </si>
  <si>
    <t>Кетовская</t>
  </si>
  <si>
    <t>КНС-1А</t>
  </si>
  <si>
    <t>Аганская</t>
  </si>
  <si>
    <t>КНС-1Бис</t>
  </si>
  <si>
    <t>КНС-2А</t>
  </si>
  <si>
    <t>Январская</t>
  </si>
  <si>
    <t>КНС-3А</t>
  </si>
  <si>
    <t>Лысенковская</t>
  </si>
  <si>
    <t>ТМН-6300/35(ТМ)</t>
  </si>
  <si>
    <t>КРС</t>
  </si>
  <si>
    <t>Куст-1</t>
  </si>
  <si>
    <t>Куст-10</t>
  </si>
  <si>
    <t>ТМН-4000/35</t>
  </si>
  <si>
    <t>66/366,6</t>
  </si>
  <si>
    <t>Куст-103</t>
  </si>
  <si>
    <t>Куст-106</t>
  </si>
  <si>
    <t>Куст-109</t>
  </si>
  <si>
    <t>ST-7м</t>
  </si>
  <si>
    <t>Куст-11</t>
  </si>
  <si>
    <t>Куст-110</t>
  </si>
  <si>
    <t>Покамасовская</t>
  </si>
  <si>
    <t>Куст-111</t>
  </si>
  <si>
    <t>Куст-114</t>
  </si>
  <si>
    <t>Куст-115</t>
  </si>
  <si>
    <t>Куст-13</t>
  </si>
  <si>
    <t>Куст-224</t>
  </si>
  <si>
    <t>Куст-51</t>
  </si>
  <si>
    <t>ТМН-4000/35У1</t>
  </si>
  <si>
    <t>Куст-67</t>
  </si>
  <si>
    <t>Куст-69</t>
  </si>
  <si>
    <t>Куст-8</t>
  </si>
  <si>
    <t>Куст-86</t>
  </si>
  <si>
    <t>М-Аганская</t>
  </si>
  <si>
    <t>Максимкинская</t>
  </si>
  <si>
    <t>Надежда</t>
  </si>
  <si>
    <t>Насыровская</t>
  </si>
  <si>
    <t>Новая</t>
  </si>
  <si>
    <t>Пеньковская</t>
  </si>
  <si>
    <t>Промысловая-1</t>
  </si>
  <si>
    <t>Промысловая-2</t>
  </si>
  <si>
    <t>Сапарка</t>
  </si>
  <si>
    <t>УПН</t>
  </si>
  <si>
    <t>ЦПС-1</t>
  </si>
  <si>
    <t>ЦПС-2</t>
  </si>
  <si>
    <t>Южная</t>
  </si>
  <si>
    <t>Юкишевская</t>
  </si>
  <si>
    <t>Ю-Покамасовская</t>
  </si>
  <si>
    <t>Аригольская-2</t>
  </si>
  <si>
    <t>Дата расчета:</t>
  </si>
  <si>
    <t>Еловая</t>
  </si>
  <si>
    <t>Куст-4</t>
  </si>
  <si>
    <t>Заобье</t>
  </si>
  <si>
    <t>103,9/577,3</t>
  </si>
  <si>
    <t>БПТОиКО</t>
  </si>
  <si>
    <t>БПТО и КО</t>
  </si>
  <si>
    <t>Куст-78</t>
  </si>
  <si>
    <t>КНС-7</t>
  </si>
  <si>
    <t>Мыхпай</t>
  </si>
  <si>
    <t>ДНС-2М</t>
  </si>
  <si>
    <t>БКНС-2</t>
  </si>
  <si>
    <t>66/366,7</t>
  </si>
  <si>
    <t>Куст-220</t>
  </si>
  <si>
    <t>3ПвВнГ-ХЛ 1х50</t>
  </si>
  <si>
    <t>Токи на с.ш.35кВ ПС35кВ до трансф.</t>
  </si>
  <si>
    <t>№ 185</t>
  </si>
  <si>
    <t>Бекмеметьевская</t>
  </si>
  <si>
    <t>№ 186</t>
  </si>
  <si>
    <t>№ 187</t>
  </si>
  <si>
    <r>
      <t>I</t>
    </r>
    <r>
      <rPr>
        <b/>
        <vertAlign val="superscript"/>
        <sz val="10"/>
        <rFont val="Times New Roman"/>
        <family val="1"/>
        <charset val="204"/>
      </rPr>
      <t>3</t>
    </r>
    <r>
      <rPr>
        <b/>
        <sz val="10"/>
        <rFont val="Times New Roman"/>
        <family val="1"/>
      </rPr>
      <t>макс</t>
    </r>
  </si>
  <si>
    <r>
      <t>I</t>
    </r>
    <r>
      <rPr>
        <b/>
        <vertAlign val="superscript"/>
        <sz val="10"/>
        <rFont val="Times New Roman"/>
        <family val="1"/>
        <charset val="204"/>
      </rPr>
      <t>2</t>
    </r>
    <r>
      <rPr>
        <b/>
        <sz val="10"/>
        <rFont val="Times New Roman"/>
        <family val="1"/>
      </rPr>
      <t>мин</t>
    </r>
  </si>
  <si>
    <t>Расчет токов короткого замыкания на ПС 35/6кВ "Аригольская"</t>
  </si>
  <si>
    <t>16ЦЛ</t>
  </si>
  <si>
    <t>17ЦЛ</t>
  </si>
  <si>
    <t>И.о. начальника сл.РЗАиТ                                                                   Перемитин А.В.</t>
  </si>
  <si>
    <t>ТДНС-10000/35-УХЛ1</t>
  </si>
  <si>
    <t>Островная</t>
  </si>
  <si>
    <t>Широковская</t>
  </si>
  <si>
    <t>TМН-4000/35</t>
  </si>
  <si>
    <t>TМН-4000/35-73</t>
  </si>
  <si>
    <t>Шапран Н.О.</t>
  </si>
  <si>
    <t>ТОb-6300/35</t>
  </si>
  <si>
    <t>ТДНС-10000/35</t>
  </si>
  <si>
    <t>TON-4000/35</t>
  </si>
  <si>
    <t>TON-6300/35</t>
  </si>
  <si>
    <t>Тob-6300/35</t>
  </si>
  <si>
    <t>TМН-6300/35</t>
  </si>
  <si>
    <t>ТМН-10000/35</t>
  </si>
  <si>
    <t>Дельта</t>
  </si>
  <si>
    <t>АПвП 300</t>
  </si>
  <si>
    <t>Шапран Н.О</t>
  </si>
  <si>
    <t>ТОb-4000/35</t>
  </si>
  <si>
    <t>ТМН-4000/36</t>
  </si>
  <si>
    <t>TOb-6300/35</t>
  </si>
  <si>
    <t>ТНДС-6300/35</t>
  </si>
  <si>
    <t>ТМ-6300/35</t>
  </si>
  <si>
    <t>ТДНС-10000/35У1</t>
  </si>
  <si>
    <t>С-Островная</t>
  </si>
  <si>
    <t>ТOb-6300/35</t>
  </si>
  <si>
    <t>ПвВнг-LS(1х120)</t>
  </si>
  <si>
    <t>TОb-6300/35</t>
  </si>
  <si>
    <t>TONb-4000/35</t>
  </si>
  <si>
    <t>ТON-4000/35</t>
  </si>
  <si>
    <t>ТДНС-16000/35</t>
  </si>
  <si>
    <t>TОa-4000/35</t>
  </si>
  <si>
    <t>ТОа-6300/35</t>
  </si>
  <si>
    <t>Реактансы на с.ш.35кВ ПС110/35/6кВ</t>
  </si>
  <si>
    <t>Хмакс</t>
  </si>
  <si>
    <t>Хмин</t>
  </si>
  <si>
    <t>Iмакс</t>
  </si>
  <si>
    <t>Iмин</t>
  </si>
  <si>
    <t>Хсмакc</t>
  </si>
  <si>
    <t>Реактансы на с.ш.35кВ ПС35/6кВ</t>
  </si>
  <si>
    <t>Реактансы на с.ш.6кВ ПС35/6кВ</t>
  </si>
  <si>
    <t>Хмакc</t>
  </si>
  <si>
    <t>КНС-9</t>
  </si>
  <si>
    <t>с.ш.</t>
  </si>
  <si>
    <t>2Al 3х95</t>
  </si>
  <si>
    <t>2Al 3х70</t>
  </si>
  <si>
    <t>Cu 3х240</t>
  </si>
  <si>
    <t>А-120</t>
  </si>
  <si>
    <t>Длина ВЛ/КЛ-6кВ</t>
  </si>
  <si>
    <t xml:space="preserve">Токи КЗ на с.ш.6кВ РУ-6кВ </t>
  </si>
  <si>
    <t>Реактансы на с.ш.6кВ РУ-6кВ</t>
  </si>
  <si>
    <t>КНС-1б</t>
  </si>
  <si>
    <t>КНС-1а</t>
  </si>
  <si>
    <t>КНС-1</t>
  </si>
  <si>
    <t>БКНС</t>
  </si>
  <si>
    <t>Мартовская (ПС)</t>
  </si>
  <si>
    <t>Мартовская (ПС, КРУН)</t>
  </si>
  <si>
    <t>С-Покурская (ПС)</t>
  </si>
  <si>
    <t>С-Покурская (ПС, РУ)</t>
  </si>
  <si>
    <t>Еловая (ПС)</t>
  </si>
  <si>
    <t>КНС-2б</t>
  </si>
  <si>
    <t>2Cu 3x120</t>
  </si>
  <si>
    <t>Cu 3x185</t>
  </si>
  <si>
    <t>2Cu 3x150</t>
  </si>
  <si>
    <t>2Cu 3x240</t>
  </si>
  <si>
    <t>2Al 3x120</t>
  </si>
  <si>
    <t>2Al 3x240</t>
  </si>
  <si>
    <t>AC-300</t>
  </si>
  <si>
    <t>AC-240</t>
  </si>
  <si>
    <t>Реактансы ПС 35/6кВ</t>
  </si>
  <si>
    <t>Расчет произвел:</t>
  </si>
  <si>
    <t>№2</t>
  </si>
  <si>
    <t>№3</t>
  </si>
  <si>
    <t>№4</t>
  </si>
  <si>
    <t>№4 (РУ)</t>
  </si>
  <si>
    <t>№3 (РУ)</t>
  </si>
  <si>
    <t>ААБГ 3х240</t>
  </si>
  <si>
    <t>АСБ 3х240</t>
  </si>
  <si>
    <t>2ААБлГу 3х95</t>
  </si>
  <si>
    <t>2ААБ 3х185</t>
  </si>
  <si>
    <t>6ААШв 3х240</t>
  </si>
  <si>
    <t>КНС-10</t>
  </si>
  <si>
    <t>КНС-3</t>
  </si>
  <si>
    <t>БКНС-6</t>
  </si>
  <si>
    <t>ВВбШв 3х150</t>
  </si>
  <si>
    <t>2ВВбШв 3х150</t>
  </si>
  <si>
    <t>2ВВбШв 3х185</t>
  </si>
  <si>
    <t>2ААБ 3х70</t>
  </si>
  <si>
    <t>2АВВГ 3х95</t>
  </si>
  <si>
    <t>2ААБ 3х240</t>
  </si>
  <si>
    <t>2АСБ 3х240</t>
  </si>
  <si>
    <t>Аганское</t>
  </si>
  <si>
    <t>№1</t>
  </si>
  <si>
    <t>Южно-Аганское</t>
  </si>
  <si>
    <t>Январское</t>
  </si>
  <si>
    <t>ДНС-3</t>
  </si>
  <si>
    <t>Лысенковское</t>
  </si>
  <si>
    <t>Южно-Аганское (РУ)</t>
  </si>
  <si>
    <t xml:space="preserve">Южно-Аганская </t>
  </si>
  <si>
    <t>3ВВГ 3х180</t>
  </si>
  <si>
    <t>2ААБлГ 3х120</t>
  </si>
  <si>
    <t>2ААБлГ 3х240</t>
  </si>
  <si>
    <t>3ААБлГ 3х240</t>
  </si>
  <si>
    <t>7ААБлГ 3х240</t>
  </si>
  <si>
    <t>А-95</t>
  </si>
  <si>
    <t>2АС-500/27</t>
  </si>
  <si>
    <t>Аганское (КРУН)</t>
  </si>
  <si>
    <t>Ново-Покурское</t>
  </si>
  <si>
    <t>ВБбШв 3х240</t>
  </si>
  <si>
    <t>АСО-600</t>
  </si>
  <si>
    <t>№185</t>
  </si>
  <si>
    <t>№187</t>
  </si>
  <si>
    <t>ВБбШв 3х120</t>
  </si>
  <si>
    <t>ВБбШв 3х185</t>
  </si>
  <si>
    <t>2ВБбШв 3х185</t>
  </si>
  <si>
    <t>2АВВГ 3х120</t>
  </si>
  <si>
    <t>Покамасовское</t>
  </si>
  <si>
    <t>КНС Ю-Л</t>
  </si>
  <si>
    <t>КНС-1 Покамасовское</t>
  </si>
  <si>
    <t>Кетовское</t>
  </si>
  <si>
    <t>МДНС</t>
  </si>
  <si>
    <t>КНС Кетовское</t>
  </si>
  <si>
    <t>ААБЛ 3х240</t>
  </si>
  <si>
    <t>2ААБЛз 3х120</t>
  </si>
  <si>
    <t>3ААБЛГУ 3х240</t>
  </si>
  <si>
    <t>2ВВБШв 3х240</t>
  </si>
  <si>
    <t>ТДНС-10000/35-ХЛ1</t>
  </si>
  <si>
    <t>КНС-3Мр</t>
  </si>
  <si>
    <t>ГУ-4</t>
  </si>
  <si>
    <t>МБКНС-1</t>
  </si>
  <si>
    <t>АВВГ 3х120</t>
  </si>
  <si>
    <t>2АСБлУ 3х185</t>
  </si>
  <si>
    <t>2ААБлГУ 3х240</t>
  </si>
  <si>
    <t>Реактансы на с.ш. 35кВ ПС35/6кВ</t>
  </si>
  <si>
    <t>Реактансы на с.ш. 6кВ ПС35/6кВ</t>
  </si>
  <si>
    <t>157,1/916,3</t>
  </si>
  <si>
    <t>№Ф-35кВ</t>
  </si>
  <si>
    <t>Мегион-1</t>
  </si>
  <si>
    <t>Мегион-2</t>
  </si>
  <si>
    <t>Сигней-1</t>
  </si>
  <si>
    <t>Сигней-2</t>
  </si>
  <si>
    <t>(от ПС 110/35/6кВ "Юганская" подается напряжение на 1,2 с.ш. ПС 110/35/6кВ "Бекмеметьевская")</t>
  </si>
  <si>
    <t>Ачимовская-1</t>
  </si>
  <si>
    <t>Ачимовская-2</t>
  </si>
  <si>
    <t>Чистинная</t>
  </si>
  <si>
    <t>157,1/916,5</t>
  </si>
  <si>
    <t>Расчет провел:</t>
  </si>
  <si>
    <t>№тр-ра</t>
  </si>
  <si>
    <t>Токи на с.ш. 6кВ ПС 35кВ после трансф., А приведенные к стороне 6,3кВ</t>
  </si>
  <si>
    <t>Токи на с.ш. 6кВ ПС 35кВ после трансф., А приведенные к стороне 35кВ</t>
  </si>
  <si>
    <t>Токи на с.ш. 35кВ до трансф., А</t>
  </si>
  <si>
    <t>Восточная-1</t>
  </si>
  <si>
    <t>Восточная-2</t>
  </si>
  <si>
    <r>
      <t>U</t>
    </r>
    <r>
      <rPr>
        <b/>
        <sz val="8"/>
        <rFont val="Calibri"/>
        <family val="2"/>
        <charset val="204"/>
      </rPr>
      <t xml:space="preserve"> ВН</t>
    </r>
  </si>
  <si>
    <r>
      <t>U</t>
    </r>
    <r>
      <rPr>
        <b/>
        <sz val="8"/>
        <rFont val="Calibri"/>
        <family val="2"/>
        <charset val="204"/>
      </rPr>
      <t xml:space="preserve"> HН</t>
    </r>
  </si>
  <si>
    <t>Реактансы на с.ш.35кВ согласно письма исх.№Т4/1/3042 от 22.09.14, №Т4/1/2073 от 22.08.16 АО "ТюменьЭнерго" НВЭС</t>
  </si>
  <si>
    <t>Реактансы ПС 35/6кВ СР-1</t>
  </si>
  <si>
    <t>165/916А</t>
  </si>
  <si>
    <t>К-47</t>
  </si>
  <si>
    <t>К-59</t>
  </si>
  <si>
    <t>К-63</t>
  </si>
  <si>
    <t>Реактансы ПС 35/6кВ СР-2</t>
  </si>
  <si>
    <t>Реактансы ПС 35/6кВ СР-3</t>
  </si>
  <si>
    <t>К-37</t>
  </si>
  <si>
    <t>Реактансы ПС 35/6кВ СР-4</t>
  </si>
  <si>
    <t>ST-7М</t>
  </si>
  <si>
    <t>Реактансы ПС 35/6кВ СР-5</t>
  </si>
  <si>
    <t>Куст-9бис</t>
  </si>
  <si>
    <t>Куст-69бис</t>
  </si>
  <si>
    <t>Ч</t>
  </si>
  <si>
    <t>К-104</t>
  </si>
  <si>
    <t>К-26</t>
  </si>
  <si>
    <t>К-104М</t>
  </si>
  <si>
    <t>Реактансы ПС 35/6кВ СР-7</t>
  </si>
  <si>
    <t>Реактансы ПС 35/6кВ СР-11</t>
  </si>
  <si>
    <t>Реактансы ПС 35/6кВ СР-8</t>
  </si>
  <si>
    <t>К-49</t>
  </si>
  <si>
    <t>Реактансы РУ-6кВ СР-1</t>
  </si>
  <si>
    <t>Хл-6кВ</t>
  </si>
  <si>
    <t>К-12</t>
  </si>
  <si>
    <t>Реактансы РУ-6кВ СР-2</t>
  </si>
  <si>
    <t>Еловое</t>
  </si>
  <si>
    <t>С-Покурское</t>
  </si>
  <si>
    <t>Мартовское</t>
  </si>
  <si>
    <t>Реактансы РУ-6кВ СР-3</t>
  </si>
  <si>
    <t>2ВБбШв 3х240</t>
  </si>
  <si>
    <t>№3 новое</t>
  </si>
  <si>
    <t>Токи на с.ш.6кВ ПС 35кВ после трансф., приведенные к стороне 35кВ</t>
  </si>
  <si>
    <t>Токи на с.ш.6кВ ПС 35кВ после трансф., приведенные к стороне 6,3кВ</t>
  </si>
  <si>
    <t>Реактансы РУ-6кВ СР-4</t>
  </si>
  <si>
    <t>Реактансы РУ-6кВ СР-5</t>
  </si>
  <si>
    <t>Реактансы РУ-6кВ СР-7</t>
  </si>
  <si>
    <t>Реактансы РУ-6кВ СР-8</t>
  </si>
  <si>
    <t>К-63М</t>
  </si>
  <si>
    <t>Реактансы РУ-6кВ СР-11</t>
  </si>
  <si>
    <t>Кетовское (РУ)</t>
  </si>
  <si>
    <t>Реактансы ПС 35/6кВ СР-6</t>
  </si>
  <si>
    <t>КНС-3М</t>
  </si>
  <si>
    <t>Расчет провел :</t>
  </si>
  <si>
    <t>8BJ20</t>
  </si>
  <si>
    <t>Токи на с.ш.6кВ ПС 35/6кВ после трансф., приведенные к стороне 35кВ</t>
  </si>
  <si>
    <t>Токи на с.ш.6кВ ПС 35/6кВ после трансф., приведенные к стороне 6,3кВ</t>
  </si>
  <si>
    <t>Наименование                 ПС 35/6кВ</t>
  </si>
  <si>
    <t>Реактансы на ЛР 35кВ                        ПС 35/6кВ</t>
  </si>
  <si>
    <t>Реактансы на с.ш.35кВ                  ПС 35/6кВ</t>
  </si>
  <si>
    <t>Реактансы на с.ш.6кВ                     ПС 35/6кВ</t>
  </si>
  <si>
    <t>Токи на                  с.ш.35кВ                            ПС 35/6кВ до трансф.</t>
  </si>
  <si>
    <t>Реактансы на с.ш.35кВ                 ПС 110/35/6кВ</t>
  </si>
  <si>
    <t xml:space="preserve">Реактансы на с.ш.35кВ согласно письма исх. №71-02/03-2576 от 02.06.2014, №23/02/01/02-4490 от 14.10.2015 "ЮНГ-Энергонефть" </t>
  </si>
  <si>
    <t>Реактансы на с.ш.35кВ ПС 110/35/6кВ "Баграс" согласно письма исх.№297 от 05.07.15 ООО "Энергоремонт"</t>
  </si>
  <si>
    <t>Реактансы РУ-6кВ СР-6</t>
  </si>
  <si>
    <t>2АС-500</t>
  </si>
  <si>
    <t>Наименование               РУ-6кВ</t>
  </si>
  <si>
    <t>Питание от                     ПС 35/6кВ</t>
  </si>
  <si>
    <t>Реактансы на с.ш.6кВ                       ПС 35/6кВ</t>
  </si>
  <si>
    <t>Питание от                      ПС 110/35/6кВ,             ПС 35/6кВ</t>
  </si>
  <si>
    <t>Реактансы на с.ш.6кВ                      ПС 110/35/6кВ ПС 35/6кВ</t>
  </si>
  <si>
    <t>Наименование                     РУ-6кВ</t>
  </si>
  <si>
    <t>Питание от                                   ПС 35/6кВ</t>
  </si>
  <si>
    <t>Питание от                    ПС 35/6кВ</t>
  </si>
  <si>
    <t>Реактансы на с.ш.6кВ                         ПС 35/6кВ</t>
  </si>
  <si>
    <t>Наименование                      РУ-6кВ</t>
  </si>
  <si>
    <t>Питание от                      ПС 110/35/6кВ,                   ПС 35/6кВ</t>
  </si>
  <si>
    <t>Реактансы на с.ш.6кВ                      ПС 110/35/6кВ, ПС 35/6кВ</t>
  </si>
  <si>
    <t>Наименование                       РУ-6кВ</t>
  </si>
  <si>
    <t>Питание от           ПС 110/35/6кВ,            ПС 35/6кВ</t>
  </si>
  <si>
    <t>Питание от                     ПС 110/35/6кВ,                ПС 35/6кВ</t>
  </si>
  <si>
    <t>Наименование                        РУ-6кВ</t>
  </si>
  <si>
    <t>Питание от                         ПС 35/6кВ</t>
  </si>
  <si>
    <t>Реактансы на с.ш.6кВ                           ПС 35/6кВ</t>
  </si>
  <si>
    <t>Реактансы на с.ш.6кВ                                 ПС 35/6кВ</t>
  </si>
  <si>
    <t>Питание от              ПС 110/35/6кВ,                ПС 35/6кВ</t>
  </si>
  <si>
    <t>Реактансы на с.ш.6кВ                             ПС 110/35/6кВ,                              ПС 35/6кВ</t>
  </si>
  <si>
    <t>Реактансы на с.ш.6кВ                       ПС 110/35/6кВ,                    ПС 35/6кВ</t>
  </si>
  <si>
    <t>Реактансы на с.ш.6кВ                      ПС 110/35/6кВ,                       ПС 35/6кВ</t>
  </si>
  <si>
    <t>Мощность генератора</t>
  </si>
  <si>
    <t>кВА</t>
  </si>
  <si>
    <r>
      <t>S</t>
    </r>
    <r>
      <rPr>
        <b/>
        <vertAlign val="subscript"/>
        <sz val="10"/>
        <rFont val="Calibri"/>
        <family val="2"/>
        <charset val="204"/>
      </rPr>
      <t>Г</t>
    </r>
  </si>
  <si>
    <t>X"d</t>
  </si>
  <si>
    <t>о.е.</t>
  </si>
  <si>
    <t>Сверхпереходное реактивное сопротивление</t>
  </si>
  <si>
    <r>
      <t>cos</t>
    </r>
    <r>
      <rPr>
        <b/>
        <sz val="10"/>
        <rFont val="Calibri"/>
        <family val="2"/>
        <charset val="204"/>
      </rPr>
      <t>φ</t>
    </r>
  </si>
  <si>
    <r>
      <t>sin</t>
    </r>
    <r>
      <rPr>
        <b/>
        <sz val="10"/>
        <rFont val="Calibri"/>
        <family val="2"/>
        <charset val="204"/>
      </rPr>
      <t>φ</t>
    </r>
  </si>
  <si>
    <r>
      <t>X</t>
    </r>
    <r>
      <rPr>
        <b/>
        <vertAlign val="subscript"/>
        <sz val="10"/>
        <rFont val="Calibri"/>
        <family val="2"/>
        <charset val="204"/>
      </rPr>
      <t>Г</t>
    </r>
  </si>
  <si>
    <t>Объект</t>
  </si>
  <si>
    <t>ГПЭС ДНС-2</t>
  </si>
  <si>
    <t>Кол-во генераторов</t>
  </si>
  <si>
    <t>Токи к.з.</t>
  </si>
  <si>
    <t>Ток генератора</t>
  </si>
  <si>
    <t>ЭДС генератора</t>
  </si>
  <si>
    <r>
      <t>E</t>
    </r>
    <r>
      <rPr>
        <vertAlign val="subscript"/>
        <sz val="10"/>
        <rFont val="Calibri"/>
        <family val="2"/>
        <charset val="204"/>
      </rPr>
      <t>Г</t>
    </r>
  </si>
  <si>
    <r>
      <t>I</t>
    </r>
    <r>
      <rPr>
        <vertAlign val="subscript"/>
        <sz val="10"/>
        <rFont val="Calibri"/>
        <family val="2"/>
        <charset val="204"/>
      </rPr>
      <t>Г</t>
    </r>
  </si>
  <si>
    <t>кА</t>
  </si>
  <si>
    <t>Xмакс</t>
  </si>
  <si>
    <t>Реактансы на с.ш.6кВ КРУ-6кВ ГПЭС ДНС-2</t>
  </si>
  <si>
    <t>Xмин</t>
  </si>
  <si>
    <t>1. Автономная работа</t>
  </si>
  <si>
    <t>2. Параллельная работа с сетью</t>
  </si>
  <si>
    <t xml:space="preserve">Реактансы на с.ш.6кВ КРУ-6кВ ГПЭС ДНС-2 </t>
  </si>
  <si>
    <t>№Ф-110кВ</t>
  </si>
  <si>
    <t>ПП 110кВ Восточный</t>
  </si>
  <si>
    <t>ВЛ-110 Васильев-Урьевская 1</t>
  </si>
  <si>
    <t>ВЛ-110 Васильев-Урьевская 2</t>
  </si>
  <si>
    <t>Хвл-110кВ реоктансы перед трансформатором 110/35/6 Еловая</t>
  </si>
  <si>
    <t>Куст-113</t>
  </si>
  <si>
    <t>ПЛУ-35кВ</t>
  </si>
  <si>
    <t>Реактансы РУ-6кВ Чистинного м.р.</t>
  </si>
  <si>
    <t>Чистинное</t>
  </si>
  <si>
    <t>2ВБбШв 3х150</t>
  </si>
  <si>
    <t>МФНС</t>
  </si>
  <si>
    <t>Куст-47 новая</t>
  </si>
  <si>
    <t>6300/35</t>
  </si>
  <si>
    <t>АльянсЭлектро</t>
  </si>
  <si>
    <t>8BJ21</t>
  </si>
  <si>
    <t>ДНС Узунская</t>
  </si>
  <si>
    <t>Малочерногорская</t>
  </si>
  <si>
    <t>Реактансы РУ-6кВ СР-10</t>
  </si>
  <si>
    <t>Сиражетдинов Д.Д.</t>
  </si>
  <si>
    <t>Приложение №3</t>
  </si>
  <si>
    <t>к письму №_____________________</t>
  </si>
  <si>
    <t>от____ ___________________20____г.</t>
  </si>
  <si>
    <t>Расчет токов короткого замыкания</t>
  </si>
  <si>
    <t>Реактансы на с.ш.110кВ ПС 220/110/10кВ</t>
  </si>
  <si>
    <t>Ток К.З., А</t>
  </si>
  <si>
    <t>Точка К.З.</t>
  </si>
  <si>
    <t>Длина ВЛ-110кВ</t>
  </si>
  <si>
    <t>Длина линии до К.З.</t>
  </si>
  <si>
    <t>Хвл-110кВ</t>
  </si>
  <si>
    <t>Реактансы на ЛР 110кВ ПС 11035/6кВ</t>
  </si>
  <si>
    <t>Ток К.З. до трансф., А</t>
  </si>
  <si>
    <r>
      <t>Остаточное U на с.ш.110кВ ПС 110/35/6кВ при I</t>
    </r>
    <r>
      <rPr>
        <b/>
        <vertAlign val="superscript"/>
        <sz val="16"/>
        <rFont val="Calibri"/>
        <family val="2"/>
        <charset val="204"/>
      </rPr>
      <t>3</t>
    </r>
    <r>
      <rPr>
        <b/>
        <vertAlign val="subscript"/>
        <sz val="16"/>
        <rFont val="Calibri"/>
        <family val="2"/>
        <charset val="204"/>
      </rPr>
      <t>КЗ</t>
    </r>
    <r>
      <rPr>
        <b/>
        <sz val="16"/>
        <rFont val="Calibri"/>
        <family val="2"/>
        <charset val="204"/>
      </rPr>
      <t xml:space="preserve"> до тр-ра</t>
    </r>
  </si>
  <si>
    <t>Тип трансформатора</t>
  </si>
  <si>
    <r>
      <t>U</t>
    </r>
    <r>
      <rPr>
        <b/>
        <vertAlign val="subscript"/>
        <sz val="16"/>
        <rFont val="Calibri"/>
        <family val="2"/>
        <charset val="204"/>
      </rPr>
      <t>ВН</t>
    </r>
  </si>
  <si>
    <r>
      <t>U</t>
    </r>
    <r>
      <rPr>
        <b/>
        <vertAlign val="subscript"/>
        <sz val="16"/>
        <rFont val="Calibri"/>
        <family val="2"/>
        <charset val="204"/>
      </rPr>
      <t>КЗ</t>
    </r>
  </si>
  <si>
    <r>
      <t>Х</t>
    </r>
    <r>
      <rPr>
        <b/>
        <vertAlign val="subscript"/>
        <sz val="16"/>
        <rFont val="Calibri"/>
        <family val="2"/>
        <charset val="204"/>
      </rPr>
      <t>Т</t>
    </r>
  </si>
  <si>
    <t>Реактансы на стороне 110кВ ПС 110/35/6кВ</t>
  </si>
  <si>
    <t>Реактансы приведенные к стороне 35кВ ПС 110/35/6кВ</t>
  </si>
  <si>
    <t>Ток К.З., А на СШ-6кВ ПС 110/35/6кВ</t>
  </si>
  <si>
    <t>Хс.max</t>
  </si>
  <si>
    <t>Хс.min</t>
  </si>
  <si>
    <t>ПвВнг-ХЛ 3х(1x120/25)</t>
  </si>
  <si>
    <t>Хmax</t>
  </si>
  <si>
    <t>Хmin</t>
  </si>
  <si>
    <t>max</t>
  </si>
  <si>
    <t>min</t>
  </si>
  <si>
    <t>В</t>
  </si>
  <si>
    <t>ПС 220/110/10кВ "Лянтинская"</t>
  </si>
  <si>
    <t>К0.0</t>
  </si>
  <si>
    <t>К0</t>
  </si>
  <si>
    <t>ТДТН-63000/110</t>
  </si>
  <si>
    <t>Реактансы приведенные к стороне 6кВ ПС 110/35/6кВ</t>
  </si>
  <si>
    <t>Ток К.З. на СШ-6кВ ПС 110/35/6кВ, А</t>
  </si>
  <si>
    <t>К13</t>
  </si>
  <si>
    <t>Реактансы на с.ш.35кВ ПС 110/35/6кВ</t>
  </si>
  <si>
    <t>Реактансы на ЛР 35кВ ПС 35/6кВ</t>
  </si>
  <si>
    <t>Остаточное U на с.ш. 35кВ ПС 35/6кВ при I3КЗ до тр-ра</t>
  </si>
  <si>
    <t>Реактансы на стороне 35кВ ПС 35/6кВ</t>
  </si>
  <si>
    <t>Реактансы приведенные к стороне 6кВ ПС 35/6кВ</t>
  </si>
  <si>
    <t>Ток К.З. на СШ-6кВ ПС 35/6кВ, А</t>
  </si>
  <si>
    <t>К1</t>
  </si>
  <si>
    <t>К3</t>
  </si>
  <si>
    <t>К2</t>
  </si>
  <si>
    <t>К5</t>
  </si>
  <si>
    <t>К4</t>
  </si>
  <si>
    <r>
      <rPr>
        <b/>
        <i/>
        <sz val="18"/>
        <rFont val="Calibri"/>
        <family val="2"/>
        <charset val="204"/>
      </rPr>
      <t>Конец линии</t>
    </r>
    <r>
      <rPr>
        <i/>
        <sz val="18"/>
        <rFont val="Calibri"/>
        <family val="2"/>
        <charset val="204"/>
      </rPr>
      <t xml:space="preserve"> СШ-35 ПС 6/35 кВ ГТЭС "ДНС-2" 2х25МВА</t>
    </r>
  </si>
  <si>
    <t>К12</t>
  </si>
  <si>
    <t>К7</t>
  </si>
  <si>
    <t>К6</t>
  </si>
  <si>
    <t>К9</t>
  </si>
  <si>
    <t>К8</t>
  </si>
  <si>
    <t>К11</t>
  </si>
  <si>
    <t>К10</t>
  </si>
  <si>
    <t>ПС 110/35/6кВ "Жагрин"1, 2 СШ-35кВ.</t>
  </si>
  <si>
    <t>ПС 110/35/6кВ "Жагрин"1, 2 СШ-6кВ.</t>
  </si>
  <si>
    <t>ПС 35/6кВ "Рынковой"</t>
  </si>
  <si>
    <t>ПС 35/6кВ "Кузьмин"</t>
  </si>
  <si>
    <t>ПС 35/6кВ "Абазаров"</t>
  </si>
  <si>
    <t>ПС 110/35/6кВ "Жагрин" ф.35кВ № 13, 3.</t>
  </si>
  <si>
    <t>Реактансы на сш 35кВ ПС35/6кВ</t>
  </si>
  <si>
    <t>Реактансы на сш 6кВ ПС35/6кВ</t>
  </si>
  <si>
    <t>Токи на с.ш.6кВ ПС35кВ</t>
  </si>
  <si>
    <t>Токи на с.ш.6кВ ПС35кВ после трансф.,кА приведенный к стороне 6,3кВ</t>
  </si>
  <si>
    <t>макс</t>
  </si>
  <si>
    <t>мин</t>
  </si>
  <si>
    <t>5,6НР</t>
  </si>
  <si>
    <t>ПС 6/35кВ ГТЭС</t>
  </si>
  <si>
    <t>TМН -4000/35</t>
  </si>
  <si>
    <t>Расчет произвел :</t>
  </si>
  <si>
    <t>Перемитин А.В.</t>
  </si>
  <si>
    <t>ПС 35/6кВ"Норкин"</t>
  </si>
  <si>
    <t>14,6НР</t>
  </si>
  <si>
    <t>ПС 110/35/6 кВ Жагрин</t>
  </si>
  <si>
    <t>ПС 35/6кВ"Салманов"</t>
  </si>
  <si>
    <t>ПС 110/35/6кВ "Тайлаковская" ф.35кВ № 14, 6.</t>
  </si>
  <si>
    <t>ПС 35/6кВ "КП-69"</t>
  </si>
  <si>
    <t>ПС 35/6кВ "КП-41"</t>
  </si>
  <si>
    <t>ПС 110/35/6кВ "Жагрин" ф.35кВ № 1, 9.</t>
  </si>
  <si>
    <t>3НР</t>
  </si>
  <si>
    <t>Реактансы на ПЛУ-6кВ перед БАРН ПС 35/6кВ</t>
  </si>
  <si>
    <t>Хвл-6кВ</t>
  </si>
  <si>
    <t>Длина ВЛ-6кВ</t>
  </si>
  <si>
    <t>Кузьмин</t>
  </si>
  <si>
    <t>ВБбШв 3х95</t>
  </si>
  <si>
    <t>Куст-2</t>
  </si>
  <si>
    <t>Жагрин</t>
  </si>
  <si>
    <t>Питание от                     ПС 110/35/6кВ, РУ-6кВ,                ПС 35/6кВ</t>
  </si>
  <si>
    <t>Реактансы РУ-6кВ СР-9</t>
  </si>
  <si>
    <t>от сети КРУ-6кВ "ГТЭС ДНС-2"</t>
  </si>
  <si>
    <t>КРУН-6кВ "ДНС-2"</t>
  </si>
  <si>
    <t>2ПвВнг 3х400</t>
  </si>
  <si>
    <t xml:space="preserve"> ПС 220/110/10кВ "Лянтинская" ПС 110/35/6кВ "Тайлаковская" .</t>
  </si>
  <si>
    <t>ТМН--6300/35</t>
  </si>
  <si>
    <t>39 (3 с.ш.)</t>
  </si>
  <si>
    <t>40 (4 с.ш.)</t>
  </si>
  <si>
    <t>2АС-240</t>
  </si>
  <si>
    <t>3ПвВнг-1х500</t>
  </si>
  <si>
    <t>ПС 35/6 кВ Куст-1 1С-6</t>
  </si>
  <si>
    <t>ПС 35/6 Касаев</t>
  </si>
  <si>
    <t>ПС 35/6 кВ Куст-7 1С-6</t>
  </si>
  <si>
    <t>ПС 35/6 Касаев 1С-6</t>
  </si>
  <si>
    <t>ПС 35/6 Касаев 2С-6</t>
  </si>
  <si>
    <t>Расчёт токов короткого замыкания</t>
  </si>
  <si>
    <t>Реактансы на сш 35кВ ПС110/35/6кВ "М-Черногорская"</t>
  </si>
  <si>
    <t>Ток К.З.,А</t>
  </si>
  <si>
    <t>Реактансы на сш 35кВ ПС6/35кВ</t>
  </si>
  <si>
    <t>Ток К.З. до трансф. ,А</t>
  </si>
  <si>
    <r>
      <t>U</t>
    </r>
    <r>
      <rPr>
        <b/>
        <sz val="8"/>
        <rFont val="Times New Roman"/>
        <family val="1"/>
        <charset val="204"/>
      </rPr>
      <t xml:space="preserve"> ВН</t>
    </r>
  </si>
  <si>
    <t>Хтмак на 6кВ</t>
  </si>
  <si>
    <t>Реактансы на сш 35кВ ПС 35/6 кВ</t>
  </si>
  <si>
    <t>Ток К.З. после трансф.,А приведенный к стороне 35</t>
  </si>
  <si>
    <t>Ток К.З. после трансф.,А приведенный к стороне 6</t>
  </si>
  <si>
    <t>АС-400</t>
  </si>
  <si>
    <t>3ПвВнг-1х150</t>
  </si>
  <si>
    <t>ПС 35/6кВ ДНС Узунская 1С-6</t>
  </si>
  <si>
    <t>ПС 35/6кВ ДНС Узунская 2С-6</t>
  </si>
  <si>
    <t>Начальник РЗА                                         Перемитин А.В.</t>
  </si>
  <si>
    <t>Приложение: № ________________</t>
  </si>
  <si>
    <t>К письму № ________________ от _______</t>
  </si>
  <si>
    <t>ПС 110/35/6кВ "М-Черногорская" ф.6кВ №2 (1 с.ш. 6кВ)</t>
  </si>
  <si>
    <t>ПС 110/35/6кВ "М-Черногорская" ф.6кВ №3 (2 с.ш. 6кВ)</t>
  </si>
  <si>
    <t>ЗРУ-6 кВ "ДНС"</t>
  </si>
  <si>
    <t>ЗРУ-6 кВ "БКНС"</t>
  </si>
  <si>
    <t>ДНС-Узунская</t>
  </si>
  <si>
    <t>ПС 110/35/6 кВ "Еловая"</t>
  </si>
  <si>
    <t>ПС 220 кВ Урьевская</t>
  </si>
  <si>
    <t>ПС 110 кВ Васильев</t>
  </si>
  <si>
    <t>Реактансы на ЛР 110кВ                        ПС 110/35/6кВ</t>
  </si>
  <si>
    <t>Токи на                  с.ш.110кВ                            ПС 110/35/6кВ до трансф.</t>
  </si>
  <si>
    <t>Реактансы на с.ш.110кВ                  ПС 110/35/6кВ</t>
  </si>
  <si>
    <t>Реактансы на с.ш.35кВ                     ПС 110/35/6кВ</t>
  </si>
  <si>
    <t>Токи на с.ш.35кВ ПС 110/35/6кВ после трансф., приведенные к стороне 110кВ</t>
  </si>
  <si>
    <t>Токи на с.ш.35кВ ПС 110/35/6кВ после трансф., приведенные к стороне 35кВ</t>
  </si>
  <si>
    <t>ТДТН-25000/110-УХЛ1</t>
  </si>
  <si>
    <t>U ВН</t>
  </si>
  <si>
    <t>U HН</t>
  </si>
  <si>
    <t>РАСЧЕТ от 10.06.2021 года</t>
  </si>
  <si>
    <t>ЗРУ-6 кВ ДНС</t>
  </si>
  <si>
    <t>2ВБбШВ 3х150</t>
  </si>
  <si>
    <t>ПС 220/10/6 кВ "Каркатеевы"</t>
  </si>
  <si>
    <t>Куст-2 новая</t>
  </si>
  <si>
    <t>А от Мартыновской</t>
  </si>
  <si>
    <t>Мартвновская через Баграс</t>
  </si>
  <si>
    <t>ПС 35/6 кВ Куст-9 1С-6</t>
  </si>
  <si>
    <t>ПС 35/6 кВ Куст-9 2С-6</t>
  </si>
  <si>
    <t>ПС 35/6 кВ Куст-1 2С-6</t>
  </si>
  <si>
    <t>КТП 35/0,4 кВ Куст-7 1600 КВА</t>
  </si>
  <si>
    <t>5НР</t>
  </si>
  <si>
    <t>Реактансы на 110 ПС Мартыновская</t>
  </si>
  <si>
    <t>К9РВПМнг(А)</t>
  </si>
  <si>
    <t xml:space="preserve">Токи на с.ш.110кВ </t>
  </si>
  <si>
    <t>Iвн/Iнн/Iсн</t>
  </si>
  <si>
    <t>Uкз
ВН-СН</t>
  </si>
  <si>
    <t>Uкз
ВН-НН</t>
  </si>
  <si>
    <t>Реактансы на с.ш.35кВ</t>
  </si>
  <si>
    <t xml:space="preserve">Реактансы на с.ш.6кВ </t>
  </si>
  <si>
    <t>Реактансы на с.ш.110кВ ПП 110кВ Восточный</t>
  </si>
  <si>
    <t>Реактансы перед трансформатором ПС 110/35/6 Чистинная</t>
  </si>
  <si>
    <t>Чистинная по стороне 35кВ</t>
  </si>
  <si>
    <t>Чистинная по стороне 6кВ</t>
  </si>
  <si>
    <t>Реактансы на с.ш.110кВ перед тр. ПС 110/35/6кВ</t>
  </si>
  <si>
    <t xml:space="preserve">Реактансы приведённые </t>
  </si>
  <si>
    <t>Y/Y/∆ -0-11</t>
  </si>
  <si>
    <t>ТДТН-25000/110 зав.№23382</t>
  </si>
  <si>
    <t>ТДТН-25000/110 зав.№23383</t>
  </si>
  <si>
    <t>125,5/2187/375</t>
  </si>
  <si>
    <r>
      <t>U</t>
    </r>
    <r>
      <rPr>
        <b/>
        <sz val="8"/>
        <rFont val="Times New Roman"/>
        <family val="1"/>
        <charset val="204"/>
      </rPr>
      <t xml:space="preserve"> СН</t>
    </r>
  </si>
  <si>
    <r>
      <t>U</t>
    </r>
    <r>
      <rPr>
        <b/>
        <sz val="8"/>
        <rFont val="Times New Roman"/>
        <family val="1"/>
        <charset val="204"/>
      </rPr>
      <t xml:space="preserve"> HН</t>
    </r>
  </si>
  <si>
    <t>ST7</t>
  </si>
  <si>
    <t>2 АБбШВ 3х120</t>
  </si>
  <si>
    <t>Куст-24</t>
  </si>
  <si>
    <t>ПС 110/35/6кВ Баграс</t>
  </si>
  <si>
    <t>Реактансы на с.ш.110кВ ПС 110/35/6кВ Баграс</t>
  </si>
  <si>
    <t>Баграс по стороне 35кВ</t>
  </si>
  <si>
    <t>Баграс по стороне 6кВ</t>
  </si>
  <si>
    <t>ЗРУ-6 кВ КНС-1</t>
  </si>
  <si>
    <t>Реактансы на с.ш.6кВ ПС 220/10/6кВ</t>
  </si>
  <si>
    <t>Реактансы на СШ-6 кВ</t>
  </si>
  <si>
    <t>Токи на СШ-6кВ</t>
  </si>
  <si>
    <t>ПС 6/35 кВ Касаев 1С-6</t>
  </si>
  <si>
    <t>ПС 220/10/6 Каркатеевы</t>
  </si>
  <si>
    <t>ПС 6/35 кВ Касаев 2С-6</t>
  </si>
  <si>
    <t>РУ-6кВ "КНС-2"</t>
  </si>
  <si>
    <t>ДНС-2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</si>
</sst>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00"/>
    <numFmt numFmtId="167" formatCode="0.0_ ;[Red]\-0.0\ "/>
  </numFmts>
  <fonts count="80" x14ac:knownFonts="1">
    <font>
      <sz val="10"/>
      <name val="Arial Cyr"/>
      <charset val="204"/>
    </font>
    <font>
      <b/>
      <sz val="10"/>
      <name val="Times New Roman"/>
      <family val="1"/>
    </font>
    <font>
      <sz val="10"/>
      <color indexed="8"/>
      <name val="Arial"/>
      <family val="2"/>
      <charset val="204"/>
    </font>
    <font>
      <b/>
      <sz val="9"/>
      <name val="Times New Roman"/>
      <family val="1"/>
    </font>
    <font>
      <b/>
      <sz val="8"/>
      <name val="Times New Roman"/>
      <family val="1"/>
    </font>
    <font>
      <b/>
      <sz val="8"/>
      <color indexed="10"/>
      <name val="Times New Roman"/>
      <family val="1"/>
    </font>
    <font>
      <b/>
      <sz val="10"/>
      <color indexed="10"/>
      <name val="Times New Roman"/>
      <family val="1"/>
    </font>
    <font>
      <sz val="10"/>
      <name val="Times New Roman"/>
      <family val="1"/>
    </font>
    <font>
      <sz val="10"/>
      <color indexed="10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b/>
      <vertAlign val="superscript"/>
      <sz val="10"/>
      <name val="Times New Roman"/>
      <family val="1"/>
      <charset val="204"/>
    </font>
    <font>
      <b/>
      <sz val="8"/>
      <name val="Calibri"/>
      <family val="2"/>
      <charset val="204"/>
    </font>
    <font>
      <b/>
      <sz val="10"/>
      <name val="Calibri"/>
      <family val="2"/>
      <charset val="204"/>
    </font>
    <font>
      <vertAlign val="subscript"/>
      <sz val="10"/>
      <name val="Calibri"/>
      <family val="2"/>
      <charset val="204"/>
    </font>
    <font>
      <b/>
      <vertAlign val="subscript"/>
      <sz val="10"/>
      <name val="Calibri"/>
      <family val="2"/>
      <charset val="204"/>
    </font>
    <font>
      <i/>
      <sz val="18"/>
      <name val="Calibri"/>
      <family val="2"/>
      <charset val="204"/>
    </font>
    <font>
      <b/>
      <i/>
      <sz val="18"/>
      <name val="Calibri"/>
      <family val="2"/>
      <charset val="204"/>
    </font>
    <font>
      <b/>
      <vertAlign val="superscript"/>
      <sz val="16"/>
      <name val="Calibri"/>
      <family val="2"/>
      <charset val="204"/>
    </font>
    <font>
      <b/>
      <vertAlign val="subscript"/>
      <sz val="16"/>
      <name val="Calibri"/>
      <family val="2"/>
      <charset val="204"/>
    </font>
    <font>
      <b/>
      <sz val="16"/>
      <name val="Calibri"/>
      <family val="2"/>
      <charset val="204"/>
    </font>
    <font>
      <sz val="9"/>
      <name val="Times New Roman"/>
      <family val="1"/>
    </font>
    <font>
      <b/>
      <sz val="10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sz val="20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b/>
      <sz val="8"/>
      <color indexed="8"/>
      <name val="Times New Roman"/>
      <family val="1"/>
      <charset val="204"/>
    </font>
    <font>
      <b/>
      <sz val="10"/>
      <color indexed="8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1"/>
      <name val="Times New Roman"/>
      <family val="1"/>
      <charset val="204"/>
    </font>
    <font>
      <sz val="14"/>
      <name val="Times New Roman"/>
      <family val="1"/>
      <charset val="204"/>
    </font>
    <font>
      <i/>
      <sz val="18"/>
      <name val="Times New Roman"/>
      <family val="1"/>
      <charset val="204"/>
    </font>
    <font>
      <b/>
      <sz val="3"/>
      <name val="Times New Roman"/>
      <family val="1"/>
      <charset val="204"/>
    </font>
    <font>
      <b/>
      <sz val="8"/>
      <color indexed="81"/>
      <name val="Tahoma"/>
      <family val="2"/>
      <charset val="204"/>
    </font>
    <font>
      <sz val="8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sz val="10"/>
      <color indexed="1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i/>
      <sz val="18"/>
      <name val="Calibri"/>
      <family val="2"/>
      <charset val="204"/>
      <scheme val="minor"/>
    </font>
    <font>
      <sz val="10"/>
      <color indexed="8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28"/>
      <name val="Calibri"/>
      <family val="2"/>
      <charset val="204"/>
      <scheme val="minor"/>
    </font>
    <font>
      <b/>
      <sz val="36"/>
      <name val="Calibri"/>
      <family val="2"/>
      <charset val="204"/>
      <scheme val="minor"/>
    </font>
    <font>
      <b/>
      <sz val="28"/>
      <name val="Calibri"/>
      <family val="2"/>
      <charset val="204"/>
      <scheme val="minor"/>
    </font>
    <font>
      <sz val="18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b/>
      <sz val="16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b/>
      <sz val="20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b/>
      <sz val="44"/>
      <name val="Calibri"/>
      <family val="2"/>
      <charset val="204"/>
      <scheme val="minor"/>
    </font>
    <font>
      <b/>
      <sz val="32"/>
      <name val="Calibri"/>
      <family val="2"/>
      <charset val="204"/>
      <scheme val="minor"/>
    </font>
    <font>
      <sz val="18"/>
      <color rgb="FFFF0000"/>
      <name val="Calibri"/>
      <family val="2"/>
      <charset val="204"/>
      <scheme val="minor"/>
    </font>
    <font>
      <b/>
      <sz val="3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i/>
      <sz val="11"/>
      <name val="Calibri"/>
      <family val="2"/>
      <charset val="204"/>
      <scheme val="minor"/>
    </font>
    <font>
      <b/>
      <sz val="10"/>
      <color indexed="10"/>
      <name val="Calibri"/>
      <family val="2"/>
      <charset val="204"/>
      <scheme val="minor"/>
    </font>
    <font>
      <sz val="10"/>
      <color rgb="FFFF0000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10"/>
      <color rgb="FFFF0000"/>
      <name val="Calibri"/>
      <family val="2"/>
      <charset val="204"/>
      <scheme val="minor"/>
    </font>
    <font>
      <b/>
      <i/>
      <sz val="18"/>
      <name val="Calibri"/>
      <family val="2"/>
      <charset val="204"/>
      <scheme val="minor"/>
    </font>
    <font>
      <b/>
      <i/>
      <sz val="18"/>
      <color rgb="FFFF00FF"/>
      <name val="Calibri"/>
      <family val="2"/>
      <charset val="204"/>
      <scheme val="minor"/>
    </font>
    <font>
      <b/>
      <u/>
      <sz val="10"/>
      <name val="Calibri"/>
      <family val="2"/>
      <charset val="204"/>
      <scheme val="minor"/>
    </font>
    <font>
      <sz val="36"/>
      <name val="Calibri"/>
      <family val="2"/>
      <charset val="204"/>
      <scheme val="minor"/>
    </font>
    <font>
      <b/>
      <sz val="9"/>
      <color rgb="FF000000"/>
      <name val="Calibri"/>
      <family val="2"/>
      <charset val="204"/>
      <scheme val="minor"/>
    </font>
    <font>
      <sz val="10"/>
      <color rgb="FFFF0000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4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291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 textRotation="90" wrapText="1"/>
    </xf>
    <xf numFmtId="0" fontId="7" fillId="0" borderId="1" xfId="0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2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" fontId="7" fillId="0" borderId="3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 wrapText="1"/>
    </xf>
    <xf numFmtId="2" fontId="7" fillId="0" borderId="3" xfId="0" applyNumberFormat="1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 wrapText="1"/>
    </xf>
    <xf numFmtId="2" fontId="7" fillId="0" borderId="2" xfId="0" applyNumberFormat="1" applyFont="1" applyBorder="1" applyAlignment="1">
      <alignment horizontal="center" vertical="center"/>
    </xf>
    <xf numFmtId="1" fontId="7" fillId="0" borderId="2" xfId="0" applyNumberFormat="1" applyFont="1" applyBorder="1" applyAlignment="1">
      <alignment horizontal="center" vertical="center"/>
    </xf>
    <xf numFmtId="2" fontId="7" fillId="0" borderId="4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" fillId="0" borderId="3" xfId="1" applyFont="1" applyBorder="1" applyAlignment="1">
      <alignment horizontal="center" vertical="center" wrapText="1"/>
    </xf>
    <xf numFmtId="2" fontId="6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1" fillId="0" borderId="8" xfId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7" fillId="0" borderId="9" xfId="0" applyNumberFormat="1" applyFont="1" applyBorder="1" applyAlignment="1">
      <alignment horizontal="center" vertical="center"/>
    </xf>
    <xf numFmtId="1" fontId="7" fillId="0" borderId="4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65" fontId="7" fillId="3" borderId="10" xfId="0" applyNumberFormat="1" applyFont="1" applyFill="1" applyBorder="1" applyAlignment="1">
      <alignment horizontal="center" vertical="center"/>
    </xf>
    <xf numFmtId="165" fontId="7" fillId="3" borderId="6" xfId="0" applyNumberFormat="1" applyFont="1" applyFill="1" applyBorder="1" applyAlignment="1">
      <alignment horizontal="center" vertical="center"/>
    </xf>
    <xf numFmtId="165" fontId="7" fillId="3" borderId="11" xfId="0" applyNumberFormat="1" applyFont="1" applyFill="1" applyBorder="1" applyAlignment="1">
      <alignment horizontal="center" vertical="center"/>
    </xf>
    <xf numFmtId="165" fontId="7" fillId="3" borderId="7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165" fontId="7" fillId="3" borderId="12" xfId="0" applyNumberFormat="1" applyFont="1" applyFill="1" applyBorder="1" applyAlignment="1">
      <alignment horizontal="center" vertical="center"/>
    </xf>
    <xf numFmtId="165" fontId="7" fillId="3" borderId="13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14" xfId="1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2" fontId="4" fillId="0" borderId="10" xfId="1" applyNumberFormat="1" applyFont="1" applyBorder="1" applyAlignment="1">
      <alignment horizontal="center" vertical="center" textRotation="90" wrapText="1"/>
    </xf>
    <xf numFmtId="0" fontId="4" fillId="0" borderId="6" xfId="0" applyFont="1" applyBorder="1" applyAlignment="1">
      <alignment horizontal="center" vertical="center" textRotation="90" wrapText="1"/>
    </xf>
    <xf numFmtId="2" fontId="1" fillId="0" borderId="11" xfId="1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2" fontId="7" fillId="0" borderId="9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1" fontId="7" fillId="0" borderId="6" xfId="0" applyNumberFormat="1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1" fontId="7" fillId="0" borderId="0" xfId="0" applyNumberFormat="1" applyFont="1" applyAlignment="1">
      <alignment vertical="center"/>
    </xf>
    <xf numFmtId="165" fontId="7" fillId="0" borderId="2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165" fontId="7" fillId="0" borderId="15" xfId="0" applyNumberFormat="1" applyFont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/>
    </xf>
    <xf numFmtId="165" fontId="7" fillId="0" borderId="14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" fontId="11" fillId="0" borderId="3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7" fillId="0" borderId="12" xfId="0" applyNumberFormat="1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41" fillId="0" borderId="0" xfId="0" applyFont="1" applyAlignment="1">
      <alignment horizontal="center" vertical="center" wrapText="1"/>
    </xf>
    <xf numFmtId="0" fontId="41" fillId="0" borderId="1" xfId="1" applyFont="1" applyBorder="1" applyAlignment="1">
      <alignment horizontal="center" vertical="center" wrapText="1"/>
    </xf>
    <xf numFmtId="0" fontId="41" fillId="0" borderId="8" xfId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1" fontId="41" fillId="0" borderId="1" xfId="0" applyNumberFormat="1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3" borderId="10" xfId="0" applyFont="1" applyFill="1" applyBorder="1" applyAlignment="1">
      <alignment horizontal="center" vertical="center" wrapText="1"/>
    </xf>
    <xf numFmtId="0" fontId="41" fillId="3" borderId="6" xfId="0" applyFont="1" applyFill="1" applyBorder="1" applyAlignment="1">
      <alignment horizontal="center" vertical="center" wrapText="1"/>
    </xf>
    <xf numFmtId="1" fontId="41" fillId="0" borderId="4" xfId="0" applyNumberFormat="1" applyFont="1" applyBorder="1" applyAlignment="1">
      <alignment horizontal="center" vertical="center" wrapText="1"/>
    </xf>
    <xf numFmtId="1" fontId="41" fillId="0" borderId="8" xfId="0" applyNumberFormat="1" applyFont="1" applyBorder="1" applyAlignment="1">
      <alignment horizontal="center" vertical="center" wrapText="1"/>
    </xf>
    <xf numFmtId="1" fontId="41" fillId="0" borderId="6" xfId="0" applyNumberFormat="1" applyFont="1" applyBorder="1" applyAlignment="1">
      <alignment horizontal="center" vertical="center" wrapText="1"/>
    </xf>
    <xf numFmtId="0" fontId="41" fillId="0" borderId="3" xfId="1" applyFont="1" applyBorder="1" applyAlignment="1">
      <alignment horizontal="center" vertical="center" wrapText="1"/>
    </xf>
    <xf numFmtId="0" fontId="41" fillId="0" borderId="14" xfId="1" applyFont="1" applyBorder="1" applyAlignment="1">
      <alignment horizontal="center" vertical="center" wrapText="1"/>
    </xf>
    <xf numFmtId="2" fontId="41" fillId="0" borderId="11" xfId="1" applyNumberFormat="1" applyFont="1" applyBorder="1" applyAlignment="1">
      <alignment horizontal="center" vertical="center" wrapText="1"/>
    </xf>
    <xf numFmtId="2" fontId="41" fillId="0" borderId="3" xfId="0" applyNumberFormat="1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7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1" fontId="41" fillId="0" borderId="3" xfId="0" applyNumberFormat="1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2" fontId="41" fillId="0" borderId="3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 wrapText="1"/>
    </xf>
    <xf numFmtId="0" fontId="41" fillId="3" borderId="11" xfId="0" applyFont="1" applyFill="1" applyBorder="1" applyAlignment="1">
      <alignment horizontal="center" vertical="center" wrapText="1"/>
    </xf>
    <xf numFmtId="0" fontId="41" fillId="3" borderId="7" xfId="0" applyFont="1" applyFill="1" applyBorder="1" applyAlignment="1">
      <alignment horizontal="center" vertical="center" wrapText="1"/>
    </xf>
    <xf numFmtId="1" fontId="41" fillId="0" borderId="5" xfId="0" applyNumberFormat="1" applyFont="1" applyBorder="1" applyAlignment="1">
      <alignment horizontal="center" vertical="center" wrapText="1"/>
    </xf>
    <xf numFmtId="1" fontId="41" fillId="0" borderId="7" xfId="0" applyNumberFormat="1" applyFont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0" fillId="0" borderId="9" xfId="1" applyFont="1" applyBorder="1" applyAlignment="1">
      <alignment horizontal="center" vertical="center" wrapText="1"/>
    </xf>
    <xf numFmtId="0" fontId="40" fillId="0" borderId="2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2" fontId="42" fillId="0" borderId="12" xfId="1" applyNumberFormat="1" applyFont="1" applyBorder="1" applyAlignment="1">
      <alignment horizontal="center" vertical="center" wrapText="1"/>
    </xf>
    <xf numFmtId="2" fontId="42" fillId="0" borderId="2" xfId="0" applyNumberFormat="1" applyFont="1" applyBorder="1" applyAlignment="1">
      <alignment horizontal="center" vertical="center"/>
    </xf>
    <xf numFmtId="0" fontId="42" fillId="0" borderId="2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2" fontId="40" fillId="0" borderId="2" xfId="0" applyNumberFormat="1" applyFont="1" applyBorder="1" applyAlignment="1">
      <alignment horizontal="center" vertical="center" wrapText="1"/>
    </xf>
    <xf numFmtId="2" fontId="40" fillId="0" borderId="2" xfId="0" applyNumberFormat="1" applyFont="1" applyBorder="1" applyAlignment="1">
      <alignment horizontal="center" vertical="center"/>
    </xf>
    <xf numFmtId="1" fontId="40" fillId="0" borderId="2" xfId="0" applyNumberFormat="1" applyFont="1" applyBorder="1" applyAlignment="1">
      <alignment horizontal="center" vertical="center"/>
    </xf>
    <xf numFmtId="2" fontId="40" fillId="0" borderId="15" xfId="0" applyNumberFormat="1" applyFont="1" applyBorder="1" applyAlignment="1">
      <alignment horizontal="center" vertical="center"/>
    </xf>
    <xf numFmtId="165" fontId="40" fillId="3" borderId="19" xfId="0" applyNumberFormat="1" applyFont="1" applyFill="1" applyBorder="1" applyAlignment="1">
      <alignment horizontal="center" vertical="center"/>
    </xf>
    <xf numFmtId="165" fontId="40" fillId="3" borderId="20" xfId="0" applyNumberFormat="1" applyFont="1" applyFill="1" applyBorder="1" applyAlignment="1">
      <alignment horizontal="center" vertical="center"/>
    </xf>
    <xf numFmtId="1" fontId="40" fillId="0" borderId="9" xfId="0" applyNumberFormat="1" applyFont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" fontId="40" fillId="0" borderId="13" xfId="0" applyNumberFormat="1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40" fillId="0" borderId="4" xfId="1" applyFont="1" applyBorder="1" applyAlignment="1">
      <alignment horizontal="center" vertical="center" wrapText="1"/>
    </xf>
    <xf numFmtId="0" fontId="40" fillId="0" borderId="1" xfId="1" applyFont="1" applyBorder="1" applyAlignment="1">
      <alignment horizontal="center" vertical="center" wrapText="1"/>
    </xf>
    <xf numFmtId="2" fontId="42" fillId="0" borderId="10" xfId="1" applyNumberFormat="1" applyFont="1" applyBorder="1" applyAlignment="1">
      <alignment horizontal="center" vertical="center" wrapText="1"/>
    </xf>
    <xf numFmtId="2" fontId="42" fillId="0" borderId="1" xfId="0" applyNumberFormat="1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2" fontId="40" fillId="0" borderId="4" xfId="0" applyNumberFormat="1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2" fontId="40" fillId="0" borderId="1" xfId="0" applyNumberFormat="1" applyFont="1" applyBorder="1" applyAlignment="1">
      <alignment horizontal="center" vertical="center" wrapText="1"/>
    </xf>
    <xf numFmtId="2" fontId="40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2" fontId="40" fillId="0" borderId="8" xfId="0" applyNumberFormat="1" applyFont="1" applyBorder="1" applyAlignment="1">
      <alignment horizontal="center" vertical="center"/>
    </xf>
    <xf numFmtId="165" fontId="40" fillId="3" borderId="10" xfId="0" applyNumberFormat="1" applyFont="1" applyFill="1" applyBorder="1" applyAlignment="1">
      <alignment horizontal="center" vertical="center"/>
    </xf>
    <xf numFmtId="165" fontId="40" fillId="3" borderId="6" xfId="0" applyNumberFormat="1" applyFont="1" applyFill="1" applyBorder="1" applyAlignment="1">
      <alignment horizontal="center" vertical="center"/>
    </xf>
    <xf numFmtId="1" fontId="40" fillId="0" borderId="4" xfId="0" applyNumberFormat="1" applyFont="1" applyBorder="1" applyAlignment="1">
      <alignment horizontal="center" vertical="center"/>
    </xf>
    <xf numFmtId="1" fontId="40" fillId="0" borderId="6" xfId="0" applyNumberFormat="1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1" fontId="40" fillId="4" borderId="1" xfId="0" applyNumberFormat="1" applyFont="1" applyFill="1" applyBorder="1" applyAlignment="1">
      <alignment horizontal="center" vertical="center"/>
    </xf>
    <xf numFmtId="0" fontId="40" fillId="0" borderId="5" xfId="1" applyFont="1" applyBorder="1" applyAlignment="1">
      <alignment horizontal="center" vertical="center" wrapText="1"/>
    </xf>
    <xf numFmtId="0" fontId="40" fillId="0" borderId="3" xfId="1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2" fontId="42" fillId="0" borderId="11" xfId="1" applyNumberFormat="1" applyFont="1" applyBorder="1" applyAlignment="1">
      <alignment horizontal="center" vertical="center" wrapText="1"/>
    </xf>
    <xf numFmtId="2" fontId="42" fillId="0" borderId="3" xfId="0" applyNumberFormat="1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2" fontId="40" fillId="0" borderId="5" xfId="0" applyNumberFormat="1" applyFont="1" applyBorder="1" applyAlignment="1">
      <alignment horizontal="center" vertical="center"/>
    </xf>
    <xf numFmtId="2" fontId="40" fillId="0" borderId="3" xfId="0" applyNumberFormat="1" applyFont="1" applyBorder="1" applyAlignment="1">
      <alignment horizontal="center" vertical="center" wrapText="1"/>
    </xf>
    <xf numFmtId="2" fontId="40" fillId="0" borderId="3" xfId="0" applyNumberFormat="1" applyFont="1" applyBorder="1" applyAlignment="1">
      <alignment horizontal="center" vertical="center"/>
    </xf>
    <xf numFmtId="1" fontId="40" fillId="0" borderId="3" xfId="0" applyNumberFormat="1" applyFont="1" applyBorder="1" applyAlignment="1">
      <alignment horizontal="center" vertical="center"/>
    </xf>
    <xf numFmtId="165" fontId="40" fillId="3" borderId="11" xfId="0" applyNumberFormat="1" applyFont="1" applyFill="1" applyBorder="1" applyAlignment="1">
      <alignment horizontal="center" vertical="center"/>
    </xf>
    <xf numFmtId="165" fontId="40" fillId="3" borderId="7" xfId="0" applyNumberFormat="1" applyFont="1" applyFill="1" applyBorder="1" applyAlignment="1">
      <alignment horizontal="center" vertical="center"/>
    </xf>
    <xf numFmtId="1" fontId="40" fillId="0" borderId="5" xfId="0" applyNumberFormat="1" applyFont="1" applyBorder="1" applyAlignment="1">
      <alignment horizontal="center" vertical="center"/>
    </xf>
    <xf numFmtId="1" fontId="40" fillId="0" borderId="7" xfId="0" applyNumberFormat="1" applyFont="1" applyBorder="1" applyAlignment="1">
      <alignment horizontal="center" vertical="center"/>
    </xf>
    <xf numFmtId="165" fontId="40" fillId="3" borderId="12" xfId="0" applyNumberFormat="1" applyFont="1" applyFill="1" applyBorder="1" applyAlignment="1">
      <alignment horizontal="center" vertical="center"/>
    </xf>
    <xf numFmtId="165" fontId="40" fillId="3" borderId="13" xfId="0" applyNumberFormat="1" applyFont="1" applyFill="1" applyBorder="1" applyAlignment="1">
      <alignment horizontal="center" vertical="center"/>
    </xf>
    <xf numFmtId="165" fontId="40" fillId="3" borderId="16" xfId="0" applyNumberFormat="1" applyFont="1" applyFill="1" applyBorder="1" applyAlignment="1">
      <alignment horizontal="center" vertical="center"/>
    </xf>
    <xf numFmtId="165" fontId="40" fillId="3" borderId="23" xfId="0" applyNumberFormat="1" applyFont="1" applyFill="1" applyBorder="1" applyAlignment="1">
      <alignment horizontal="center" vertical="center"/>
    </xf>
    <xf numFmtId="165" fontId="40" fillId="3" borderId="24" xfId="0" applyNumberFormat="1" applyFont="1" applyFill="1" applyBorder="1" applyAlignment="1">
      <alignment horizontal="center" vertical="center"/>
    </xf>
    <xf numFmtId="165" fontId="40" fillId="3" borderId="25" xfId="0" applyNumberFormat="1" applyFont="1" applyFill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0" xfId="1" applyFont="1" applyAlignment="1">
      <alignment horizontal="center" vertical="center" wrapText="1"/>
    </xf>
    <xf numFmtId="2" fontId="40" fillId="0" borderId="0" xfId="0" applyNumberFormat="1" applyFont="1" applyAlignment="1">
      <alignment vertical="center"/>
    </xf>
    <xf numFmtId="0" fontId="43" fillId="0" borderId="0" xfId="0" applyFont="1" applyAlignment="1">
      <alignment horizontal="center" vertical="center"/>
    </xf>
    <xf numFmtId="1" fontId="40" fillId="0" borderId="0" xfId="0" applyNumberFormat="1" applyFont="1" applyAlignment="1">
      <alignment horizontal="center" vertical="center"/>
    </xf>
    <xf numFmtId="1" fontId="40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0" fontId="41" fillId="0" borderId="0" xfId="0" applyFont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43" fillId="5" borderId="9" xfId="1" applyFont="1" applyFill="1" applyBorder="1" applyAlignment="1">
      <alignment horizontal="center" vertical="center" wrapText="1"/>
    </xf>
    <xf numFmtId="0" fontId="40" fillId="5" borderId="2" xfId="0" applyFont="1" applyFill="1" applyBorder="1" applyAlignment="1">
      <alignment horizontal="center" vertical="center"/>
    </xf>
    <xf numFmtId="0" fontId="40" fillId="5" borderId="15" xfId="0" applyFont="1" applyFill="1" applyBorder="1" applyAlignment="1">
      <alignment horizontal="center" vertical="center"/>
    </xf>
    <xf numFmtId="2" fontId="42" fillId="5" borderId="12" xfId="1" applyNumberFormat="1" applyFont="1" applyFill="1" applyBorder="1" applyAlignment="1">
      <alignment horizontal="center" vertical="center" wrapText="1"/>
    </xf>
    <xf numFmtId="2" fontId="42" fillId="5" borderId="2" xfId="0" applyNumberFormat="1" applyFont="1" applyFill="1" applyBorder="1" applyAlignment="1">
      <alignment horizontal="center" vertical="center"/>
    </xf>
    <xf numFmtId="0" fontId="42" fillId="5" borderId="2" xfId="0" applyFont="1" applyFill="1" applyBorder="1" applyAlignment="1">
      <alignment horizontal="center" vertical="center"/>
    </xf>
    <xf numFmtId="0" fontId="42" fillId="5" borderId="13" xfId="0" applyFont="1" applyFill="1" applyBorder="1" applyAlignment="1">
      <alignment horizontal="center" vertical="center"/>
    </xf>
    <xf numFmtId="2" fontId="40" fillId="5" borderId="9" xfId="0" applyNumberFormat="1" applyFont="1" applyFill="1" applyBorder="1" applyAlignment="1">
      <alignment horizontal="center" vertical="center"/>
    </xf>
    <xf numFmtId="2" fontId="40" fillId="5" borderId="2" xfId="0" applyNumberFormat="1" applyFont="1" applyFill="1" applyBorder="1" applyAlignment="1">
      <alignment horizontal="center" vertical="center" wrapText="1"/>
    </xf>
    <xf numFmtId="2" fontId="40" fillId="5" borderId="2" xfId="0" applyNumberFormat="1" applyFont="1" applyFill="1" applyBorder="1" applyAlignment="1">
      <alignment horizontal="center" vertical="center"/>
    </xf>
    <xf numFmtId="1" fontId="40" fillId="5" borderId="2" xfId="0" applyNumberFormat="1" applyFont="1" applyFill="1" applyBorder="1" applyAlignment="1">
      <alignment horizontal="center" vertical="center"/>
    </xf>
    <xf numFmtId="2" fontId="40" fillId="5" borderId="15" xfId="0" applyNumberFormat="1" applyFont="1" applyFill="1" applyBorder="1" applyAlignment="1">
      <alignment horizontal="center" vertical="center"/>
    </xf>
    <xf numFmtId="0" fontId="43" fillId="5" borderId="4" xfId="1" applyFont="1" applyFill="1" applyBorder="1" applyAlignment="1">
      <alignment horizontal="center" vertical="center" wrapText="1"/>
    </xf>
    <xf numFmtId="0" fontId="40" fillId="5" borderId="1" xfId="1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0" fontId="40" fillId="5" borderId="8" xfId="0" applyFont="1" applyFill="1" applyBorder="1" applyAlignment="1">
      <alignment horizontal="center" vertical="center"/>
    </xf>
    <xf numFmtId="2" fontId="42" fillId="5" borderId="10" xfId="1" applyNumberFormat="1" applyFont="1" applyFill="1" applyBorder="1" applyAlignment="1">
      <alignment horizontal="center" vertical="center" wrapText="1"/>
    </xf>
    <xf numFmtId="2" fontId="42" fillId="5" borderId="1" xfId="0" applyNumberFormat="1" applyFont="1" applyFill="1" applyBorder="1" applyAlignment="1">
      <alignment horizontal="center" vertical="center"/>
    </xf>
    <xf numFmtId="0" fontId="42" fillId="5" borderId="1" xfId="0" applyFont="1" applyFill="1" applyBorder="1" applyAlignment="1">
      <alignment horizontal="center" vertical="center"/>
    </xf>
    <xf numFmtId="0" fontId="42" fillId="5" borderId="6" xfId="0" applyFont="1" applyFill="1" applyBorder="1" applyAlignment="1">
      <alignment horizontal="center" vertical="center"/>
    </xf>
    <xf numFmtId="2" fontId="40" fillId="5" borderId="4" xfId="0" applyNumberFormat="1" applyFont="1" applyFill="1" applyBorder="1" applyAlignment="1">
      <alignment horizontal="center" vertical="center"/>
    </xf>
    <xf numFmtId="2" fontId="40" fillId="5" borderId="1" xfId="0" applyNumberFormat="1" applyFont="1" applyFill="1" applyBorder="1" applyAlignment="1">
      <alignment horizontal="center" vertical="center" wrapText="1"/>
    </xf>
    <xf numFmtId="2" fontId="40" fillId="5" borderId="1" xfId="0" applyNumberFormat="1" applyFont="1" applyFill="1" applyBorder="1" applyAlignment="1">
      <alignment horizontal="center" vertical="center"/>
    </xf>
    <xf numFmtId="1" fontId="40" fillId="5" borderId="1" xfId="0" applyNumberFormat="1" applyFont="1" applyFill="1" applyBorder="1" applyAlignment="1">
      <alignment horizontal="center" vertical="center"/>
    </xf>
    <xf numFmtId="2" fontId="40" fillId="5" borderId="8" xfId="0" applyNumberFormat="1" applyFont="1" applyFill="1" applyBorder="1" applyAlignment="1">
      <alignment horizontal="center" vertical="center"/>
    </xf>
    <xf numFmtId="0" fontId="43" fillId="5" borderId="27" xfId="1" applyFont="1" applyFill="1" applyBorder="1" applyAlignment="1">
      <alignment horizontal="center" vertical="center" wrapText="1"/>
    </xf>
    <xf numFmtId="0" fontId="40" fillId="5" borderId="28" xfId="0" applyFont="1" applyFill="1" applyBorder="1" applyAlignment="1">
      <alignment horizontal="center" vertical="center"/>
    </xf>
    <xf numFmtId="0" fontId="40" fillId="5" borderId="29" xfId="0" applyFont="1" applyFill="1" applyBorder="1" applyAlignment="1">
      <alignment horizontal="center" vertical="center"/>
    </xf>
    <xf numFmtId="2" fontId="42" fillId="5" borderId="16" xfId="1" applyNumberFormat="1" applyFont="1" applyFill="1" applyBorder="1" applyAlignment="1">
      <alignment horizontal="center" vertical="center" wrapText="1"/>
    </xf>
    <xf numFmtId="2" fontId="42" fillId="5" borderId="28" xfId="0" applyNumberFormat="1" applyFont="1" applyFill="1" applyBorder="1" applyAlignment="1">
      <alignment horizontal="center" vertical="center"/>
    </xf>
    <xf numFmtId="2" fontId="40" fillId="5" borderId="28" xfId="0" applyNumberFormat="1" applyFont="1" applyFill="1" applyBorder="1" applyAlignment="1">
      <alignment horizontal="center" vertical="center" wrapText="1"/>
    </xf>
    <xf numFmtId="2" fontId="40" fillId="5" borderId="28" xfId="0" applyNumberFormat="1" applyFont="1" applyFill="1" applyBorder="1" applyAlignment="1">
      <alignment horizontal="center" vertical="center"/>
    </xf>
    <xf numFmtId="1" fontId="40" fillId="5" borderId="28" xfId="0" applyNumberFormat="1" applyFont="1" applyFill="1" applyBorder="1" applyAlignment="1">
      <alignment horizontal="center" vertical="center"/>
    </xf>
    <xf numFmtId="0" fontId="43" fillId="5" borderId="30" xfId="1" applyFont="1" applyFill="1" applyBorder="1" applyAlignment="1">
      <alignment horizontal="center" vertical="center" wrapText="1"/>
    </xf>
    <xf numFmtId="0" fontId="40" fillId="5" borderId="31" xfId="1" applyFont="1" applyFill="1" applyBorder="1" applyAlignment="1">
      <alignment horizontal="center" vertical="center" wrapText="1"/>
    </xf>
    <xf numFmtId="0" fontId="40" fillId="5" borderId="31" xfId="0" applyFont="1" applyFill="1" applyBorder="1" applyAlignment="1">
      <alignment horizontal="center" vertical="center"/>
    </xf>
    <xf numFmtId="0" fontId="40" fillId="5" borderId="32" xfId="0" applyFont="1" applyFill="1" applyBorder="1" applyAlignment="1">
      <alignment horizontal="center" vertical="center"/>
    </xf>
    <xf numFmtId="2" fontId="42" fillId="5" borderId="19" xfId="1" applyNumberFormat="1" applyFont="1" applyFill="1" applyBorder="1" applyAlignment="1">
      <alignment horizontal="center" vertical="center" wrapText="1"/>
    </xf>
    <xf numFmtId="2" fontId="42" fillId="5" borderId="31" xfId="0" applyNumberFormat="1" applyFont="1" applyFill="1" applyBorder="1" applyAlignment="1">
      <alignment horizontal="center" vertical="center"/>
    </xf>
    <xf numFmtId="0" fontId="42" fillId="5" borderId="31" xfId="0" applyFont="1" applyFill="1" applyBorder="1" applyAlignment="1">
      <alignment horizontal="center" vertical="center"/>
    </xf>
    <xf numFmtId="1" fontId="40" fillId="5" borderId="33" xfId="0" applyNumberFormat="1" applyFont="1" applyFill="1" applyBorder="1" applyAlignment="1">
      <alignment horizontal="center" vertical="center"/>
    </xf>
    <xf numFmtId="2" fontId="40" fillId="5" borderId="31" xfId="0" applyNumberFormat="1" applyFont="1" applyFill="1" applyBorder="1" applyAlignment="1">
      <alignment horizontal="center" vertical="center"/>
    </xf>
    <xf numFmtId="0" fontId="43" fillId="5" borderId="5" xfId="1" applyFont="1" applyFill="1" applyBorder="1" applyAlignment="1">
      <alignment horizontal="center" vertical="center" wrapText="1"/>
    </xf>
    <xf numFmtId="0" fontId="40" fillId="5" borderId="3" xfId="1" applyFont="1" applyFill="1" applyBorder="1" applyAlignment="1">
      <alignment horizontal="center" vertical="center" wrapText="1"/>
    </xf>
    <xf numFmtId="0" fontId="40" fillId="5" borderId="3" xfId="0" applyFont="1" applyFill="1" applyBorder="1" applyAlignment="1">
      <alignment horizontal="center" vertical="center"/>
    </xf>
    <xf numFmtId="2" fontId="42" fillId="5" borderId="11" xfId="1" applyNumberFormat="1" applyFont="1" applyFill="1" applyBorder="1" applyAlignment="1">
      <alignment horizontal="center" vertical="center" wrapText="1"/>
    </xf>
    <xf numFmtId="2" fontId="42" fillId="5" borderId="3" xfId="0" applyNumberFormat="1" applyFont="1" applyFill="1" applyBorder="1" applyAlignment="1">
      <alignment horizontal="center" vertical="center"/>
    </xf>
    <xf numFmtId="0" fontId="42" fillId="5" borderId="3" xfId="0" applyFont="1" applyFill="1" applyBorder="1" applyAlignment="1">
      <alignment horizontal="center" vertical="center"/>
    </xf>
    <xf numFmtId="2" fontId="40" fillId="5" borderId="11" xfId="0" applyNumberFormat="1" applyFont="1" applyFill="1" applyBorder="1" applyAlignment="1">
      <alignment horizontal="center" vertical="center"/>
    </xf>
    <xf numFmtId="2" fontId="40" fillId="5" borderId="3" xfId="0" applyNumberFormat="1" applyFont="1" applyFill="1" applyBorder="1" applyAlignment="1">
      <alignment horizontal="center" vertical="center" wrapText="1"/>
    </xf>
    <xf numFmtId="2" fontId="40" fillId="5" borderId="3" xfId="0" applyNumberFormat="1" applyFont="1" applyFill="1" applyBorder="1" applyAlignment="1">
      <alignment horizontal="center" vertical="center"/>
    </xf>
    <xf numFmtId="1" fontId="40" fillId="5" borderId="3" xfId="0" applyNumberFormat="1" applyFont="1" applyFill="1" applyBorder="1" applyAlignment="1">
      <alignment horizontal="center" vertical="center"/>
    </xf>
    <xf numFmtId="0" fontId="42" fillId="5" borderId="7" xfId="0" applyFont="1" applyFill="1" applyBorder="1" applyAlignment="1">
      <alignment horizontal="center" vertical="center"/>
    </xf>
    <xf numFmtId="2" fontId="40" fillId="5" borderId="5" xfId="0" applyNumberFormat="1" applyFont="1" applyFill="1" applyBorder="1" applyAlignment="1">
      <alignment horizontal="center" vertical="center"/>
    </xf>
    <xf numFmtId="0" fontId="42" fillId="5" borderId="20" xfId="0" applyFont="1" applyFill="1" applyBorder="1" applyAlignment="1">
      <alignment horizontal="center" vertical="center"/>
    </xf>
    <xf numFmtId="2" fontId="40" fillId="5" borderId="31" xfId="0" applyNumberFormat="1" applyFont="1" applyFill="1" applyBorder="1" applyAlignment="1">
      <alignment horizontal="center" vertical="center" wrapText="1"/>
    </xf>
    <xf numFmtId="1" fontId="40" fillId="5" borderId="31" xfId="0" applyNumberFormat="1" applyFont="1" applyFill="1" applyBorder="1" applyAlignment="1">
      <alignment horizontal="center" vertical="center"/>
    </xf>
    <xf numFmtId="0" fontId="41" fillId="5" borderId="34" xfId="0" applyFont="1" applyFill="1" applyBorder="1" applyAlignment="1">
      <alignment horizontal="center" vertical="center"/>
    </xf>
    <xf numFmtId="0" fontId="41" fillId="5" borderId="22" xfId="0" applyFont="1" applyFill="1" applyBorder="1" applyAlignment="1">
      <alignment horizontal="center" vertical="center"/>
    </xf>
    <xf numFmtId="0" fontId="41" fillId="5" borderId="21" xfId="0" applyFont="1" applyFill="1" applyBorder="1" applyAlignment="1">
      <alignment horizontal="center" vertical="center"/>
    </xf>
    <xf numFmtId="0" fontId="41" fillId="5" borderId="35" xfId="0" applyFont="1" applyFill="1" applyBorder="1" applyAlignment="1">
      <alignment horizontal="center" vertical="center"/>
    </xf>
    <xf numFmtId="0" fontId="41" fillId="5" borderId="26" xfId="0" applyFont="1" applyFill="1" applyBorder="1" applyAlignment="1">
      <alignment horizontal="center" vertical="center"/>
    </xf>
    <xf numFmtId="1" fontId="40" fillId="5" borderId="9" xfId="0" applyNumberFormat="1" applyFont="1" applyFill="1" applyBorder="1" applyAlignment="1">
      <alignment horizontal="center" vertical="center"/>
    </xf>
    <xf numFmtId="1" fontId="40" fillId="5" borderId="13" xfId="0" applyNumberFormat="1" applyFont="1" applyFill="1" applyBorder="1" applyAlignment="1">
      <alignment horizontal="center" vertical="center"/>
    </xf>
    <xf numFmtId="1" fontId="40" fillId="5" borderId="4" xfId="0" applyNumberFormat="1" applyFont="1" applyFill="1" applyBorder="1" applyAlignment="1">
      <alignment horizontal="center" vertical="center"/>
    </xf>
    <xf numFmtId="1" fontId="40" fillId="5" borderId="6" xfId="0" applyNumberFormat="1" applyFont="1" applyFill="1" applyBorder="1" applyAlignment="1">
      <alignment horizontal="center" vertical="center"/>
    </xf>
    <xf numFmtId="1" fontId="40" fillId="5" borderId="27" xfId="0" applyNumberFormat="1" applyFont="1" applyFill="1" applyBorder="1" applyAlignment="1">
      <alignment horizontal="center" vertical="center"/>
    </xf>
    <xf numFmtId="1" fontId="40" fillId="5" borderId="23" xfId="0" applyNumberFormat="1" applyFont="1" applyFill="1" applyBorder="1" applyAlignment="1">
      <alignment horizontal="center" vertical="center"/>
    </xf>
    <xf numFmtId="1" fontId="40" fillId="5" borderId="30" xfId="0" applyNumberFormat="1" applyFont="1" applyFill="1" applyBorder="1" applyAlignment="1">
      <alignment horizontal="center" vertical="center"/>
    </xf>
    <xf numFmtId="1" fontId="40" fillId="5" borderId="20" xfId="0" applyNumberFormat="1" applyFont="1" applyFill="1" applyBorder="1" applyAlignment="1">
      <alignment horizontal="center" vertical="center"/>
    </xf>
    <xf numFmtId="1" fontId="40" fillId="5" borderId="5" xfId="0" applyNumberFormat="1" applyFont="1" applyFill="1" applyBorder="1" applyAlignment="1">
      <alignment horizontal="center" vertical="center"/>
    </xf>
    <xf numFmtId="1" fontId="40" fillId="5" borderId="7" xfId="0" applyNumberFormat="1" applyFont="1" applyFill="1" applyBorder="1" applyAlignment="1">
      <alignment horizontal="center" vertical="center"/>
    </xf>
    <xf numFmtId="0" fontId="46" fillId="0" borderId="0" xfId="0" applyFont="1" applyAlignment="1">
      <alignment vertical="center"/>
    </xf>
    <xf numFmtId="2" fontId="40" fillId="0" borderId="10" xfId="1" applyNumberFormat="1" applyFont="1" applyBorder="1" applyAlignment="1">
      <alignment horizontal="center" vertical="center" wrapText="1"/>
    </xf>
    <xf numFmtId="2" fontId="43" fillId="0" borderId="1" xfId="0" applyNumberFormat="1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2" fontId="40" fillId="0" borderId="10" xfId="0" applyNumberFormat="1" applyFont="1" applyBorder="1" applyAlignment="1">
      <alignment horizontal="center" vertical="center"/>
    </xf>
    <xf numFmtId="2" fontId="40" fillId="0" borderId="6" xfId="0" applyNumberFormat="1" applyFont="1" applyBorder="1" applyAlignment="1">
      <alignment horizontal="center" vertical="center"/>
    </xf>
    <xf numFmtId="165" fontId="40" fillId="0" borderId="1" xfId="0" applyNumberFormat="1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65" fontId="40" fillId="0" borderId="8" xfId="0" applyNumberFormat="1" applyFont="1" applyBorder="1" applyAlignment="1">
      <alignment horizontal="center" vertical="center"/>
    </xf>
    <xf numFmtId="0" fontId="47" fillId="0" borderId="4" xfId="1" applyFont="1" applyBorder="1" applyAlignment="1">
      <alignment horizontal="center" vertical="center" wrapText="1"/>
    </xf>
    <xf numFmtId="2" fontId="42" fillId="0" borderId="6" xfId="0" applyNumberFormat="1" applyFont="1" applyBorder="1" applyAlignment="1">
      <alignment horizontal="center" vertical="center"/>
    </xf>
    <xf numFmtId="0" fontId="40" fillId="0" borderId="27" xfId="1" applyFont="1" applyBorder="1" applyAlignment="1">
      <alignment horizontal="center" vertical="center" wrapText="1"/>
    </xf>
    <xf numFmtId="0" fontId="40" fillId="0" borderId="29" xfId="0" applyFont="1" applyBorder="1" applyAlignment="1">
      <alignment horizontal="center" vertical="center"/>
    </xf>
    <xf numFmtId="2" fontId="40" fillId="0" borderId="16" xfId="1" applyNumberFormat="1" applyFont="1" applyBorder="1" applyAlignment="1">
      <alignment horizontal="center" vertical="center" wrapText="1"/>
    </xf>
    <xf numFmtId="2" fontId="43" fillId="0" borderId="28" xfId="0" applyNumberFormat="1" applyFont="1" applyBorder="1" applyAlignment="1">
      <alignment horizontal="center" vertical="center"/>
    </xf>
    <xf numFmtId="2" fontId="42" fillId="0" borderId="23" xfId="0" applyNumberFormat="1" applyFont="1" applyBorder="1" applyAlignment="1">
      <alignment horizontal="center" vertical="center"/>
    </xf>
    <xf numFmtId="2" fontId="40" fillId="0" borderId="16" xfId="0" applyNumberFormat="1" applyFont="1" applyBorder="1" applyAlignment="1">
      <alignment horizontal="center" vertical="center"/>
    </xf>
    <xf numFmtId="2" fontId="40" fillId="0" borderId="28" xfId="0" applyNumberFormat="1" applyFont="1" applyBorder="1" applyAlignment="1">
      <alignment horizontal="center" vertical="center" wrapText="1"/>
    </xf>
    <xf numFmtId="2" fontId="40" fillId="0" borderId="28" xfId="0" applyNumberFormat="1" applyFont="1" applyBorder="1" applyAlignment="1">
      <alignment horizontal="center" vertical="center"/>
    </xf>
    <xf numFmtId="1" fontId="40" fillId="0" borderId="36" xfId="0" applyNumberFormat="1" applyFont="1" applyBorder="1" applyAlignment="1">
      <alignment horizontal="center" vertical="center"/>
    </xf>
    <xf numFmtId="2" fontId="40" fillId="0" borderId="23" xfId="0" applyNumberFormat="1" applyFont="1" applyBorder="1" applyAlignment="1">
      <alignment horizontal="center" vertical="center"/>
    </xf>
    <xf numFmtId="1" fontId="40" fillId="0" borderId="27" xfId="0" applyNumberFormat="1" applyFont="1" applyBorder="1" applyAlignment="1">
      <alignment horizontal="center" vertical="center"/>
    </xf>
    <xf numFmtId="1" fontId="40" fillId="0" borderId="28" xfId="0" applyNumberFormat="1" applyFont="1" applyBorder="1" applyAlignment="1">
      <alignment horizontal="center" vertical="center"/>
    </xf>
    <xf numFmtId="0" fontId="41" fillId="5" borderId="37" xfId="0" applyFont="1" applyFill="1" applyBorder="1" applyAlignment="1">
      <alignment horizontal="center" vertical="center"/>
    </xf>
    <xf numFmtId="0" fontId="43" fillId="5" borderId="19" xfId="1" applyFont="1" applyFill="1" applyBorder="1" applyAlignment="1">
      <alignment horizontal="center" vertical="center" wrapText="1"/>
    </xf>
    <xf numFmtId="0" fontId="40" fillId="5" borderId="20" xfId="0" applyFont="1" applyFill="1" applyBorder="1" applyAlignment="1">
      <alignment horizontal="center" vertical="center"/>
    </xf>
    <xf numFmtId="2" fontId="40" fillId="5" borderId="19" xfId="1" applyNumberFormat="1" applyFont="1" applyFill="1" applyBorder="1" applyAlignment="1">
      <alignment horizontal="center" vertical="center" wrapText="1"/>
    </xf>
    <xf numFmtId="2" fontId="43" fillId="5" borderId="31" xfId="0" applyNumberFormat="1" applyFont="1" applyFill="1" applyBorder="1" applyAlignment="1">
      <alignment horizontal="center" vertical="center"/>
    </xf>
    <xf numFmtId="2" fontId="40" fillId="5" borderId="19" xfId="0" applyNumberFormat="1" applyFont="1" applyFill="1" applyBorder="1" applyAlignment="1">
      <alignment horizontal="center" vertical="center"/>
    </xf>
    <xf numFmtId="164" fontId="40" fillId="5" borderId="31" xfId="0" applyNumberFormat="1" applyFont="1" applyFill="1" applyBorder="1" applyAlignment="1">
      <alignment horizontal="center" vertical="center"/>
    </xf>
    <xf numFmtId="2" fontId="40" fillId="5" borderId="20" xfId="0" applyNumberFormat="1" applyFont="1" applyFill="1" applyBorder="1" applyAlignment="1">
      <alignment horizontal="center" vertical="center"/>
    </xf>
    <xf numFmtId="0" fontId="43" fillId="5" borderId="10" xfId="1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/>
    </xf>
    <xf numFmtId="2" fontId="40" fillId="5" borderId="10" xfId="1" applyNumberFormat="1" applyFont="1" applyFill="1" applyBorder="1" applyAlignment="1">
      <alignment horizontal="center" vertical="center" wrapText="1"/>
    </xf>
    <xf numFmtId="2" fontId="43" fillId="5" borderId="1" xfId="0" applyNumberFormat="1" applyFont="1" applyFill="1" applyBorder="1" applyAlignment="1">
      <alignment horizontal="center" vertical="center"/>
    </xf>
    <xf numFmtId="2" fontId="40" fillId="5" borderId="10" xfId="0" applyNumberFormat="1" applyFont="1" applyFill="1" applyBorder="1" applyAlignment="1">
      <alignment horizontal="center" vertical="center"/>
    </xf>
    <xf numFmtId="164" fontId="40" fillId="5" borderId="1" xfId="0" applyNumberFormat="1" applyFont="1" applyFill="1" applyBorder="1" applyAlignment="1">
      <alignment horizontal="center" vertical="center"/>
    </xf>
    <xf numFmtId="2" fontId="40" fillId="5" borderId="6" xfId="0" applyNumberFormat="1" applyFont="1" applyFill="1" applyBorder="1" applyAlignment="1">
      <alignment horizontal="center" vertical="center"/>
    </xf>
    <xf numFmtId="165" fontId="40" fillId="5" borderId="1" xfId="0" applyNumberFormat="1" applyFont="1" applyFill="1" applyBorder="1" applyAlignment="1">
      <alignment horizontal="center" vertical="center"/>
    </xf>
    <xf numFmtId="165" fontId="40" fillId="5" borderId="6" xfId="0" applyNumberFormat="1" applyFont="1" applyFill="1" applyBorder="1" applyAlignment="1">
      <alignment horizontal="center" vertical="center"/>
    </xf>
    <xf numFmtId="0" fontId="40" fillId="5" borderId="1" xfId="0" applyFont="1" applyFill="1" applyBorder="1" applyAlignment="1">
      <alignment horizontal="left" vertical="center"/>
    </xf>
    <xf numFmtId="2" fontId="42" fillId="5" borderId="6" xfId="0" applyNumberFormat="1" applyFont="1" applyFill="1" applyBorder="1" applyAlignment="1">
      <alignment horizontal="center" vertical="center"/>
    </xf>
    <xf numFmtId="0" fontId="43" fillId="5" borderId="11" xfId="1" applyFont="1" applyFill="1" applyBorder="1" applyAlignment="1">
      <alignment horizontal="center" vertical="center" wrapText="1"/>
    </xf>
    <xf numFmtId="0" fontId="40" fillId="5" borderId="7" xfId="0" applyFont="1" applyFill="1" applyBorder="1" applyAlignment="1">
      <alignment horizontal="center" vertical="center"/>
    </xf>
    <xf numFmtId="2" fontId="40" fillId="5" borderId="11" xfId="1" applyNumberFormat="1" applyFont="1" applyFill="1" applyBorder="1" applyAlignment="1">
      <alignment horizontal="center" vertical="center" wrapText="1"/>
    </xf>
    <xf numFmtId="2" fontId="43" fillId="5" borderId="3" xfId="0" applyNumberFormat="1" applyFont="1" applyFill="1" applyBorder="1" applyAlignment="1">
      <alignment horizontal="center" vertical="center"/>
    </xf>
    <xf numFmtId="1" fontId="40" fillId="5" borderId="38" xfId="0" applyNumberFormat="1" applyFont="1" applyFill="1" applyBorder="1" applyAlignment="1">
      <alignment horizontal="center" vertical="center"/>
    </xf>
    <xf numFmtId="2" fontId="40" fillId="5" borderId="7" xfId="0" applyNumberFormat="1" applyFont="1" applyFill="1" applyBorder="1" applyAlignment="1">
      <alignment horizontal="center" vertical="center"/>
    </xf>
    <xf numFmtId="1" fontId="40" fillId="0" borderId="23" xfId="0" applyNumberFormat="1" applyFont="1" applyBorder="1" applyAlignment="1">
      <alignment horizontal="center" vertical="center"/>
    </xf>
    <xf numFmtId="1" fontId="40" fillId="5" borderId="19" xfId="0" applyNumberFormat="1" applyFont="1" applyFill="1" applyBorder="1" applyAlignment="1">
      <alignment horizontal="center" vertical="center"/>
    </xf>
    <xf numFmtId="1" fontId="40" fillId="5" borderId="10" xfId="0" applyNumberFormat="1" applyFont="1" applyFill="1" applyBorder="1" applyAlignment="1">
      <alignment horizontal="center" vertical="center"/>
    </xf>
    <xf numFmtId="1" fontId="40" fillId="5" borderId="11" xfId="0" applyNumberFormat="1" applyFont="1" applyFill="1" applyBorder="1" applyAlignment="1">
      <alignment horizontal="center" vertical="center"/>
    </xf>
    <xf numFmtId="2" fontId="48" fillId="0" borderId="10" xfId="1" applyNumberFormat="1" applyFont="1" applyBorder="1" applyAlignment="1">
      <alignment horizontal="center" vertical="center" textRotation="90" wrapText="1"/>
    </xf>
    <xf numFmtId="2" fontId="48" fillId="0" borderId="1" xfId="0" applyNumberFormat="1" applyFont="1" applyBorder="1" applyAlignment="1">
      <alignment horizontal="center" vertical="center" textRotation="90" wrapText="1"/>
    </xf>
    <xf numFmtId="0" fontId="48" fillId="0" borderId="1" xfId="0" applyFont="1" applyBorder="1" applyAlignment="1">
      <alignment horizontal="center" vertical="center" textRotation="90" wrapText="1"/>
    </xf>
    <xf numFmtId="0" fontId="48" fillId="0" borderId="6" xfId="0" applyFont="1" applyBorder="1" applyAlignment="1">
      <alignment horizontal="center" vertical="center" textRotation="90" wrapText="1"/>
    </xf>
    <xf numFmtId="0" fontId="43" fillId="5" borderId="16" xfId="1" applyFont="1" applyFill="1" applyBorder="1" applyAlignment="1">
      <alignment horizontal="center" vertical="center" wrapText="1"/>
    </xf>
    <xf numFmtId="0" fontId="40" fillId="5" borderId="23" xfId="0" applyFont="1" applyFill="1" applyBorder="1" applyAlignment="1">
      <alignment horizontal="center" vertical="center"/>
    </xf>
    <xf numFmtId="2" fontId="40" fillId="5" borderId="16" xfId="1" applyNumberFormat="1" applyFont="1" applyFill="1" applyBorder="1" applyAlignment="1">
      <alignment horizontal="center" vertical="center" wrapText="1"/>
    </xf>
    <xf numFmtId="2" fontId="43" fillId="5" borderId="28" xfId="0" applyNumberFormat="1" applyFont="1" applyFill="1" applyBorder="1" applyAlignment="1">
      <alignment horizontal="center" vertical="center"/>
    </xf>
    <xf numFmtId="2" fontId="42" fillId="5" borderId="23" xfId="0" applyNumberFormat="1" applyFont="1" applyFill="1" applyBorder="1" applyAlignment="1">
      <alignment horizontal="center" vertical="center"/>
    </xf>
    <xf numFmtId="2" fontId="40" fillId="5" borderId="16" xfId="0" applyNumberFormat="1" applyFont="1" applyFill="1" applyBorder="1" applyAlignment="1">
      <alignment horizontal="center" vertical="center"/>
    </xf>
    <xf numFmtId="1" fontId="40" fillId="5" borderId="36" xfId="0" applyNumberFormat="1" applyFont="1" applyFill="1" applyBorder="1" applyAlignment="1">
      <alignment horizontal="center" vertical="center"/>
    </xf>
    <xf numFmtId="2" fontId="40" fillId="5" borderId="23" xfId="0" applyNumberFormat="1" applyFont="1" applyFill="1" applyBorder="1" applyAlignment="1">
      <alignment horizontal="center" vertical="center"/>
    </xf>
    <xf numFmtId="1" fontId="40" fillId="5" borderId="16" xfId="0" applyNumberFormat="1" applyFont="1" applyFill="1" applyBorder="1" applyAlignment="1">
      <alignment horizontal="center" vertical="center"/>
    </xf>
    <xf numFmtId="0" fontId="43" fillId="5" borderId="12" xfId="1" applyFont="1" applyFill="1" applyBorder="1" applyAlignment="1">
      <alignment horizontal="center" vertical="center" wrapText="1"/>
    </xf>
    <xf numFmtId="2" fontId="40" fillId="5" borderId="12" xfId="1" applyNumberFormat="1" applyFont="1" applyFill="1" applyBorder="1" applyAlignment="1">
      <alignment horizontal="center" vertical="center" wrapText="1"/>
    </xf>
    <xf numFmtId="2" fontId="43" fillId="5" borderId="2" xfId="0" applyNumberFormat="1" applyFont="1" applyFill="1" applyBorder="1" applyAlignment="1">
      <alignment horizontal="center" vertical="center"/>
    </xf>
    <xf numFmtId="2" fontId="40" fillId="5" borderId="12" xfId="0" applyNumberFormat="1" applyFont="1" applyFill="1" applyBorder="1" applyAlignment="1">
      <alignment horizontal="center" vertical="center"/>
    </xf>
    <xf numFmtId="164" fontId="40" fillId="5" borderId="2" xfId="0" applyNumberFormat="1" applyFont="1" applyFill="1" applyBorder="1" applyAlignment="1">
      <alignment horizontal="center" vertical="center"/>
    </xf>
    <xf numFmtId="2" fontId="40" fillId="5" borderId="13" xfId="0" applyNumberFormat="1" applyFont="1" applyFill="1" applyBorder="1" applyAlignment="1">
      <alignment horizontal="center" vertical="center"/>
    </xf>
    <xf numFmtId="1" fontId="40" fillId="5" borderId="12" xfId="0" applyNumberFormat="1" applyFont="1" applyFill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28" xfId="0" applyFont="1" applyBorder="1" applyAlignment="1">
      <alignment horizontal="left" vertical="center"/>
    </xf>
    <xf numFmtId="0" fontId="40" fillId="5" borderId="3" xfId="0" applyFont="1" applyFill="1" applyBorder="1" applyAlignment="1">
      <alignment horizontal="left" vertical="center"/>
    </xf>
    <xf numFmtId="0" fontId="46" fillId="0" borderId="39" xfId="0" applyFont="1" applyBorder="1" applyAlignment="1">
      <alignment vertical="center"/>
    </xf>
    <xf numFmtId="0" fontId="41" fillId="0" borderId="40" xfId="0" applyFont="1" applyBorder="1" applyAlignment="1">
      <alignment horizontal="center" vertical="center"/>
    </xf>
    <xf numFmtId="2" fontId="40" fillId="0" borderId="19" xfId="1" applyNumberFormat="1" applyFont="1" applyBorder="1" applyAlignment="1">
      <alignment horizontal="center" vertical="center" wrapText="1"/>
    </xf>
    <xf numFmtId="2" fontId="42" fillId="0" borderId="31" xfId="0" applyNumberFormat="1" applyFont="1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2" fontId="40" fillId="0" borderId="30" xfId="0" applyNumberFormat="1" applyFont="1" applyBorder="1" applyAlignment="1">
      <alignment horizontal="center" vertical="center"/>
    </xf>
    <xf numFmtId="2" fontId="40" fillId="0" borderId="31" xfId="0" applyNumberFormat="1" applyFont="1" applyBorder="1" applyAlignment="1">
      <alignment horizontal="center" vertical="center" wrapText="1"/>
    </xf>
    <xf numFmtId="2" fontId="40" fillId="0" borderId="31" xfId="0" applyNumberFormat="1" applyFont="1" applyBorder="1" applyAlignment="1">
      <alignment horizontal="center" vertical="center"/>
    </xf>
    <xf numFmtId="1" fontId="40" fillId="0" borderId="31" xfId="0" applyNumberFormat="1" applyFont="1" applyBorder="1" applyAlignment="1">
      <alignment horizontal="center" vertical="center"/>
    </xf>
    <xf numFmtId="2" fontId="40" fillId="0" borderId="32" xfId="0" applyNumberFormat="1" applyFont="1" applyBorder="1" applyAlignment="1">
      <alignment horizontal="center" vertical="center"/>
    </xf>
    <xf numFmtId="1" fontId="40" fillId="0" borderId="19" xfId="0" applyNumberFormat="1" applyFont="1" applyBorder="1" applyAlignment="1">
      <alignment horizontal="center" vertical="center"/>
    </xf>
    <xf numFmtId="1" fontId="40" fillId="0" borderId="32" xfId="0" applyNumberFormat="1" applyFont="1" applyBorder="1" applyAlignment="1">
      <alignment horizontal="center" vertical="center"/>
    </xf>
    <xf numFmtId="1" fontId="40" fillId="0" borderId="20" xfId="0" applyNumberFormat="1" applyFont="1" applyBorder="1" applyAlignment="1">
      <alignment horizontal="center" vertical="center"/>
    </xf>
    <xf numFmtId="0" fontId="41" fillId="0" borderId="41" xfId="0" applyFont="1" applyBorder="1" applyAlignment="1">
      <alignment horizontal="center" vertical="center"/>
    </xf>
    <xf numFmtId="1" fontId="40" fillId="0" borderId="10" xfId="0" applyNumberFormat="1" applyFont="1" applyBorder="1" applyAlignment="1">
      <alignment horizontal="center" vertical="center"/>
    </xf>
    <xf numFmtId="1" fontId="40" fillId="0" borderId="8" xfId="0" applyNumberFormat="1" applyFont="1" applyBorder="1" applyAlignment="1">
      <alignment horizontal="center" vertical="center"/>
    </xf>
    <xf numFmtId="2" fontId="40" fillId="0" borderId="10" xfId="0" applyNumberFormat="1" applyFont="1" applyBorder="1" applyAlignment="1">
      <alignment vertical="center"/>
    </xf>
    <xf numFmtId="0" fontId="43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vertical="center"/>
    </xf>
    <xf numFmtId="0" fontId="41" fillId="0" borderId="42" xfId="0" applyFont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2" fontId="40" fillId="0" borderId="11" xfId="0" applyNumberFormat="1" applyFont="1" applyBorder="1" applyAlignment="1">
      <alignment vertical="center"/>
    </xf>
    <xf numFmtId="0" fontId="43" fillId="0" borderId="3" xfId="0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" fontId="40" fillId="0" borderId="38" xfId="0" applyNumberFormat="1" applyFont="1" applyBorder="1" applyAlignment="1">
      <alignment horizontal="center" vertical="center"/>
    </xf>
    <xf numFmtId="1" fontId="40" fillId="0" borderId="11" xfId="0" applyNumberFormat="1" applyFont="1" applyBorder="1" applyAlignment="1">
      <alignment horizontal="center" vertical="center"/>
    </xf>
    <xf numFmtId="1" fontId="40" fillId="0" borderId="14" xfId="0" applyNumberFormat="1" applyFont="1" applyBorder="1" applyAlignment="1">
      <alignment horizontal="center" vertical="center"/>
    </xf>
    <xf numFmtId="0" fontId="41" fillId="5" borderId="40" xfId="0" applyFont="1" applyFill="1" applyBorder="1" applyAlignment="1">
      <alignment horizontal="center" vertical="center"/>
    </xf>
    <xf numFmtId="0" fontId="40" fillId="5" borderId="40" xfId="1" applyFont="1" applyFill="1" applyBorder="1" applyAlignment="1">
      <alignment horizontal="center" vertical="center" wrapText="1"/>
    </xf>
    <xf numFmtId="0" fontId="40" fillId="5" borderId="30" xfId="1" applyFont="1" applyFill="1" applyBorder="1" applyAlignment="1">
      <alignment horizontal="center" vertical="center" wrapText="1"/>
    </xf>
    <xf numFmtId="2" fontId="40" fillId="5" borderId="19" xfId="0" applyNumberFormat="1" applyFont="1" applyFill="1" applyBorder="1" applyAlignment="1">
      <alignment vertical="center"/>
    </xf>
    <xf numFmtId="2" fontId="42" fillId="5" borderId="31" xfId="0" applyNumberFormat="1" applyFont="1" applyFill="1" applyBorder="1" applyAlignment="1">
      <alignment vertical="center"/>
    </xf>
    <xf numFmtId="0" fontId="43" fillId="5" borderId="31" xfId="0" applyFont="1" applyFill="1" applyBorder="1" applyAlignment="1">
      <alignment horizontal="center" vertical="center"/>
    </xf>
    <xf numFmtId="0" fontId="40" fillId="5" borderId="31" xfId="0" applyFont="1" applyFill="1" applyBorder="1" applyAlignment="1">
      <alignment vertical="center"/>
    </xf>
    <xf numFmtId="1" fontId="40" fillId="5" borderId="43" xfId="0" applyNumberFormat="1" applyFont="1" applyFill="1" applyBorder="1" applyAlignment="1">
      <alignment horizontal="center" vertical="center"/>
    </xf>
    <xf numFmtId="0" fontId="41" fillId="5" borderId="41" xfId="0" applyFont="1" applyFill="1" applyBorder="1" applyAlignment="1">
      <alignment horizontal="center" vertical="center"/>
    </xf>
    <xf numFmtId="0" fontId="40" fillId="5" borderId="41" xfId="1" applyFont="1" applyFill="1" applyBorder="1" applyAlignment="1">
      <alignment horizontal="center" vertical="center" wrapText="1"/>
    </xf>
    <xf numFmtId="0" fontId="40" fillId="5" borderId="4" xfId="1" applyFont="1" applyFill="1" applyBorder="1" applyAlignment="1">
      <alignment horizontal="center" vertical="center" wrapText="1"/>
    </xf>
    <xf numFmtId="2" fontId="40" fillId="5" borderId="10" xfId="0" applyNumberFormat="1" applyFont="1" applyFill="1" applyBorder="1" applyAlignment="1">
      <alignment vertical="center"/>
    </xf>
    <xf numFmtId="2" fontId="42" fillId="5" borderId="1" xfId="0" applyNumberFormat="1" applyFont="1" applyFill="1" applyBorder="1" applyAlignment="1">
      <alignment vertical="center"/>
    </xf>
    <xf numFmtId="0" fontId="43" fillId="5" borderId="1" xfId="0" applyFont="1" applyFill="1" applyBorder="1" applyAlignment="1">
      <alignment horizontal="center" vertical="center"/>
    </xf>
    <xf numFmtId="0" fontId="40" fillId="5" borderId="1" xfId="0" applyFont="1" applyFill="1" applyBorder="1" applyAlignment="1">
      <alignment vertical="center"/>
    </xf>
    <xf numFmtId="1" fontId="40" fillId="5" borderId="29" xfId="0" applyNumberFormat="1" applyFont="1" applyFill="1" applyBorder="1" applyAlignment="1">
      <alignment horizontal="center" vertical="center"/>
    </xf>
    <xf numFmtId="2" fontId="40" fillId="5" borderId="16" xfId="0" applyNumberFormat="1" applyFont="1" applyFill="1" applyBorder="1" applyAlignment="1">
      <alignment vertical="center"/>
    </xf>
    <xf numFmtId="2" fontId="42" fillId="5" borderId="28" xfId="0" applyNumberFormat="1" applyFont="1" applyFill="1" applyBorder="1" applyAlignment="1">
      <alignment vertical="center"/>
    </xf>
    <xf numFmtId="0" fontId="43" fillId="5" borderId="28" xfId="0" applyFont="1" applyFill="1" applyBorder="1" applyAlignment="1">
      <alignment horizontal="center" vertical="center"/>
    </xf>
    <xf numFmtId="0" fontId="40" fillId="5" borderId="0" xfId="0" applyFont="1" applyFill="1" applyAlignment="1">
      <alignment vertical="center"/>
    </xf>
    <xf numFmtId="0" fontId="41" fillId="5" borderId="44" xfId="0" applyFont="1" applyFill="1" applyBorder="1" applyAlignment="1">
      <alignment horizontal="center" vertical="center"/>
    </xf>
    <xf numFmtId="0" fontId="40" fillId="5" borderId="5" xfId="1" applyFont="1" applyFill="1" applyBorder="1" applyAlignment="1">
      <alignment horizontal="center" vertical="center" wrapText="1"/>
    </xf>
    <xf numFmtId="2" fontId="40" fillId="5" borderId="11" xfId="0" applyNumberFormat="1" applyFont="1" applyFill="1" applyBorder="1" applyAlignment="1">
      <alignment vertical="center"/>
    </xf>
    <xf numFmtId="2" fontId="42" fillId="5" borderId="3" xfId="0" applyNumberFormat="1" applyFont="1" applyFill="1" applyBorder="1" applyAlignment="1">
      <alignment vertical="center"/>
    </xf>
    <xf numFmtId="0" fontId="43" fillId="5" borderId="3" xfId="0" applyFont="1" applyFill="1" applyBorder="1" applyAlignment="1">
      <alignment horizontal="center" vertical="center"/>
    </xf>
    <xf numFmtId="0" fontId="40" fillId="5" borderId="3" xfId="0" applyFont="1" applyFill="1" applyBorder="1" applyAlignment="1">
      <alignment vertical="center"/>
    </xf>
    <xf numFmtId="1" fontId="40" fillId="5" borderId="14" xfId="0" applyNumberFormat="1" applyFont="1" applyFill="1" applyBorder="1" applyAlignment="1">
      <alignment horizontal="center" vertical="center"/>
    </xf>
    <xf numFmtId="2" fontId="49" fillId="0" borderId="10" xfId="1" applyNumberFormat="1" applyFont="1" applyBorder="1" applyAlignment="1">
      <alignment horizontal="center" vertical="center" textRotation="90" wrapText="1"/>
    </xf>
    <xf numFmtId="2" fontId="49" fillId="0" borderId="1" xfId="0" applyNumberFormat="1" applyFont="1" applyBorder="1" applyAlignment="1">
      <alignment horizontal="center" vertical="center" textRotation="90" wrapText="1"/>
    </xf>
    <xf numFmtId="0" fontId="49" fillId="0" borderId="1" xfId="0" applyFont="1" applyBorder="1" applyAlignment="1">
      <alignment horizontal="center" vertical="center" textRotation="90" wrapText="1"/>
    </xf>
    <xf numFmtId="0" fontId="49" fillId="0" borderId="6" xfId="0" applyFont="1" applyBorder="1" applyAlignment="1">
      <alignment horizontal="center" vertical="center" textRotation="90" wrapText="1"/>
    </xf>
    <xf numFmtId="0" fontId="40" fillId="6" borderId="1" xfId="0" applyFont="1" applyFill="1" applyBorder="1" applyAlignment="1">
      <alignment horizontal="center" vertical="center"/>
    </xf>
    <xf numFmtId="165" fontId="40" fillId="3" borderId="17" xfId="0" applyNumberFormat="1" applyFont="1" applyFill="1" applyBorder="1" applyAlignment="1">
      <alignment horizontal="center" vertical="center"/>
    </xf>
    <xf numFmtId="165" fontId="40" fillId="3" borderId="45" xfId="0" applyNumberFormat="1" applyFont="1" applyFill="1" applyBorder="1" applyAlignment="1">
      <alignment horizontal="center" vertical="center"/>
    </xf>
    <xf numFmtId="165" fontId="40" fillId="3" borderId="46" xfId="0" applyNumberFormat="1" applyFont="1" applyFill="1" applyBorder="1" applyAlignment="1">
      <alignment horizontal="center" vertical="center"/>
    </xf>
    <xf numFmtId="165" fontId="40" fillId="3" borderId="47" xfId="0" applyNumberFormat="1" applyFont="1" applyFill="1" applyBorder="1" applyAlignment="1">
      <alignment horizontal="center" vertical="center"/>
    </xf>
    <xf numFmtId="0" fontId="41" fillId="5" borderId="18" xfId="0" applyFont="1" applyFill="1" applyBorder="1" applyAlignment="1">
      <alignment horizontal="center" vertical="center"/>
    </xf>
    <xf numFmtId="2" fontId="42" fillId="0" borderId="16" xfId="1" applyNumberFormat="1" applyFont="1" applyBorder="1" applyAlignment="1">
      <alignment horizontal="center" vertical="center" wrapText="1"/>
    </xf>
    <xf numFmtId="2" fontId="40" fillId="0" borderId="29" xfId="0" applyNumberFormat="1" applyFont="1" applyBorder="1" applyAlignment="1">
      <alignment horizontal="center" vertical="center"/>
    </xf>
    <xf numFmtId="0" fontId="41" fillId="7" borderId="21" xfId="0" applyFont="1" applyFill="1" applyBorder="1" applyAlignment="1">
      <alignment horizontal="center" vertical="center"/>
    </xf>
    <xf numFmtId="0" fontId="40" fillId="7" borderId="1" xfId="1" applyFont="1" applyFill="1" applyBorder="1" applyAlignment="1">
      <alignment horizontal="center" vertical="center" wrapText="1"/>
    </xf>
    <xf numFmtId="2" fontId="40" fillId="7" borderId="1" xfId="0" applyNumberFormat="1" applyFont="1" applyFill="1" applyBorder="1" applyAlignment="1">
      <alignment horizontal="center" vertical="center" wrapText="1"/>
    </xf>
    <xf numFmtId="1" fontId="40" fillId="7" borderId="1" xfId="0" applyNumberFormat="1" applyFont="1" applyFill="1" applyBorder="1" applyAlignment="1">
      <alignment horizontal="center" vertical="center"/>
    </xf>
    <xf numFmtId="0" fontId="40" fillId="7" borderId="1" xfId="0" applyFont="1" applyFill="1" applyBorder="1" applyAlignment="1">
      <alignment horizontal="center" vertical="center"/>
    </xf>
    <xf numFmtId="2" fontId="40" fillId="7" borderId="1" xfId="0" applyNumberFormat="1" applyFont="1" applyFill="1" applyBorder="1" applyAlignment="1">
      <alignment horizontal="center" vertical="center"/>
    </xf>
    <xf numFmtId="0" fontId="41" fillId="7" borderId="35" xfId="0" applyFont="1" applyFill="1" applyBorder="1" applyAlignment="1">
      <alignment horizontal="center" vertical="center"/>
    </xf>
    <xf numFmtId="0" fontId="43" fillId="7" borderId="30" xfId="1" applyFont="1" applyFill="1" applyBorder="1" applyAlignment="1">
      <alignment horizontal="center" vertical="center" wrapText="1"/>
    </xf>
    <xf numFmtId="0" fontId="40" fillId="7" borderId="31" xfId="1" applyFont="1" applyFill="1" applyBorder="1" applyAlignment="1">
      <alignment horizontal="center" vertical="center" wrapText="1"/>
    </xf>
    <xf numFmtId="0" fontId="40" fillId="7" borderId="31" xfId="0" applyFont="1" applyFill="1" applyBorder="1" applyAlignment="1">
      <alignment horizontal="center" vertical="center"/>
    </xf>
    <xf numFmtId="0" fontId="40" fillId="7" borderId="32" xfId="0" applyFont="1" applyFill="1" applyBorder="1" applyAlignment="1">
      <alignment horizontal="center" vertical="center"/>
    </xf>
    <xf numFmtId="2" fontId="42" fillId="7" borderId="19" xfId="1" applyNumberFormat="1" applyFont="1" applyFill="1" applyBorder="1" applyAlignment="1">
      <alignment horizontal="center" vertical="center" wrapText="1"/>
    </xf>
    <xf numFmtId="2" fontId="42" fillId="7" borderId="31" xfId="0" applyNumberFormat="1" applyFont="1" applyFill="1" applyBorder="1" applyAlignment="1">
      <alignment horizontal="center" vertical="center"/>
    </xf>
    <xf numFmtId="0" fontId="42" fillId="7" borderId="31" xfId="0" applyFont="1" applyFill="1" applyBorder="1" applyAlignment="1">
      <alignment horizontal="center" vertical="center"/>
    </xf>
    <xf numFmtId="0" fontId="42" fillId="7" borderId="32" xfId="0" applyFont="1" applyFill="1" applyBorder="1" applyAlignment="1">
      <alignment horizontal="center" vertical="center"/>
    </xf>
    <xf numFmtId="2" fontId="40" fillId="7" borderId="24" xfId="0" applyNumberFormat="1" applyFont="1" applyFill="1" applyBorder="1" applyAlignment="1">
      <alignment horizontal="center" vertical="center"/>
    </xf>
    <xf numFmtId="2" fontId="40" fillId="7" borderId="33" xfId="0" applyNumberFormat="1" applyFont="1" applyFill="1" applyBorder="1" applyAlignment="1">
      <alignment horizontal="center" vertical="center" wrapText="1"/>
    </xf>
    <xf numFmtId="2" fontId="40" fillId="7" borderId="33" xfId="0" applyNumberFormat="1" applyFont="1" applyFill="1" applyBorder="1" applyAlignment="1">
      <alignment horizontal="center" vertical="center"/>
    </xf>
    <xf numFmtId="1" fontId="40" fillId="7" borderId="33" xfId="0" applyNumberFormat="1" applyFont="1" applyFill="1" applyBorder="1" applyAlignment="1">
      <alignment horizontal="center" vertical="center"/>
    </xf>
    <xf numFmtId="2" fontId="40" fillId="7" borderId="31" xfId="0" applyNumberFormat="1" applyFont="1" applyFill="1" applyBorder="1" applyAlignment="1">
      <alignment horizontal="center" vertical="center"/>
    </xf>
    <xf numFmtId="0" fontId="41" fillId="7" borderId="26" xfId="0" applyFont="1" applyFill="1" applyBorder="1" applyAlignment="1">
      <alignment horizontal="center" vertical="center"/>
    </xf>
    <xf numFmtId="0" fontId="40" fillId="7" borderId="26" xfId="1" applyFont="1" applyFill="1" applyBorder="1" applyAlignment="1">
      <alignment horizontal="center" vertical="center" wrapText="1"/>
    </xf>
    <xf numFmtId="0" fontId="43" fillId="7" borderId="5" xfId="1" applyFont="1" applyFill="1" applyBorder="1" applyAlignment="1">
      <alignment horizontal="center" vertical="center" wrapText="1"/>
    </xf>
    <xf numFmtId="0" fontId="40" fillId="7" borderId="3" xfId="1" applyFont="1" applyFill="1" applyBorder="1" applyAlignment="1">
      <alignment horizontal="center" vertical="center" wrapText="1"/>
    </xf>
    <xf numFmtId="0" fontId="40" fillId="7" borderId="3" xfId="0" applyFont="1" applyFill="1" applyBorder="1" applyAlignment="1">
      <alignment horizontal="center" vertical="center"/>
    </xf>
    <xf numFmtId="0" fontId="40" fillId="7" borderId="14" xfId="0" applyFont="1" applyFill="1" applyBorder="1" applyAlignment="1">
      <alignment horizontal="center" vertical="center"/>
    </xf>
    <xf numFmtId="2" fontId="42" fillId="7" borderId="11" xfId="1" applyNumberFormat="1" applyFont="1" applyFill="1" applyBorder="1" applyAlignment="1">
      <alignment horizontal="center" vertical="center" wrapText="1"/>
    </xf>
    <xf numFmtId="2" fontId="42" fillId="7" borderId="3" xfId="0" applyNumberFormat="1" applyFont="1" applyFill="1" applyBorder="1" applyAlignment="1">
      <alignment horizontal="center" vertical="center"/>
    </xf>
    <xf numFmtId="0" fontId="42" fillId="7" borderId="3" xfId="0" applyFont="1" applyFill="1" applyBorder="1" applyAlignment="1">
      <alignment horizontal="center" vertical="center"/>
    </xf>
    <xf numFmtId="0" fontId="42" fillId="7" borderId="14" xfId="0" applyFont="1" applyFill="1" applyBorder="1" applyAlignment="1">
      <alignment horizontal="center" vertical="center"/>
    </xf>
    <xf numFmtId="2" fontId="40" fillId="7" borderId="11" xfId="0" applyNumberFormat="1" applyFont="1" applyFill="1" applyBorder="1" applyAlignment="1">
      <alignment horizontal="center" vertical="center"/>
    </xf>
    <xf numFmtId="2" fontId="40" fillId="7" borderId="3" xfId="0" applyNumberFormat="1" applyFont="1" applyFill="1" applyBorder="1" applyAlignment="1">
      <alignment horizontal="center" vertical="center" wrapText="1"/>
    </xf>
    <xf numFmtId="2" fontId="40" fillId="7" borderId="3" xfId="0" applyNumberFormat="1" applyFont="1" applyFill="1" applyBorder="1" applyAlignment="1">
      <alignment horizontal="center" vertical="center"/>
    </xf>
    <xf numFmtId="1" fontId="40" fillId="7" borderId="3" xfId="0" applyNumberFormat="1" applyFont="1" applyFill="1" applyBorder="1" applyAlignment="1">
      <alignment horizontal="center" vertical="center"/>
    </xf>
    <xf numFmtId="1" fontId="40" fillId="7" borderId="2" xfId="0" applyNumberFormat="1" applyFont="1" applyFill="1" applyBorder="1" applyAlignment="1">
      <alignment horizontal="center" vertical="center"/>
    </xf>
    <xf numFmtId="1" fontId="40" fillId="7" borderId="30" xfId="0" applyNumberFormat="1" applyFont="1" applyFill="1" applyBorder="1" applyAlignment="1">
      <alignment horizontal="center" vertical="center"/>
    </xf>
    <xf numFmtId="1" fontId="40" fillId="7" borderId="31" xfId="0" applyNumberFormat="1" applyFont="1" applyFill="1" applyBorder="1" applyAlignment="1">
      <alignment horizontal="center" vertical="center"/>
    </xf>
    <xf numFmtId="1" fontId="40" fillId="7" borderId="20" xfId="0" applyNumberFormat="1" applyFont="1" applyFill="1" applyBorder="1" applyAlignment="1">
      <alignment horizontal="center" vertical="center"/>
    </xf>
    <xf numFmtId="1" fontId="40" fillId="7" borderId="5" xfId="0" applyNumberFormat="1" applyFont="1" applyFill="1" applyBorder="1" applyAlignment="1">
      <alignment horizontal="center" vertical="center"/>
    </xf>
    <xf numFmtId="1" fontId="40" fillId="7" borderId="7" xfId="0" applyNumberFormat="1" applyFont="1" applyFill="1" applyBorder="1" applyAlignment="1">
      <alignment horizontal="center" vertical="center"/>
    </xf>
    <xf numFmtId="1" fontId="40" fillId="7" borderId="13" xfId="0" applyNumberFormat="1" applyFont="1" applyFill="1" applyBorder="1" applyAlignment="1">
      <alignment horizontal="center" vertical="center"/>
    </xf>
    <xf numFmtId="0" fontId="41" fillId="7" borderId="40" xfId="0" applyFont="1" applyFill="1" applyBorder="1" applyAlignment="1">
      <alignment horizontal="center" vertical="center"/>
    </xf>
    <xf numFmtId="0" fontId="40" fillId="7" borderId="37" xfId="1" applyFont="1" applyFill="1" applyBorder="1" applyAlignment="1">
      <alignment horizontal="center" vertical="center" wrapText="1"/>
    </xf>
    <xf numFmtId="0" fontId="40" fillId="7" borderId="30" xfId="1" applyFont="1" applyFill="1" applyBorder="1" applyAlignment="1">
      <alignment horizontal="center" vertical="center" wrapText="1"/>
    </xf>
    <xf numFmtId="2" fontId="40" fillId="7" borderId="19" xfId="1" applyNumberFormat="1" applyFont="1" applyFill="1" applyBorder="1" applyAlignment="1">
      <alignment horizontal="center" vertical="center" wrapText="1"/>
    </xf>
    <xf numFmtId="0" fontId="40" fillId="7" borderId="20" xfId="0" applyFont="1" applyFill="1" applyBorder="1" applyAlignment="1">
      <alignment horizontal="center" vertical="center"/>
    </xf>
    <xf numFmtId="2" fontId="40" fillId="7" borderId="31" xfId="0" applyNumberFormat="1" applyFont="1" applyFill="1" applyBorder="1" applyAlignment="1">
      <alignment horizontal="center" vertical="center" wrapText="1"/>
    </xf>
    <xf numFmtId="0" fontId="41" fillId="7" borderId="41" xfId="0" applyFont="1" applyFill="1" applyBorder="1" applyAlignment="1">
      <alignment horizontal="center" vertical="center"/>
    </xf>
    <xf numFmtId="0" fontId="40" fillId="7" borderId="22" xfId="1" applyFont="1" applyFill="1" applyBorder="1" applyAlignment="1">
      <alignment horizontal="center" vertical="center" wrapText="1"/>
    </xf>
    <xf numFmtId="0" fontId="40" fillId="7" borderId="4" xfId="1" applyFont="1" applyFill="1" applyBorder="1" applyAlignment="1">
      <alignment horizontal="center" vertical="center" wrapText="1"/>
    </xf>
    <xf numFmtId="0" fontId="40" fillId="7" borderId="8" xfId="0" applyFont="1" applyFill="1" applyBorder="1" applyAlignment="1">
      <alignment horizontal="center" vertical="center"/>
    </xf>
    <xf numFmtId="2" fontId="40" fillId="7" borderId="10" xfId="1" applyNumberFormat="1" applyFont="1" applyFill="1" applyBorder="1" applyAlignment="1">
      <alignment horizontal="center" vertical="center" wrapText="1"/>
    </xf>
    <xf numFmtId="2" fontId="42" fillId="7" borderId="1" xfId="0" applyNumberFormat="1" applyFont="1" applyFill="1" applyBorder="1" applyAlignment="1">
      <alignment horizontal="center" vertical="center"/>
    </xf>
    <xf numFmtId="0" fontId="40" fillId="7" borderId="6" xfId="0" applyFont="1" applyFill="1" applyBorder="1" applyAlignment="1">
      <alignment horizontal="center" vertical="center"/>
    </xf>
    <xf numFmtId="0" fontId="40" fillId="7" borderId="41" xfId="1" applyFont="1" applyFill="1" applyBorder="1" applyAlignment="1">
      <alignment horizontal="center" vertical="center" wrapText="1"/>
    </xf>
    <xf numFmtId="2" fontId="40" fillId="7" borderId="10" xfId="0" applyNumberFormat="1" applyFont="1" applyFill="1" applyBorder="1" applyAlignment="1">
      <alignment vertical="center"/>
    </xf>
    <xf numFmtId="2" fontId="42" fillId="7" borderId="1" xfId="0" applyNumberFormat="1" applyFont="1" applyFill="1" applyBorder="1" applyAlignment="1">
      <alignment vertical="center"/>
    </xf>
    <xf numFmtId="0" fontId="43" fillId="7" borderId="1" xfId="0" applyFont="1" applyFill="1" applyBorder="1" applyAlignment="1">
      <alignment horizontal="center" vertical="center"/>
    </xf>
    <xf numFmtId="2" fontId="40" fillId="7" borderId="10" xfId="0" applyNumberFormat="1" applyFont="1" applyFill="1" applyBorder="1" applyAlignment="1">
      <alignment horizontal="center" vertical="center"/>
    </xf>
    <xf numFmtId="0" fontId="40" fillId="7" borderId="1" xfId="0" applyFont="1" applyFill="1" applyBorder="1" applyAlignment="1">
      <alignment vertical="center"/>
    </xf>
    <xf numFmtId="0" fontId="41" fillId="7" borderId="44" xfId="0" applyFont="1" applyFill="1" applyBorder="1" applyAlignment="1">
      <alignment horizontal="center" vertical="center"/>
    </xf>
    <xf numFmtId="0" fontId="40" fillId="7" borderId="44" xfId="1" applyFont="1" applyFill="1" applyBorder="1" applyAlignment="1">
      <alignment horizontal="center" vertical="center" wrapText="1"/>
    </xf>
    <xf numFmtId="0" fontId="40" fillId="7" borderId="7" xfId="0" applyFont="1" applyFill="1" applyBorder="1" applyAlignment="1">
      <alignment horizontal="center" vertical="center"/>
    </xf>
    <xf numFmtId="2" fontId="40" fillId="7" borderId="11" xfId="0" applyNumberFormat="1" applyFont="1" applyFill="1" applyBorder="1" applyAlignment="1">
      <alignment vertical="center"/>
    </xf>
    <xf numFmtId="2" fontId="42" fillId="7" borderId="3" xfId="0" applyNumberFormat="1" applyFont="1" applyFill="1" applyBorder="1" applyAlignment="1">
      <alignment vertical="center"/>
    </xf>
    <xf numFmtId="0" fontId="43" fillId="7" borderId="3" xfId="0" applyFont="1" applyFill="1" applyBorder="1" applyAlignment="1">
      <alignment horizontal="center" vertical="center"/>
    </xf>
    <xf numFmtId="0" fontId="40" fillId="7" borderId="3" xfId="0" applyFont="1" applyFill="1" applyBorder="1" applyAlignment="1">
      <alignment vertical="center"/>
    </xf>
    <xf numFmtId="1" fontId="40" fillId="7" borderId="4" xfId="0" applyNumberFormat="1" applyFont="1" applyFill="1" applyBorder="1" applyAlignment="1">
      <alignment horizontal="center" vertical="center"/>
    </xf>
    <xf numFmtId="1" fontId="40" fillId="7" borderId="8" xfId="0" applyNumberFormat="1" applyFont="1" applyFill="1" applyBorder="1" applyAlignment="1">
      <alignment horizontal="center" vertical="center"/>
    </xf>
    <xf numFmtId="1" fontId="40" fillId="7" borderId="6" xfId="0" applyNumberFormat="1" applyFont="1" applyFill="1" applyBorder="1" applyAlignment="1">
      <alignment horizontal="center" vertical="center"/>
    </xf>
    <xf numFmtId="1" fontId="40" fillId="7" borderId="28" xfId="0" applyNumberFormat="1" applyFont="1" applyFill="1" applyBorder="1" applyAlignment="1">
      <alignment horizontal="center" vertical="center"/>
    </xf>
    <xf numFmtId="1" fontId="40" fillId="7" borderId="29" xfId="0" applyNumberFormat="1" applyFont="1" applyFill="1" applyBorder="1" applyAlignment="1">
      <alignment horizontal="center" vertical="center"/>
    </xf>
    <xf numFmtId="1" fontId="40" fillId="7" borderId="14" xfId="0" applyNumberFormat="1" applyFont="1" applyFill="1" applyBorder="1" applyAlignment="1">
      <alignment horizontal="center" vertical="center"/>
    </xf>
    <xf numFmtId="2" fontId="42" fillId="7" borderId="10" xfId="1" applyNumberFormat="1" applyFont="1" applyFill="1" applyBorder="1" applyAlignment="1">
      <alignment horizontal="center" vertical="center" wrapText="1"/>
    </xf>
    <xf numFmtId="1" fontId="40" fillId="7" borderId="38" xfId="0" applyNumberFormat="1" applyFont="1" applyFill="1" applyBorder="1" applyAlignment="1">
      <alignment horizontal="center" vertical="center"/>
    </xf>
    <xf numFmtId="0" fontId="42" fillId="7" borderId="19" xfId="1" applyFont="1" applyFill="1" applyBorder="1" applyAlignment="1">
      <alignment horizontal="center" vertical="center" wrapText="1"/>
    </xf>
    <xf numFmtId="0" fontId="42" fillId="7" borderId="10" xfId="1" applyFont="1" applyFill="1" applyBorder="1" applyAlignment="1">
      <alignment horizontal="center" vertical="center" wrapText="1"/>
    </xf>
    <xf numFmtId="0" fontId="42" fillId="7" borderId="11" xfId="1" applyFont="1" applyFill="1" applyBorder="1" applyAlignment="1">
      <alignment horizontal="center" vertical="center" wrapText="1"/>
    </xf>
    <xf numFmtId="0" fontId="40" fillId="0" borderId="30" xfId="1" applyFont="1" applyBorder="1" applyAlignment="1">
      <alignment horizontal="center" vertical="center" wrapText="1"/>
    </xf>
    <xf numFmtId="0" fontId="40" fillId="0" borderId="31" xfId="1" applyFont="1" applyBorder="1" applyAlignment="1">
      <alignment horizontal="center" vertical="center" wrapText="1"/>
    </xf>
    <xf numFmtId="2" fontId="42" fillId="0" borderId="19" xfId="1" applyNumberFormat="1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40" fillId="0" borderId="2" xfId="0" applyFont="1" applyBorder="1" applyAlignment="1">
      <alignment horizontal="center" vertical="center" wrapText="1"/>
    </xf>
    <xf numFmtId="0" fontId="42" fillId="0" borderId="6" xfId="1" applyFont="1" applyBorder="1" applyAlignment="1">
      <alignment horizontal="center" vertical="center" wrapText="1"/>
    </xf>
    <xf numFmtId="0" fontId="40" fillId="5" borderId="31" xfId="0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40" fillId="5" borderId="28" xfId="0" applyFont="1" applyFill="1" applyBorder="1" applyAlignment="1">
      <alignment horizontal="center" vertical="center" wrapText="1"/>
    </xf>
    <xf numFmtId="0" fontId="42" fillId="5" borderId="4" xfId="1" applyFont="1" applyFill="1" applyBorder="1" applyAlignment="1">
      <alignment horizontal="center" vertical="center" wrapText="1"/>
    </xf>
    <xf numFmtId="0" fontId="42" fillId="5" borderId="6" xfId="1" applyFont="1" applyFill="1" applyBorder="1" applyAlignment="1">
      <alignment horizontal="center" vertical="center" wrapText="1"/>
    </xf>
    <xf numFmtId="1" fontId="40" fillId="5" borderId="45" xfId="0" applyNumberFormat="1" applyFont="1" applyFill="1" applyBorder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 wrapText="1"/>
    </xf>
    <xf numFmtId="1" fontId="40" fillId="5" borderId="1" xfId="0" applyNumberFormat="1" applyFont="1" applyFill="1" applyBorder="1" applyAlignment="1">
      <alignment horizontal="center" vertical="center" wrapText="1"/>
    </xf>
    <xf numFmtId="0" fontId="42" fillId="7" borderId="20" xfId="1" applyFont="1" applyFill="1" applyBorder="1" applyAlignment="1">
      <alignment horizontal="center" vertical="center" wrapText="1"/>
    </xf>
    <xf numFmtId="0" fontId="40" fillId="7" borderId="31" xfId="0" applyFont="1" applyFill="1" applyBorder="1" applyAlignment="1">
      <alignment horizontal="center" vertical="center" wrapText="1"/>
    </xf>
    <xf numFmtId="0" fontId="43" fillId="7" borderId="27" xfId="1" applyFont="1" applyFill="1" applyBorder="1" applyAlignment="1">
      <alignment horizontal="center" vertical="center" wrapText="1"/>
    </xf>
    <xf numFmtId="0" fontId="42" fillId="7" borderId="6" xfId="1" applyFont="1" applyFill="1" applyBorder="1" applyAlignment="1">
      <alignment horizontal="center" vertical="center" wrapText="1"/>
    </xf>
    <xf numFmtId="0" fontId="40" fillId="7" borderId="1" xfId="0" applyFont="1" applyFill="1" applyBorder="1" applyAlignment="1">
      <alignment horizontal="center" vertical="center" wrapText="1"/>
    </xf>
    <xf numFmtId="0" fontId="43" fillId="7" borderId="4" xfId="1" applyFont="1" applyFill="1" applyBorder="1" applyAlignment="1">
      <alignment horizontal="center" vertical="center" wrapText="1"/>
    </xf>
    <xf numFmtId="0" fontId="42" fillId="7" borderId="7" xfId="1" applyFont="1" applyFill="1" applyBorder="1" applyAlignment="1">
      <alignment horizontal="center" vertical="center" wrapText="1"/>
    </xf>
    <xf numFmtId="0" fontId="40" fillId="7" borderId="3" xfId="0" applyFont="1" applyFill="1" applyBorder="1" applyAlignment="1">
      <alignment horizontal="center" vertical="center" wrapText="1"/>
    </xf>
    <xf numFmtId="1" fontId="40" fillId="7" borderId="19" xfId="0" applyNumberFormat="1" applyFont="1" applyFill="1" applyBorder="1" applyAlignment="1">
      <alignment horizontal="center" vertical="center"/>
    </xf>
    <xf numFmtId="1" fontId="40" fillId="7" borderId="10" xfId="0" applyNumberFormat="1" applyFont="1" applyFill="1" applyBorder="1" applyAlignment="1">
      <alignment horizontal="center" vertical="center"/>
    </xf>
    <xf numFmtId="1" fontId="40" fillId="7" borderId="47" xfId="0" applyNumberFormat="1" applyFont="1" applyFill="1" applyBorder="1" applyAlignment="1">
      <alignment horizontal="center" vertical="center"/>
    </xf>
    <xf numFmtId="0" fontId="40" fillId="5" borderId="2" xfId="0" applyFont="1" applyFill="1" applyBorder="1" applyAlignment="1">
      <alignment horizontal="center" vertical="center" wrapText="1"/>
    </xf>
    <xf numFmtId="0" fontId="42" fillId="0" borderId="20" xfId="1" applyFont="1" applyBorder="1" applyAlignment="1">
      <alignment horizontal="center" vertical="center" wrapText="1"/>
    </xf>
    <xf numFmtId="1" fontId="40" fillId="0" borderId="30" xfId="0" applyNumberFormat="1" applyFont="1" applyBorder="1" applyAlignment="1">
      <alignment horizontal="center" vertical="center"/>
    </xf>
    <xf numFmtId="0" fontId="42" fillId="0" borderId="7" xfId="1" applyFont="1" applyBorder="1" applyAlignment="1">
      <alignment horizontal="center" vertical="center" wrapText="1"/>
    </xf>
    <xf numFmtId="1" fontId="40" fillId="0" borderId="47" xfId="0" applyNumberFormat="1" applyFont="1" applyBorder="1" applyAlignment="1">
      <alignment horizontal="center" vertical="center"/>
    </xf>
    <xf numFmtId="0" fontId="40" fillId="5" borderId="3" xfId="0" applyFont="1" applyFill="1" applyBorder="1" applyAlignment="1">
      <alignment horizontal="center" vertical="center" wrapText="1"/>
    </xf>
    <xf numFmtId="1" fontId="40" fillId="5" borderId="3" xfId="0" applyNumberFormat="1" applyFont="1" applyFill="1" applyBorder="1" applyAlignment="1">
      <alignment horizontal="center" vertical="center" wrapText="1"/>
    </xf>
    <xf numFmtId="1" fontId="40" fillId="5" borderId="47" xfId="0" applyNumberFormat="1" applyFont="1" applyFill="1" applyBorder="1" applyAlignment="1">
      <alignment horizontal="center" vertical="center"/>
    </xf>
    <xf numFmtId="2" fontId="40" fillId="7" borderId="20" xfId="0" applyNumberFormat="1" applyFont="1" applyFill="1" applyBorder="1" applyAlignment="1">
      <alignment horizontal="center" vertical="center"/>
    </xf>
    <xf numFmtId="2" fontId="40" fillId="7" borderId="6" xfId="0" applyNumberFormat="1" applyFont="1" applyFill="1" applyBorder="1" applyAlignment="1">
      <alignment horizontal="center" vertical="center"/>
    </xf>
    <xf numFmtId="2" fontId="40" fillId="7" borderId="7" xfId="0" applyNumberFormat="1" applyFont="1" applyFill="1" applyBorder="1" applyAlignment="1">
      <alignment horizontal="center" vertical="center"/>
    </xf>
    <xf numFmtId="2" fontId="40" fillId="0" borderId="20" xfId="0" applyNumberFormat="1" applyFont="1" applyBorder="1" applyAlignment="1">
      <alignment horizontal="center" vertical="center"/>
    </xf>
    <xf numFmtId="2" fontId="40" fillId="0" borderId="13" xfId="0" applyNumberFormat="1" applyFont="1" applyBorder="1" applyAlignment="1">
      <alignment horizontal="center" vertical="center"/>
    </xf>
    <xf numFmtId="0" fontId="40" fillId="6" borderId="3" xfId="0" applyFont="1" applyFill="1" applyBorder="1" applyAlignment="1">
      <alignment horizontal="center" vertical="center"/>
    </xf>
    <xf numFmtId="2" fontId="40" fillId="0" borderId="7" xfId="0" applyNumberFormat="1" applyFont="1" applyBorder="1" applyAlignment="1">
      <alignment horizontal="center" vertical="center"/>
    </xf>
    <xf numFmtId="2" fontId="40" fillId="7" borderId="25" xfId="0" applyNumberFormat="1" applyFont="1" applyFill="1" applyBorder="1" applyAlignment="1">
      <alignment horizontal="center" vertical="center"/>
    </xf>
    <xf numFmtId="2" fontId="40" fillId="7" borderId="19" xfId="0" applyNumberFormat="1" applyFont="1" applyFill="1" applyBorder="1" applyAlignment="1">
      <alignment horizontal="center" vertical="center"/>
    </xf>
    <xf numFmtId="2" fontId="40" fillId="0" borderId="19" xfId="0" applyNumberFormat="1" applyFont="1" applyBorder="1" applyAlignment="1">
      <alignment horizontal="center" vertical="center"/>
    </xf>
    <xf numFmtId="2" fontId="40" fillId="0" borderId="12" xfId="0" applyNumberFormat="1" applyFont="1" applyBorder="1" applyAlignment="1">
      <alignment horizontal="center" vertical="center"/>
    </xf>
    <xf numFmtId="2" fontId="40" fillId="0" borderId="11" xfId="0" applyNumberFormat="1" applyFont="1" applyBorder="1" applyAlignment="1">
      <alignment horizontal="center" vertical="center"/>
    </xf>
    <xf numFmtId="2" fontId="40" fillId="7" borderId="23" xfId="0" applyNumberFormat="1" applyFont="1" applyFill="1" applyBorder="1" applyAlignment="1">
      <alignment horizontal="center" vertical="center"/>
    </xf>
    <xf numFmtId="2" fontId="40" fillId="0" borderId="27" xfId="0" applyNumberFormat="1" applyFont="1" applyBorder="1" applyAlignment="1">
      <alignment horizontal="center" vertical="center"/>
    </xf>
    <xf numFmtId="0" fontId="40" fillId="0" borderId="28" xfId="0" applyFont="1" applyBorder="1" applyAlignment="1">
      <alignment vertical="center"/>
    </xf>
    <xf numFmtId="2" fontId="40" fillId="5" borderId="25" xfId="0" applyNumberFormat="1" applyFont="1" applyFill="1" applyBorder="1" applyAlignment="1">
      <alignment horizontal="center" vertical="center"/>
    </xf>
    <xf numFmtId="2" fontId="40" fillId="0" borderId="12" xfId="1" applyNumberFormat="1" applyFont="1" applyBorder="1" applyAlignment="1">
      <alignment horizontal="center" vertical="center" wrapText="1"/>
    </xf>
    <xf numFmtId="1" fontId="40" fillId="0" borderId="12" xfId="0" applyNumberFormat="1" applyFont="1" applyBorder="1" applyAlignment="1">
      <alignment horizontal="center" vertical="center"/>
    </xf>
    <xf numFmtId="2" fontId="40" fillId="0" borderId="11" xfId="1" applyNumberFormat="1" applyFont="1" applyBorder="1" applyAlignment="1">
      <alignment horizontal="center" vertical="center" wrapText="1"/>
    </xf>
    <xf numFmtId="0" fontId="40" fillId="0" borderId="19" xfId="1" applyFont="1" applyBorder="1" applyAlignment="1">
      <alignment horizontal="center" vertical="center" wrapText="1"/>
    </xf>
    <xf numFmtId="0" fontId="40" fillId="0" borderId="12" xfId="1" applyFont="1" applyBorder="1" applyAlignment="1">
      <alignment horizontal="center" vertical="center" wrapText="1"/>
    </xf>
    <xf numFmtId="0" fontId="40" fillId="0" borderId="10" xfId="1" applyFont="1" applyBorder="1" applyAlignment="1">
      <alignment horizontal="center" vertical="center" wrapText="1"/>
    </xf>
    <xf numFmtId="0" fontId="40" fillId="0" borderId="11" xfId="1" applyFont="1" applyBorder="1" applyAlignment="1">
      <alignment horizontal="center" vertical="center" wrapText="1"/>
    </xf>
    <xf numFmtId="0" fontId="50" fillId="5" borderId="19" xfId="1" applyFont="1" applyFill="1" applyBorder="1" applyAlignment="1">
      <alignment horizontal="center" vertical="center" wrapText="1"/>
    </xf>
    <xf numFmtId="0" fontId="51" fillId="5" borderId="31" xfId="1" applyFont="1" applyFill="1" applyBorder="1" applyAlignment="1">
      <alignment horizontal="center" vertical="center" wrapText="1"/>
    </xf>
    <xf numFmtId="0" fontId="50" fillId="5" borderId="12" xfId="1" applyFont="1" applyFill="1" applyBorder="1" applyAlignment="1">
      <alignment horizontal="center" vertical="center" wrapText="1"/>
    </xf>
    <xf numFmtId="0" fontId="51" fillId="5" borderId="1" xfId="1" applyFont="1" applyFill="1" applyBorder="1" applyAlignment="1">
      <alignment horizontal="center" vertical="center" wrapText="1"/>
    </xf>
    <xf numFmtId="0" fontId="51" fillId="5" borderId="2" xfId="1" applyFont="1" applyFill="1" applyBorder="1" applyAlignment="1">
      <alignment horizontal="center" vertical="center" wrapText="1"/>
    </xf>
    <xf numFmtId="0" fontId="52" fillId="5" borderId="34" xfId="0" applyFont="1" applyFill="1" applyBorder="1" applyAlignment="1">
      <alignment horizontal="center" vertical="center"/>
    </xf>
    <xf numFmtId="0" fontId="50" fillId="5" borderId="2" xfId="1" applyFont="1" applyFill="1" applyBorder="1" applyAlignment="1">
      <alignment horizontal="center" vertical="center" wrapText="1"/>
    </xf>
    <xf numFmtId="2" fontId="50" fillId="5" borderId="2" xfId="0" applyNumberFormat="1" applyFont="1" applyFill="1" applyBorder="1" applyAlignment="1">
      <alignment horizontal="center" vertical="center" wrapText="1"/>
    </xf>
    <xf numFmtId="1" fontId="50" fillId="5" borderId="2" xfId="0" applyNumberFormat="1" applyFont="1" applyFill="1" applyBorder="1" applyAlignment="1">
      <alignment horizontal="center" vertical="center"/>
    </xf>
    <xf numFmtId="0" fontId="50" fillId="5" borderId="2" xfId="0" applyFont="1" applyFill="1" applyBorder="1" applyAlignment="1">
      <alignment horizontal="center" vertical="center"/>
    </xf>
    <xf numFmtId="2" fontId="50" fillId="5" borderId="2" xfId="0" applyNumberFormat="1" applyFont="1" applyFill="1" applyBorder="1" applyAlignment="1">
      <alignment horizontal="center" vertical="center"/>
    </xf>
    <xf numFmtId="165" fontId="50" fillId="3" borderId="12" xfId="0" applyNumberFormat="1" applyFont="1" applyFill="1" applyBorder="1" applyAlignment="1">
      <alignment horizontal="center" vertical="center"/>
    </xf>
    <xf numFmtId="165" fontId="50" fillId="3" borderId="13" xfId="0" applyNumberFormat="1" applyFont="1" applyFill="1" applyBorder="1" applyAlignment="1">
      <alignment horizontal="center" vertical="center"/>
    </xf>
    <xf numFmtId="1" fontId="50" fillId="5" borderId="9" xfId="0" applyNumberFormat="1" applyFont="1" applyFill="1" applyBorder="1" applyAlignment="1">
      <alignment horizontal="center" vertical="center"/>
    </xf>
    <xf numFmtId="0" fontId="52" fillId="5" borderId="26" xfId="0" applyFont="1" applyFill="1" applyBorder="1" applyAlignment="1">
      <alignment horizontal="center" vertical="center"/>
    </xf>
    <xf numFmtId="0" fontId="50" fillId="5" borderId="11" xfId="1" applyFont="1" applyFill="1" applyBorder="1" applyAlignment="1">
      <alignment horizontal="center" vertical="center" wrapText="1"/>
    </xf>
    <xf numFmtId="1" fontId="50" fillId="5" borderId="3" xfId="0" applyNumberFormat="1" applyFont="1" applyFill="1" applyBorder="1" applyAlignment="1">
      <alignment horizontal="center" vertical="center"/>
    </xf>
    <xf numFmtId="0" fontId="50" fillId="5" borderId="3" xfId="0" applyFont="1" applyFill="1" applyBorder="1" applyAlignment="1">
      <alignment horizontal="center" vertical="center"/>
    </xf>
    <xf numFmtId="2" fontId="50" fillId="5" borderId="3" xfId="0" applyNumberFormat="1" applyFont="1" applyFill="1" applyBorder="1" applyAlignment="1">
      <alignment horizontal="center" vertical="center"/>
    </xf>
    <xf numFmtId="165" fontId="40" fillId="5" borderId="19" xfId="0" applyNumberFormat="1" applyFont="1" applyFill="1" applyBorder="1" applyAlignment="1">
      <alignment horizontal="center" vertical="center"/>
    </xf>
    <xf numFmtId="165" fontId="40" fillId="5" borderId="10" xfId="0" applyNumberFormat="1" applyFont="1" applyFill="1" applyBorder="1" applyAlignment="1">
      <alignment horizontal="center" vertical="center"/>
    </xf>
    <xf numFmtId="2" fontId="50" fillId="5" borderId="13" xfId="0" applyNumberFormat="1" applyFont="1" applyFill="1" applyBorder="1" applyAlignment="1">
      <alignment horizontal="center" vertical="center"/>
    </xf>
    <xf numFmtId="2" fontId="50" fillId="5" borderId="7" xfId="0" applyNumberFormat="1" applyFont="1" applyFill="1" applyBorder="1" applyAlignment="1">
      <alignment horizontal="center" vertical="center"/>
    </xf>
    <xf numFmtId="0" fontId="41" fillId="8" borderId="34" xfId="0" applyFont="1" applyFill="1" applyBorder="1" applyAlignment="1">
      <alignment horizontal="center" vertical="center"/>
    </xf>
    <xf numFmtId="0" fontId="43" fillId="8" borderId="9" xfId="1" applyFont="1" applyFill="1" applyBorder="1" applyAlignment="1">
      <alignment horizontal="center" vertical="center" wrapText="1"/>
    </xf>
    <xf numFmtId="0" fontId="40" fillId="8" borderId="2" xfId="0" applyFont="1" applyFill="1" applyBorder="1" applyAlignment="1">
      <alignment horizontal="center" vertical="center"/>
    </xf>
    <xf numFmtId="2" fontId="42" fillId="8" borderId="12" xfId="1" applyNumberFormat="1" applyFont="1" applyFill="1" applyBorder="1" applyAlignment="1">
      <alignment horizontal="center" vertical="center" wrapText="1"/>
    </xf>
    <xf numFmtId="2" fontId="42" fillId="8" borderId="2" xfId="0" applyNumberFormat="1" applyFont="1" applyFill="1" applyBorder="1" applyAlignment="1">
      <alignment horizontal="center" vertical="center"/>
    </xf>
    <xf numFmtId="0" fontId="42" fillId="8" borderId="2" xfId="0" applyFont="1" applyFill="1" applyBorder="1" applyAlignment="1">
      <alignment horizontal="center" vertical="center"/>
    </xf>
    <xf numFmtId="0" fontId="42" fillId="8" borderId="13" xfId="0" applyFont="1" applyFill="1" applyBorder="1" applyAlignment="1">
      <alignment horizontal="center" vertical="center"/>
    </xf>
    <xf numFmtId="2" fontId="40" fillId="8" borderId="19" xfId="0" applyNumberFormat="1" applyFont="1" applyFill="1" applyBorder="1" applyAlignment="1">
      <alignment horizontal="center" vertical="center"/>
    </xf>
    <xf numFmtId="0" fontId="40" fillId="8" borderId="31" xfId="0" applyFont="1" applyFill="1" applyBorder="1" applyAlignment="1">
      <alignment horizontal="center" vertical="center"/>
    </xf>
    <xf numFmtId="2" fontId="40" fillId="8" borderId="31" xfId="0" applyNumberFormat="1" applyFont="1" applyFill="1" applyBorder="1" applyAlignment="1">
      <alignment horizontal="center" vertical="center" wrapText="1"/>
    </xf>
    <xf numFmtId="2" fontId="40" fillId="8" borderId="31" xfId="0" applyNumberFormat="1" applyFont="1" applyFill="1" applyBorder="1" applyAlignment="1">
      <alignment horizontal="center" vertical="center"/>
    </xf>
    <xf numFmtId="1" fontId="40" fillId="8" borderId="31" xfId="0" applyNumberFormat="1" applyFont="1" applyFill="1" applyBorder="1" applyAlignment="1">
      <alignment horizontal="center" vertical="center"/>
    </xf>
    <xf numFmtId="2" fontId="40" fillId="8" borderId="20" xfId="0" applyNumberFormat="1" applyFont="1" applyFill="1" applyBorder="1" applyAlignment="1">
      <alignment horizontal="center" vertical="center"/>
    </xf>
    <xf numFmtId="0" fontId="41" fillId="8" borderId="26" xfId="0" applyFont="1" applyFill="1" applyBorder="1" applyAlignment="1">
      <alignment horizontal="center" vertical="center"/>
    </xf>
    <xf numFmtId="0" fontId="40" fillId="8" borderId="26" xfId="1" applyFont="1" applyFill="1" applyBorder="1" applyAlignment="1">
      <alignment horizontal="center" vertical="center" wrapText="1"/>
    </xf>
    <xf numFmtId="0" fontId="43" fillId="8" borderId="5" xfId="1" applyFont="1" applyFill="1" applyBorder="1" applyAlignment="1">
      <alignment horizontal="center" vertical="center" wrapText="1"/>
    </xf>
    <xf numFmtId="0" fontId="40" fillId="8" borderId="3" xfId="1" applyFont="1" applyFill="1" applyBorder="1" applyAlignment="1">
      <alignment horizontal="center" vertical="center" wrapText="1"/>
    </xf>
    <xf numFmtId="0" fontId="40" fillId="8" borderId="3" xfId="0" applyFont="1" applyFill="1" applyBorder="1" applyAlignment="1">
      <alignment horizontal="center" vertical="center"/>
    </xf>
    <xf numFmtId="2" fontId="42" fillId="8" borderId="11" xfId="1" applyNumberFormat="1" applyFont="1" applyFill="1" applyBorder="1" applyAlignment="1">
      <alignment horizontal="center" vertical="center" wrapText="1"/>
    </xf>
    <xf numFmtId="2" fontId="42" fillId="8" borderId="3" xfId="0" applyNumberFormat="1" applyFont="1" applyFill="1" applyBorder="1" applyAlignment="1">
      <alignment horizontal="center" vertical="center"/>
    </xf>
    <xf numFmtId="0" fontId="42" fillId="8" borderId="3" xfId="0" applyFont="1" applyFill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2" fontId="40" fillId="8" borderId="11" xfId="0" applyNumberFormat="1" applyFont="1" applyFill="1" applyBorder="1" applyAlignment="1">
      <alignment horizontal="center" vertical="center"/>
    </xf>
    <xf numFmtId="2" fontId="40" fillId="8" borderId="3" xfId="0" applyNumberFormat="1" applyFont="1" applyFill="1" applyBorder="1" applyAlignment="1">
      <alignment horizontal="center" vertical="center" wrapText="1"/>
    </xf>
    <xf numFmtId="2" fontId="40" fillId="8" borderId="3" xfId="0" applyNumberFormat="1" applyFont="1" applyFill="1" applyBorder="1" applyAlignment="1">
      <alignment horizontal="center" vertical="center"/>
    </xf>
    <xf numFmtId="1" fontId="40" fillId="8" borderId="3" xfId="0" applyNumberFormat="1" applyFont="1" applyFill="1" applyBorder="1" applyAlignment="1">
      <alignment horizontal="center" vertical="center"/>
    </xf>
    <xf numFmtId="2" fontId="40" fillId="8" borderId="7" xfId="0" applyNumberFormat="1" applyFont="1" applyFill="1" applyBorder="1" applyAlignment="1">
      <alignment horizontal="center" vertical="center"/>
    </xf>
    <xf numFmtId="1" fontId="40" fillId="8" borderId="9" xfId="0" applyNumberFormat="1" applyFont="1" applyFill="1" applyBorder="1" applyAlignment="1">
      <alignment horizontal="center" vertical="center"/>
    </xf>
    <xf numFmtId="1" fontId="40" fillId="8" borderId="2" xfId="0" applyNumberFormat="1" applyFont="1" applyFill="1" applyBorder="1" applyAlignment="1">
      <alignment horizontal="center" vertical="center"/>
    </xf>
    <xf numFmtId="1" fontId="40" fillId="8" borderId="13" xfId="0" applyNumberFormat="1" applyFont="1" applyFill="1" applyBorder="1" applyAlignment="1">
      <alignment horizontal="center" vertical="center"/>
    </xf>
    <xf numFmtId="1" fontId="40" fillId="8" borderId="5" xfId="0" applyNumberFormat="1" applyFont="1" applyFill="1" applyBorder="1" applyAlignment="1">
      <alignment horizontal="center" vertical="center"/>
    </xf>
    <xf numFmtId="1" fontId="40" fillId="8" borderId="7" xfId="0" applyNumberFormat="1" applyFont="1" applyFill="1" applyBorder="1" applyAlignment="1">
      <alignment horizontal="center" vertical="center"/>
    </xf>
    <xf numFmtId="1" fontId="40" fillId="0" borderId="16" xfId="0" applyNumberFormat="1" applyFont="1" applyBorder="1" applyAlignment="1">
      <alignment horizontal="center" vertical="center"/>
    </xf>
    <xf numFmtId="0" fontId="40" fillId="5" borderId="19" xfId="1" applyFont="1" applyFill="1" applyBorder="1" applyAlignment="1">
      <alignment horizontal="center" vertical="center" wrapText="1"/>
    </xf>
    <xf numFmtId="0" fontId="40" fillId="5" borderId="10" xfId="1" applyFont="1" applyFill="1" applyBorder="1" applyAlignment="1">
      <alignment horizontal="center" vertical="center" wrapText="1"/>
    </xf>
    <xf numFmtId="0" fontId="40" fillId="5" borderId="16" xfId="1" applyFont="1" applyFill="1" applyBorder="1" applyAlignment="1">
      <alignment horizontal="center" vertical="center" wrapText="1"/>
    </xf>
    <xf numFmtId="0" fontId="40" fillId="5" borderId="11" xfId="1" applyFont="1" applyFill="1" applyBorder="1" applyAlignment="1">
      <alignment horizontal="center" vertical="center" wrapText="1"/>
    </xf>
    <xf numFmtId="0" fontId="40" fillId="7" borderId="19" xfId="1" applyFont="1" applyFill="1" applyBorder="1" applyAlignment="1">
      <alignment horizontal="center" vertical="center" wrapText="1"/>
    </xf>
    <xf numFmtId="0" fontId="40" fillId="7" borderId="10" xfId="1" applyFont="1" applyFill="1" applyBorder="1" applyAlignment="1">
      <alignment horizontal="center" vertical="center" wrapText="1"/>
    </xf>
    <xf numFmtId="0" fontId="40" fillId="7" borderId="11" xfId="1" applyFont="1" applyFill="1" applyBorder="1" applyAlignment="1">
      <alignment horizontal="center" vertical="center" wrapText="1"/>
    </xf>
    <xf numFmtId="2" fontId="49" fillId="0" borderId="41" xfId="1" applyNumberFormat="1" applyFont="1" applyBorder="1" applyAlignment="1">
      <alignment horizontal="center" vertical="center" textRotation="90" wrapText="1"/>
    </xf>
    <xf numFmtId="2" fontId="49" fillId="0" borderId="1" xfId="1" applyNumberFormat="1" applyFont="1" applyBorder="1" applyAlignment="1">
      <alignment horizontal="center" vertical="center" textRotation="90" wrapText="1"/>
    </xf>
    <xf numFmtId="0" fontId="41" fillId="3" borderId="16" xfId="0" applyFont="1" applyFill="1" applyBorder="1" applyAlignment="1">
      <alignment horizontal="center" vertical="center" wrapText="1"/>
    </xf>
    <xf numFmtId="0" fontId="41" fillId="3" borderId="23" xfId="0" applyFont="1" applyFill="1" applyBorder="1" applyAlignment="1">
      <alignment horizontal="center" vertical="center" wrapText="1"/>
    </xf>
    <xf numFmtId="165" fontId="40" fillId="0" borderId="2" xfId="0" applyNumberFormat="1" applyFont="1" applyBorder="1" applyAlignment="1">
      <alignment horizontal="center" vertical="center"/>
    </xf>
    <xf numFmtId="165" fontId="40" fillId="0" borderId="15" xfId="0" applyNumberFormat="1" applyFont="1" applyBorder="1" applyAlignment="1">
      <alignment horizontal="center" vertical="center"/>
    </xf>
    <xf numFmtId="165" fontId="40" fillId="3" borderId="40" xfId="0" applyNumberFormat="1" applyFont="1" applyFill="1" applyBorder="1" applyAlignment="1">
      <alignment horizontal="center" vertical="center"/>
    </xf>
    <xf numFmtId="1" fontId="40" fillId="0" borderId="48" xfId="0" applyNumberFormat="1" applyFont="1" applyBorder="1" applyAlignment="1">
      <alignment horizontal="center" vertical="center"/>
    </xf>
    <xf numFmtId="1" fontId="40" fillId="0" borderId="49" xfId="0" applyNumberFormat="1" applyFont="1" applyBorder="1" applyAlignment="1">
      <alignment horizontal="center" vertical="center"/>
    </xf>
    <xf numFmtId="165" fontId="40" fillId="0" borderId="9" xfId="0" applyNumberFormat="1" applyFont="1" applyBorder="1" applyAlignment="1">
      <alignment horizontal="center" vertical="center"/>
    </xf>
    <xf numFmtId="165" fontId="40" fillId="0" borderId="28" xfId="0" applyNumberFormat="1" applyFont="1" applyBorder="1" applyAlignment="1">
      <alignment horizontal="center" vertical="center"/>
    </xf>
    <xf numFmtId="165" fontId="40" fillId="0" borderId="29" xfId="0" applyNumberFormat="1" applyFont="1" applyBorder="1" applyAlignment="1">
      <alignment horizontal="center" vertical="center"/>
    </xf>
    <xf numFmtId="2" fontId="42" fillId="0" borderId="28" xfId="0" applyNumberFormat="1" applyFont="1" applyBorder="1" applyAlignment="1">
      <alignment horizontal="center" vertical="center"/>
    </xf>
    <xf numFmtId="0" fontId="42" fillId="0" borderId="28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165" fontId="40" fillId="0" borderId="50" xfId="0" applyNumberFormat="1" applyFont="1" applyBorder="1" applyAlignment="1">
      <alignment horizontal="center" vertical="center"/>
    </xf>
    <xf numFmtId="165" fontId="40" fillId="0" borderId="51" xfId="0" applyNumberFormat="1" applyFont="1" applyBorder="1" applyAlignment="1">
      <alignment horizontal="center" vertical="center"/>
    </xf>
    <xf numFmtId="1" fontId="40" fillId="0" borderId="46" xfId="0" applyNumberFormat="1" applyFont="1" applyBorder="1" applyAlignment="1">
      <alignment horizontal="center" vertical="center"/>
    </xf>
    <xf numFmtId="1" fontId="40" fillId="0" borderId="52" xfId="0" applyNumberFormat="1" applyFont="1" applyBorder="1" applyAlignment="1">
      <alignment horizontal="center" vertical="center"/>
    </xf>
    <xf numFmtId="165" fontId="40" fillId="5" borderId="31" xfId="0" applyNumberFormat="1" applyFont="1" applyFill="1" applyBorder="1" applyAlignment="1">
      <alignment horizontal="center" vertical="center"/>
    </xf>
    <xf numFmtId="165" fontId="40" fillId="5" borderId="32" xfId="0" applyNumberFormat="1" applyFont="1" applyFill="1" applyBorder="1" applyAlignment="1">
      <alignment horizontal="center" vertical="center"/>
    </xf>
    <xf numFmtId="165" fontId="40" fillId="5" borderId="30" xfId="0" applyNumberFormat="1" applyFont="1" applyFill="1" applyBorder="1" applyAlignment="1">
      <alignment horizontal="center" vertical="center"/>
    </xf>
    <xf numFmtId="165" fontId="40" fillId="3" borderId="32" xfId="0" applyNumberFormat="1" applyFont="1" applyFill="1" applyBorder="1" applyAlignment="1">
      <alignment horizontal="center" vertical="center"/>
    </xf>
    <xf numFmtId="165" fontId="40" fillId="5" borderId="8" xfId="0" applyNumberFormat="1" applyFont="1" applyFill="1" applyBorder="1" applyAlignment="1">
      <alignment horizontal="center" vertical="center"/>
    </xf>
    <xf numFmtId="165" fontId="40" fillId="5" borderId="9" xfId="0" applyNumberFormat="1" applyFont="1" applyFill="1" applyBorder="1" applyAlignment="1">
      <alignment horizontal="center" vertical="center"/>
    </xf>
    <xf numFmtId="165" fontId="40" fillId="5" borderId="15" xfId="0" applyNumberFormat="1" applyFont="1" applyFill="1" applyBorder="1" applyAlignment="1">
      <alignment horizontal="center" vertical="center"/>
    </xf>
    <xf numFmtId="165" fontId="40" fillId="3" borderId="8" xfId="0" applyNumberFormat="1" applyFont="1" applyFill="1" applyBorder="1" applyAlignment="1">
      <alignment horizontal="center" vertical="center"/>
    </xf>
    <xf numFmtId="165" fontId="40" fillId="5" borderId="3" xfId="0" applyNumberFormat="1" applyFont="1" applyFill="1" applyBorder="1" applyAlignment="1">
      <alignment horizontal="center" vertical="center"/>
    </xf>
    <xf numFmtId="165" fontId="40" fillId="5" borderId="14" xfId="0" applyNumberFormat="1" applyFont="1" applyFill="1" applyBorder="1" applyAlignment="1">
      <alignment horizontal="center" vertical="center"/>
    </xf>
    <xf numFmtId="165" fontId="40" fillId="5" borderId="53" xfId="0" applyNumberFormat="1" applyFont="1" applyFill="1" applyBorder="1" applyAlignment="1">
      <alignment horizontal="center" vertical="center"/>
    </xf>
    <xf numFmtId="165" fontId="40" fillId="5" borderId="54" xfId="0" applyNumberFormat="1" applyFont="1" applyFill="1" applyBorder="1" applyAlignment="1">
      <alignment horizontal="center" vertical="center"/>
    </xf>
    <xf numFmtId="165" fontId="40" fillId="3" borderId="14" xfId="0" applyNumberFormat="1" applyFont="1" applyFill="1" applyBorder="1" applyAlignment="1">
      <alignment horizontal="center" vertical="center"/>
    </xf>
    <xf numFmtId="0" fontId="42" fillId="5" borderId="30" xfId="1" applyFont="1" applyFill="1" applyBorder="1" applyAlignment="1">
      <alignment horizontal="center" vertical="center" wrapText="1"/>
    </xf>
    <xf numFmtId="0" fontId="42" fillId="5" borderId="9" xfId="1" applyFont="1" applyFill="1" applyBorder="1" applyAlignment="1">
      <alignment horizontal="center" vertical="center" wrapText="1"/>
    </xf>
    <xf numFmtId="0" fontId="42" fillId="5" borderId="53" xfId="1" applyFont="1" applyFill="1" applyBorder="1" applyAlignment="1">
      <alignment horizontal="center" vertical="center" wrapText="1"/>
    </xf>
    <xf numFmtId="0" fontId="40" fillId="5" borderId="21" xfId="1" applyFont="1" applyFill="1" applyBorder="1" applyAlignment="1">
      <alignment horizontal="center" vertical="center" wrapText="1"/>
    </xf>
    <xf numFmtId="0" fontId="40" fillId="5" borderId="34" xfId="1" applyFont="1" applyFill="1" applyBorder="1" applyAlignment="1">
      <alignment horizontal="center" vertical="center" wrapText="1"/>
    </xf>
    <xf numFmtId="0" fontId="40" fillId="0" borderId="21" xfId="1" applyFont="1" applyBorder="1" applyAlignment="1">
      <alignment horizontal="center" vertical="center" wrapText="1"/>
    </xf>
    <xf numFmtId="0" fontId="40" fillId="0" borderId="34" xfId="1" applyFont="1" applyBorder="1" applyAlignment="1">
      <alignment horizontal="center" vertical="center" wrapText="1"/>
    </xf>
    <xf numFmtId="14" fontId="44" fillId="0" borderId="0" xfId="0" applyNumberFormat="1" applyFont="1" applyAlignment="1">
      <alignment horizontal="left" vertical="center"/>
    </xf>
    <xf numFmtId="0" fontId="40" fillId="7" borderId="21" xfId="1" applyFont="1" applyFill="1" applyBorder="1" applyAlignment="1">
      <alignment horizontal="center" vertical="center" wrapText="1"/>
    </xf>
    <xf numFmtId="0" fontId="40" fillId="7" borderId="34" xfId="1" applyFont="1" applyFill="1" applyBorder="1" applyAlignment="1">
      <alignment horizontal="center" vertical="center" wrapText="1"/>
    </xf>
    <xf numFmtId="0" fontId="40" fillId="5" borderId="28" xfId="1" applyFont="1" applyFill="1" applyBorder="1" applyAlignment="1">
      <alignment horizontal="center" vertical="center" wrapText="1"/>
    </xf>
    <xf numFmtId="0" fontId="40" fillId="0" borderId="28" xfId="1" applyFont="1" applyBorder="1" applyAlignment="1">
      <alignment horizontal="center" vertical="center" wrapText="1"/>
    </xf>
    <xf numFmtId="0" fontId="40" fillId="0" borderId="2" xfId="1" applyFont="1" applyBorder="1" applyAlignment="1">
      <alignment horizontal="center" vertical="center" wrapText="1"/>
    </xf>
    <xf numFmtId="0" fontId="40" fillId="5" borderId="2" xfId="1" applyFont="1" applyFill="1" applyBorder="1" applyAlignment="1">
      <alignment horizontal="center" vertical="center" wrapText="1"/>
    </xf>
    <xf numFmtId="2" fontId="41" fillId="0" borderId="5" xfId="1" applyNumberFormat="1" applyFont="1" applyBorder="1" applyAlignment="1">
      <alignment horizontal="center" vertical="center" wrapText="1"/>
    </xf>
    <xf numFmtId="0" fontId="41" fillId="0" borderId="35" xfId="0" applyFont="1" applyBorder="1" applyAlignment="1">
      <alignment horizontal="center" vertical="center"/>
    </xf>
    <xf numFmtId="2" fontId="42" fillId="0" borderId="9" xfId="1" applyNumberFormat="1" applyFont="1" applyBorder="1" applyAlignment="1">
      <alignment horizontal="center" vertical="center" wrapText="1"/>
    </xf>
    <xf numFmtId="2" fontId="42" fillId="0" borderId="4" xfId="1" applyNumberFormat="1" applyFont="1" applyBorder="1" applyAlignment="1">
      <alignment horizontal="center" vertical="center" wrapText="1"/>
    </xf>
    <xf numFmtId="2" fontId="42" fillId="0" borderId="27" xfId="1" applyNumberFormat="1" applyFont="1" applyBorder="1" applyAlignment="1">
      <alignment horizontal="center" vertical="center" wrapText="1"/>
    </xf>
    <xf numFmtId="1" fontId="40" fillId="0" borderId="17" xfId="0" applyNumberFormat="1" applyFont="1" applyBorder="1" applyAlignment="1">
      <alignment horizontal="center" vertical="center"/>
    </xf>
    <xf numFmtId="1" fontId="40" fillId="0" borderId="55" xfId="0" applyNumberFormat="1" applyFont="1" applyBorder="1" applyAlignment="1">
      <alignment horizontal="center" vertical="center"/>
    </xf>
    <xf numFmtId="2" fontId="42" fillId="5" borderId="30" xfId="1" applyNumberFormat="1" applyFont="1" applyFill="1" applyBorder="1" applyAlignment="1">
      <alignment horizontal="center" vertical="center" wrapText="1"/>
    </xf>
    <xf numFmtId="1" fontId="40" fillId="5" borderId="48" xfId="0" applyNumberFormat="1" applyFont="1" applyFill="1" applyBorder="1" applyAlignment="1">
      <alignment horizontal="center" vertical="center"/>
    </xf>
    <xf numFmtId="2" fontId="42" fillId="5" borderId="4" xfId="1" applyNumberFormat="1" applyFont="1" applyFill="1" applyBorder="1" applyAlignment="1">
      <alignment horizontal="center" vertical="center" wrapText="1"/>
    </xf>
    <xf numFmtId="1" fontId="40" fillId="5" borderId="49" xfId="0" applyNumberFormat="1" applyFont="1" applyFill="1" applyBorder="1" applyAlignment="1">
      <alignment horizontal="center" vertical="center"/>
    </xf>
    <xf numFmtId="2" fontId="42" fillId="5" borderId="5" xfId="1" applyNumberFormat="1" applyFont="1" applyFill="1" applyBorder="1" applyAlignment="1">
      <alignment horizontal="center" vertical="center" wrapText="1"/>
    </xf>
    <xf numFmtId="1" fontId="40" fillId="5" borderId="46" xfId="0" applyNumberFormat="1" applyFont="1" applyFill="1" applyBorder="1" applyAlignment="1">
      <alignment horizontal="center" vertical="center"/>
    </xf>
    <xf numFmtId="1" fontId="40" fillId="5" borderId="52" xfId="0" applyNumberFormat="1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/>
    </xf>
    <xf numFmtId="0" fontId="40" fillId="0" borderId="37" xfId="1" applyFont="1" applyBorder="1" applyAlignment="1">
      <alignment horizontal="center" vertical="center" wrapText="1"/>
    </xf>
    <xf numFmtId="0" fontId="40" fillId="0" borderId="22" xfId="1" applyFont="1" applyBorder="1" applyAlignment="1">
      <alignment horizontal="center" vertical="center" wrapText="1"/>
    </xf>
    <xf numFmtId="0" fontId="40" fillId="5" borderId="37" xfId="1" applyFont="1" applyFill="1" applyBorder="1" applyAlignment="1">
      <alignment horizontal="center" vertical="center" wrapText="1"/>
    </xf>
    <xf numFmtId="0" fontId="40" fillId="5" borderId="22" xfId="1" applyFont="1" applyFill="1" applyBorder="1" applyAlignment="1">
      <alignment horizontal="center" vertical="center" wrapText="1"/>
    </xf>
    <xf numFmtId="0" fontId="40" fillId="5" borderId="26" xfId="1" applyFont="1" applyFill="1" applyBorder="1" applyAlignment="1">
      <alignment horizontal="center" vertical="center" wrapText="1"/>
    </xf>
    <xf numFmtId="165" fontId="40" fillId="5" borderId="48" xfId="0" applyNumberFormat="1" applyFont="1" applyFill="1" applyBorder="1" applyAlignment="1">
      <alignment horizontal="center" vertical="center"/>
    </xf>
    <xf numFmtId="165" fontId="40" fillId="5" borderId="12" xfId="0" applyNumberFormat="1" applyFont="1" applyFill="1" applyBorder="1" applyAlignment="1">
      <alignment horizontal="center" vertical="center"/>
    </xf>
    <xf numFmtId="165" fontId="40" fillId="5" borderId="49" xfId="0" applyNumberFormat="1" applyFont="1" applyFill="1" applyBorder="1" applyAlignment="1">
      <alignment horizontal="center" vertical="center"/>
    </xf>
    <xf numFmtId="165" fontId="40" fillId="5" borderId="46" xfId="0" applyNumberFormat="1" applyFont="1" applyFill="1" applyBorder="1" applyAlignment="1">
      <alignment horizontal="center" vertical="center"/>
    </xf>
    <xf numFmtId="165" fontId="40" fillId="5" borderId="52" xfId="0" applyNumberFormat="1" applyFont="1" applyFill="1" applyBorder="1" applyAlignment="1">
      <alignment horizontal="center" vertical="center"/>
    </xf>
    <xf numFmtId="165" fontId="40" fillId="5" borderId="20" xfId="0" applyNumberFormat="1" applyFont="1" applyFill="1" applyBorder="1" applyAlignment="1">
      <alignment horizontal="center" vertical="center"/>
    </xf>
    <xf numFmtId="165" fontId="40" fillId="5" borderId="7" xfId="0" applyNumberFormat="1" applyFont="1" applyFill="1" applyBorder="1" applyAlignment="1">
      <alignment horizontal="center" vertical="center"/>
    </xf>
    <xf numFmtId="0" fontId="40" fillId="0" borderId="56" xfId="1" applyFont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textRotation="90" wrapText="1"/>
    </xf>
    <xf numFmtId="0" fontId="42" fillId="0" borderId="15" xfId="0" applyFont="1" applyBorder="1" applyAlignment="1">
      <alignment horizontal="center" vertical="center"/>
    </xf>
    <xf numFmtId="0" fontId="42" fillId="0" borderId="8" xfId="0" applyFont="1" applyBorder="1" applyAlignment="1">
      <alignment horizontal="center" vertical="center"/>
    </xf>
    <xf numFmtId="0" fontId="42" fillId="5" borderId="32" xfId="0" applyFont="1" applyFill="1" applyBorder="1" applyAlignment="1">
      <alignment horizontal="center" vertical="center"/>
    </xf>
    <xf numFmtId="0" fontId="42" fillId="5" borderId="8" xfId="0" applyFont="1" applyFill="1" applyBorder="1" applyAlignment="1">
      <alignment horizontal="center" vertical="center"/>
    </xf>
    <xf numFmtId="0" fontId="42" fillId="5" borderId="14" xfId="0" applyFont="1" applyFill="1" applyBorder="1" applyAlignment="1">
      <alignment horizontal="center" vertical="center"/>
    </xf>
    <xf numFmtId="0" fontId="42" fillId="5" borderId="15" xfId="0" applyFont="1" applyFill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5" borderId="47" xfId="0" applyFont="1" applyFill="1" applyBorder="1" applyAlignment="1">
      <alignment horizontal="center" vertical="center"/>
    </xf>
    <xf numFmtId="0" fontId="41" fillId="8" borderId="40" xfId="0" applyFont="1" applyFill="1" applyBorder="1" applyAlignment="1">
      <alignment horizontal="center" vertical="center"/>
    </xf>
    <xf numFmtId="0" fontId="40" fillId="8" borderId="37" xfId="1" applyFont="1" applyFill="1" applyBorder="1" applyAlignment="1">
      <alignment horizontal="center" vertical="center" wrapText="1"/>
    </xf>
    <xf numFmtId="0" fontId="40" fillId="8" borderId="19" xfId="1" applyFont="1" applyFill="1" applyBorder="1" applyAlignment="1">
      <alignment horizontal="center" vertical="center" wrapText="1"/>
    </xf>
    <xf numFmtId="0" fontId="40" fillId="8" borderId="30" xfId="1" applyFont="1" applyFill="1" applyBorder="1" applyAlignment="1">
      <alignment horizontal="center" vertical="center" wrapText="1"/>
    </xf>
    <xf numFmtId="2" fontId="42" fillId="8" borderId="31" xfId="0" applyNumberFormat="1" applyFont="1" applyFill="1" applyBorder="1" applyAlignment="1">
      <alignment horizontal="center" vertical="center"/>
    </xf>
    <xf numFmtId="0" fontId="40" fillId="8" borderId="20" xfId="0" applyFont="1" applyFill="1" applyBorder="1" applyAlignment="1">
      <alignment horizontal="center" vertical="center"/>
    </xf>
    <xf numFmtId="2" fontId="40" fillId="8" borderId="25" xfId="0" applyNumberFormat="1" applyFont="1" applyFill="1" applyBorder="1" applyAlignment="1">
      <alignment horizontal="center" vertical="center"/>
    </xf>
    <xf numFmtId="0" fontId="41" fillId="8" borderId="41" xfId="0" applyFont="1" applyFill="1" applyBorder="1" applyAlignment="1">
      <alignment horizontal="center" vertical="center"/>
    </xf>
    <xf numFmtId="0" fontId="40" fillId="8" borderId="22" xfId="1" applyFont="1" applyFill="1" applyBorder="1" applyAlignment="1">
      <alignment horizontal="center" vertical="center" wrapText="1"/>
    </xf>
    <xf numFmtId="0" fontId="40" fillId="8" borderId="10" xfId="1" applyFont="1" applyFill="1" applyBorder="1" applyAlignment="1">
      <alignment horizontal="center" vertical="center" wrapText="1"/>
    </xf>
    <xf numFmtId="0" fontId="40" fillId="8" borderId="4" xfId="1" applyFont="1" applyFill="1" applyBorder="1" applyAlignment="1">
      <alignment horizontal="center" vertical="center" wrapText="1"/>
    </xf>
    <xf numFmtId="0" fontId="40" fillId="8" borderId="1" xfId="0" applyFont="1" applyFill="1" applyBorder="1" applyAlignment="1">
      <alignment horizontal="center" vertical="center"/>
    </xf>
    <xf numFmtId="2" fontId="42" fillId="8" borderId="1" xfId="0" applyNumberFormat="1" applyFont="1" applyFill="1" applyBorder="1" applyAlignment="1">
      <alignment horizontal="center" vertical="center"/>
    </xf>
    <xf numFmtId="0" fontId="40" fillId="8" borderId="6" xfId="0" applyFont="1" applyFill="1" applyBorder="1" applyAlignment="1">
      <alignment horizontal="center" vertical="center"/>
    </xf>
    <xf numFmtId="2" fontId="40" fillId="8" borderId="10" xfId="0" applyNumberFormat="1" applyFont="1" applyFill="1" applyBorder="1" applyAlignment="1">
      <alignment horizontal="center" vertical="center"/>
    </xf>
    <xf numFmtId="2" fontId="40" fillId="8" borderId="1" xfId="0" applyNumberFormat="1" applyFont="1" applyFill="1" applyBorder="1" applyAlignment="1">
      <alignment horizontal="center" vertical="center" wrapText="1"/>
    </xf>
    <xf numFmtId="2" fontId="40" fillId="8" borderId="1" xfId="0" applyNumberFormat="1" applyFont="1" applyFill="1" applyBorder="1" applyAlignment="1">
      <alignment horizontal="center" vertical="center"/>
    </xf>
    <xf numFmtId="2" fontId="40" fillId="8" borderId="6" xfId="0" applyNumberFormat="1" applyFont="1" applyFill="1" applyBorder="1" applyAlignment="1">
      <alignment horizontal="center" vertical="center"/>
    </xf>
    <xf numFmtId="0" fontId="40" fillId="8" borderId="34" xfId="1" applyFont="1" applyFill="1" applyBorder="1" applyAlignment="1">
      <alignment horizontal="center" vertical="center" wrapText="1"/>
    </xf>
    <xf numFmtId="0" fontId="40" fillId="8" borderId="41" xfId="1" applyFont="1" applyFill="1" applyBorder="1" applyAlignment="1">
      <alignment horizontal="center" vertical="center" wrapText="1"/>
    </xf>
    <xf numFmtId="2" fontId="42" fillId="8" borderId="1" xfId="0" applyNumberFormat="1" applyFont="1" applyFill="1" applyBorder="1" applyAlignment="1">
      <alignment vertical="center"/>
    </xf>
    <xf numFmtId="0" fontId="43" fillId="8" borderId="1" xfId="0" applyFont="1" applyFill="1" applyBorder="1" applyAlignment="1">
      <alignment horizontal="center" vertical="center"/>
    </xf>
    <xf numFmtId="1" fontId="40" fillId="8" borderId="1" xfId="0" applyNumberFormat="1" applyFont="1" applyFill="1" applyBorder="1" applyAlignment="1">
      <alignment horizontal="center" vertical="center"/>
    </xf>
    <xf numFmtId="0" fontId="40" fillId="8" borderId="1" xfId="0" applyFont="1" applyFill="1" applyBorder="1" applyAlignment="1">
      <alignment vertical="center"/>
    </xf>
    <xf numFmtId="2" fontId="40" fillId="8" borderId="23" xfId="0" applyNumberFormat="1" applyFont="1" applyFill="1" applyBorder="1" applyAlignment="1">
      <alignment horizontal="center" vertical="center"/>
    </xf>
    <xf numFmtId="0" fontId="41" fillId="8" borderId="44" xfId="0" applyFont="1" applyFill="1" applyBorder="1" applyAlignment="1">
      <alignment horizontal="center" vertical="center"/>
    </xf>
    <xf numFmtId="0" fontId="40" fillId="8" borderId="44" xfId="1" applyFont="1" applyFill="1" applyBorder="1" applyAlignment="1">
      <alignment horizontal="center" vertical="center" wrapText="1"/>
    </xf>
    <xf numFmtId="0" fontId="40" fillId="8" borderId="11" xfId="1" applyFont="1" applyFill="1" applyBorder="1" applyAlignment="1">
      <alignment horizontal="center" vertical="center" wrapText="1"/>
    </xf>
    <xf numFmtId="0" fontId="40" fillId="8" borderId="5" xfId="1" applyFont="1" applyFill="1" applyBorder="1" applyAlignment="1">
      <alignment horizontal="center" vertical="center" wrapText="1"/>
    </xf>
    <xf numFmtId="0" fontId="40" fillId="8" borderId="7" xfId="0" applyFont="1" applyFill="1" applyBorder="1" applyAlignment="1">
      <alignment horizontal="center" vertical="center"/>
    </xf>
    <xf numFmtId="2" fontId="42" fillId="8" borderId="3" xfId="0" applyNumberFormat="1" applyFont="1" applyFill="1" applyBorder="1" applyAlignment="1">
      <alignment vertical="center"/>
    </xf>
    <xf numFmtId="0" fontId="43" fillId="8" borderId="3" xfId="0" applyFont="1" applyFill="1" applyBorder="1" applyAlignment="1">
      <alignment horizontal="center" vertical="center"/>
    </xf>
    <xf numFmtId="0" fontId="40" fillId="8" borderId="3" xfId="0" applyFont="1" applyFill="1" applyBorder="1" applyAlignment="1">
      <alignment vertical="center"/>
    </xf>
    <xf numFmtId="1" fontId="40" fillId="8" borderId="33" xfId="0" applyNumberFormat="1" applyFont="1" applyFill="1" applyBorder="1" applyAlignment="1">
      <alignment horizontal="center" vertical="center"/>
    </xf>
    <xf numFmtId="1" fontId="40" fillId="8" borderId="20" xfId="0" applyNumberFormat="1" applyFont="1" applyFill="1" applyBorder="1" applyAlignment="1">
      <alignment horizontal="center" vertical="center"/>
    </xf>
    <xf numFmtId="1" fontId="40" fillId="8" borderId="8" xfId="0" applyNumberFormat="1" applyFont="1" applyFill="1" applyBorder="1" applyAlignment="1">
      <alignment horizontal="center" vertical="center"/>
    </xf>
    <xf numFmtId="1" fontId="40" fillId="8" borderId="6" xfId="0" applyNumberFormat="1" applyFont="1" applyFill="1" applyBorder="1" applyAlignment="1">
      <alignment horizontal="center" vertical="center"/>
    </xf>
    <xf numFmtId="1" fontId="40" fillId="8" borderId="28" xfId="0" applyNumberFormat="1" applyFont="1" applyFill="1" applyBorder="1" applyAlignment="1">
      <alignment horizontal="center" vertical="center"/>
    </xf>
    <xf numFmtId="1" fontId="40" fillId="8" borderId="29" xfId="0" applyNumberFormat="1" applyFont="1" applyFill="1" applyBorder="1" applyAlignment="1">
      <alignment horizontal="center" vertical="center"/>
    </xf>
    <xf numFmtId="1" fontId="40" fillId="8" borderId="14" xfId="0" applyNumberFormat="1" applyFont="1" applyFill="1" applyBorder="1" applyAlignment="1">
      <alignment horizontal="center" vertical="center"/>
    </xf>
    <xf numFmtId="2" fontId="40" fillId="8" borderId="30" xfId="1" applyNumberFormat="1" applyFont="1" applyFill="1" applyBorder="1" applyAlignment="1">
      <alignment horizontal="center" vertical="center" wrapText="1"/>
    </xf>
    <xf numFmtId="2" fontId="40" fillId="8" borderId="4" xfId="1" applyNumberFormat="1" applyFont="1" applyFill="1" applyBorder="1" applyAlignment="1">
      <alignment horizontal="center" vertical="center" wrapText="1"/>
    </xf>
    <xf numFmtId="2" fontId="40" fillId="8" borderId="4" xfId="0" applyNumberFormat="1" applyFont="1" applyFill="1" applyBorder="1" applyAlignment="1">
      <alignment vertical="center"/>
    </xf>
    <xf numFmtId="2" fontId="40" fillId="8" borderId="5" xfId="0" applyNumberFormat="1" applyFont="1" applyFill="1" applyBorder="1" applyAlignment="1">
      <alignment vertical="center"/>
    </xf>
    <xf numFmtId="0" fontId="41" fillId="8" borderId="35" xfId="0" applyFont="1" applyFill="1" applyBorder="1" applyAlignment="1">
      <alignment horizontal="center" vertical="center"/>
    </xf>
    <xf numFmtId="0" fontId="42" fillId="8" borderId="30" xfId="1" applyFont="1" applyFill="1" applyBorder="1" applyAlignment="1">
      <alignment horizontal="center" vertical="center" wrapText="1"/>
    </xf>
    <xf numFmtId="0" fontId="40" fillId="8" borderId="31" xfId="1" applyFont="1" applyFill="1" applyBorder="1" applyAlignment="1">
      <alignment horizontal="center" vertical="center" wrapText="1"/>
    </xf>
    <xf numFmtId="165" fontId="40" fillId="8" borderId="31" xfId="0" applyNumberFormat="1" applyFont="1" applyFill="1" applyBorder="1" applyAlignment="1">
      <alignment horizontal="center" vertical="center"/>
    </xf>
    <xf numFmtId="165" fontId="40" fillId="8" borderId="20" xfId="0" applyNumberFormat="1" applyFont="1" applyFill="1" applyBorder="1" applyAlignment="1">
      <alignment horizontal="center" vertical="center"/>
    </xf>
    <xf numFmtId="2" fontId="42" fillId="8" borderId="19" xfId="1" applyNumberFormat="1" applyFont="1" applyFill="1" applyBorder="1" applyAlignment="1">
      <alignment horizontal="center" vertical="center" wrapText="1"/>
    </xf>
    <xf numFmtId="2" fontId="42" fillId="8" borderId="30" xfId="1" applyNumberFormat="1" applyFont="1" applyFill="1" applyBorder="1" applyAlignment="1">
      <alignment horizontal="center" vertical="center" wrapText="1"/>
    </xf>
    <xf numFmtId="0" fontId="42" fillId="8" borderId="31" xfId="0" applyFont="1" applyFill="1" applyBorder="1" applyAlignment="1">
      <alignment horizontal="center" vertical="center"/>
    </xf>
    <xf numFmtId="0" fontId="42" fillId="8" borderId="32" xfId="0" applyFont="1" applyFill="1" applyBorder="1" applyAlignment="1">
      <alignment horizontal="center" vertical="center"/>
    </xf>
    <xf numFmtId="0" fontId="42" fillId="8" borderId="20" xfId="0" applyFont="1" applyFill="1" applyBorder="1" applyAlignment="1">
      <alignment horizontal="center" vertical="center"/>
    </xf>
    <xf numFmtId="165" fontId="40" fillId="8" borderId="19" xfId="0" applyNumberFormat="1" applyFont="1" applyFill="1" applyBorder="1" applyAlignment="1">
      <alignment horizontal="center" vertical="center"/>
    </xf>
    <xf numFmtId="165" fontId="40" fillId="8" borderId="48" xfId="0" applyNumberFormat="1" applyFont="1" applyFill="1" applyBorder="1" applyAlignment="1">
      <alignment horizontal="center" vertical="center"/>
    </xf>
    <xf numFmtId="0" fontId="41" fillId="8" borderId="21" xfId="0" applyFont="1" applyFill="1" applyBorder="1" applyAlignment="1">
      <alignment horizontal="center" vertical="center"/>
    </xf>
    <xf numFmtId="0" fontId="42" fillId="8" borderId="9" xfId="1" applyFont="1" applyFill="1" applyBorder="1" applyAlignment="1">
      <alignment horizontal="center" vertical="center" wrapText="1"/>
    </xf>
    <xf numFmtId="0" fontId="40" fillId="8" borderId="2" xfId="1" applyFont="1" applyFill="1" applyBorder="1" applyAlignment="1">
      <alignment horizontal="center" vertical="center" wrapText="1"/>
    </xf>
    <xf numFmtId="0" fontId="40" fillId="8" borderId="1" xfId="1" applyFont="1" applyFill="1" applyBorder="1" applyAlignment="1">
      <alignment horizontal="center" vertical="center" wrapText="1"/>
    </xf>
    <xf numFmtId="165" fontId="40" fillId="8" borderId="1" xfId="0" applyNumberFormat="1" applyFont="1" applyFill="1" applyBorder="1" applyAlignment="1">
      <alignment horizontal="center" vertical="center"/>
    </xf>
    <xf numFmtId="165" fontId="40" fillId="8" borderId="6" xfId="0" applyNumberFormat="1" applyFont="1" applyFill="1" applyBorder="1" applyAlignment="1">
      <alignment horizontal="center" vertical="center"/>
    </xf>
    <xf numFmtId="2" fontId="42" fillId="8" borderId="10" xfId="1" applyNumberFormat="1" applyFont="1" applyFill="1" applyBorder="1" applyAlignment="1">
      <alignment horizontal="center" vertical="center" wrapText="1"/>
    </xf>
    <xf numFmtId="2" fontId="42" fillId="8" borderId="4" xfId="1" applyNumberFormat="1" applyFont="1" applyFill="1" applyBorder="1" applyAlignment="1">
      <alignment horizontal="center" vertical="center" wrapText="1"/>
    </xf>
    <xf numFmtId="0" fontId="42" fillId="8" borderId="1" xfId="0" applyFont="1" applyFill="1" applyBorder="1" applyAlignment="1">
      <alignment horizontal="center" vertical="center"/>
    </xf>
    <xf numFmtId="0" fontId="42" fillId="8" borderId="8" xfId="0" applyFont="1" applyFill="1" applyBorder="1" applyAlignment="1">
      <alignment horizontal="center" vertical="center"/>
    </xf>
    <xf numFmtId="165" fontId="40" fillId="8" borderId="12" xfId="0" applyNumberFormat="1" applyFont="1" applyFill="1" applyBorder="1" applyAlignment="1">
      <alignment horizontal="center" vertical="center"/>
    </xf>
    <xf numFmtId="165" fontId="40" fillId="8" borderId="49" xfId="0" applyNumberFormat="1" applyFont="1" applyFill="1" applyBorder="1" applyAlignment="1">
      <alignment horizontal="center" vertical="center"/>
    </xf>
    <xf numFmtId="0" fontId="42" fillId="8" borderId="53" xfId="1" applyFont="1" applyFill="1" applyBorder="1" applyAlignment="1">
      <alignment horizontal="center" vertical="center" wrapText="1"/>
    </xf>
    <xf numFmtId="165" fontId="40" fillId="8" borderId="3" xfId="0" applyNumberFormat="1" applyFont="1" applyFill="1" applyBorder="1" applyAlignment="1">
      <alignment horizontal="center" vertical="center"/>
    </xf>
    <xf numFmtId="165" fontId="40" fillId="8" borderId="7" xfId="0" applyNumberFormat="1" applyFont="1" applyFill="1" applyBorder="1" applyAlignment="1">
      <alignment horizontal="center" vertical="center"/>
    </xf>
    <xf numFmtId="2" fontId="42" fillId="8" borderId="5" xfId="1" applyNumberFormat="1" applyFont="1" applyFill="1" applyBorder="1" applyAlignment="1">
      <alignment horizontal="center" vertical="center" wrapText="1"/>
    </xf>
    <xf numFmtId="0" fontId="42" fillId="8" borderId="14" xfId="0" applyFont="1" applyFill="1" applyBorder="1" applyAlignment="1">
      <alignment horizontal="center" vertical="center"/>
    </xf>
    <xf numFmtId="0" fontId="42" fillId="8" borderId="47" xfId="0" applyFont="1" applyFill="1" applyBorder="1" applyAlignment="1">
      <alignment horizontal="center" vertical="center"/>
    </xf>
    <xf numFmtId="165" fontId="40" fillId="8" borderId="46" xfId="0" applyNumberFormat="1" applyFont="1" applyFill="1" applyBorder="1" applyAlignment="1">
      <alignment horizontal="center" vertical="center"/>
    </xf>
    <xf numFmtId="165" fontId="40" fillId="8" borderId="52" xfId="0" applyNumberFormat="1" applyFont="1" applyFill="1" applyBorder="1" applyAlignment="1">
      <alignment horizontal="center" vertical="center"/>
    </xf>
    <xf numFmtId="0" fontId="42" fillId="7" borderId="30" xfId="1" applyFont="1" applyFill="1" applyBorder="1" applyAlignment="1">
      <alignment horizontal="center" vertical="center" wrapText="1"/>
    </xf>
    <xf numFmtId="165" fontId="40" fillId="7" borderId="31" xfId="0" applyNumberFormat="1" applyFont="1" applyFill="1" applyBorder="1" applyAlignment="1">
      <alignment horizontal="center" vertical="center"/>
    </xf>
    <xf numFmtId="165" fontId="40" fillId="7" borderId="20" xfId="0" applyNumberFormat="1" applyFont="1" applyFill="1" applyBorder="1" applyAlignment="1">
      <alignment horizontal="center" vertical="center"/>
    </xf>
    <xf numFmtId="2" fontId="42" fillId="7" borderId="30" xfId="1" applyNumberFormat="1" applyFont="1" applyFill="1" applyBorder="1" applyAlignment="1">
      <alignment horizontal="center" vertical="center" wrapText="1"/>
    </xf>
    <xf numFmtId="0" fontId="42" fillId="7" borderId="20" xfId="0" applyFont="1" applyFill="1" applyBorder="1" applyAlignment="1">
      <alignment horizontal="center" vertical="center"/>
    </xf>
    <xf numFmtId="165" fontId="40" fillId="7" borderId="19" xfId="0" applyNumberFormat="1" applyFont="1" applyFill="1" applyBorder="1" applyAlignment="1">
      <alignment horizontal="center" vertical="center"/>
    </xf>
    <xf numFmtId="165" fontId="40" fillId="7" borderId="48" xfId="0" applyNumberFormat="1" applyFont="1" applyFill="1" applyBorder="1" applyAlignment="1">
      <alignment horizontal="center" vertical="center"/>
    </xf>
    <xf numFmtId="0" fontId="42" fillId="7" borderId="9" xfId="1" applyFont="1" applyFill="1" applyBorder="1" applyAlignment="1">
      <alignment horizontal="center" vertical="center" wrapText="1"/>
    </xf>
    <xf numFmtId="165" fontId="40" fillId="7" borderId="1" xfId="0" applyNumberFormat="1" applyFont="1" applyFill="1" applyBorder="1" applyAlignment="1">
      <alignment horizontal="center" vertical="center"/>
    </xf>
    <xf numFmtId="165" fontId="40" fillId="7" borderId="6" xfId="0" applyNumberFormat="1" applyFont="1" applyFill="1" applyBorder="1" applyAlignment="1">
      <alignment horizontal="center" vertical="center"/>
    </xf>
    <xf numFmtId="2" fontId="42" fillId="7" borderId="4" xfId="1" applyNumberFormat="1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/>
    </xf>
    <xf numFmtId="0" fontId="42" fillId="7" borderId="8" xfId="0" applyFont="1" applyFill="1" applyBorder="1" applyAlignment="1">
      <alignment horizontal="center" vertical="center"/>
    </xf>
    <xf numFmtId="0" fontId="42" fillId="7" borderId="13" xfId="0" applyFont="1" applyFill="1" applyBorder="1" applyAlignment="1">
      <alignment horizontal="center" vertical="center"/>
    </xf>
    <xf numFmtId="165" fontId="40" fillId="7" borderId="12" xfId="0" applyNumberFormat="1" applyFont="1" applyFill="1" applyBorder="1" applyAlignment="1">
      <alignment horizontal="center" vertical="center"/>
    </xf>
    <xf numFmtId="165" fontId="40" fillId="7" borderId="49" xfId="0" applyNumberFormat="1" applyFont="1" applyFill="1" applyBorder="1" applyAlignment="1">
      <alignment horizontal="center" vertical="center"/>
    </xf>
    <xf numFmtId="0" fontId="40" fillId="7" borderId="28" xfId="1" applyFont="1" applyFill="1" applyBorder="1" applyAlignment="1">
      <alignment horizontal="center" vertical="center" wrapText="1"/>
    </xf>
    <xf numFmtId="0" fontId="42" fillId="7" borderId="53" xfId="1" applyFont="1" applyFill="1" applyBorder="1" applyAlignment="1">
      <alignment horizontal="center" vertical="center" wrapText="1"/>
    </xf>
    <xf numFmtId="165" fontId="40" fillId="7" borderId="3" xfId="0" applyNumberFormat="1" applyFont="1" applyFill="1" applyBorder="1" applyAlignment="1">
      <alignment horizontal="center" vertical="center"/>
    </xf>
    <xf numFmtId="165" fontId="40" fillId="7" borderId="7" xfId="0" applyNumberFormat="1" applyFont="1" applyFill="1" applyBorder="1" applyAlignment="1">
      <alignment horizontal="center" vertical="center"/>
    </xf>
    <xf numFmtId="2" fontId="42" fillId="7" borderId="5" xfId="1" applyNumberFormat="1" applyFont="1" applyFill="1" applyBorder="1" applyAlignment="1">
      <alignment horizontal="center" vertical="center" wrapText="1"/>
    </xf>
    <xf numFmtId="0" fontId="42" fillId="7" borderId="47" xfId="0" applyFont="1" applyFill="1" applyBorder="1" applyAlignment="1">
      <alignment horizontal="center" vertical="center"/>
    </xf>
    <xf numFmtId="165" fontId="40" fillId="7" borderId="46" xfId="0" applyNumberFormat="1" applyFont="1" applyFill="1" applyBorder="1" applyAlignment="1">
      <alignment horizontal="center" vertical="center"/>
    </xf>
    <xf numFmtId="165" fontId="40" fillId="7" borderId="52" xfId="0" applyNumberFormat="1" applyFont="1" applyFill="1" applyBorder="1" applyAlignment="1">
      <alignment horizontal="center" vertical="center"/>
    </xf>
    <xf numFmtId="1" fontId="40" fillId="7" borderId="48" xfId="0" applyNumberFormat="1" applyFont="1" applyFill="1" applyBorder="1" applyAlignment="1">
      <alignment horizontal="center" vertical="center"/>
    </xf>
    <xf numFmtId="1" fontId="40" fillId="7" borderId="12" xfId="0" applyNumberFormat="1" applyFont="1" applyFill="1" applyBorder="1" applyAlignment="1">
      <alignment horizontal="center" vertical="center"/>
    </xf>
    <xf numFmtId="1" fontId="40" fillId="7" borderId="49" xfId="0" applyNumberFormat="1" applyFont="1" applyFill="1" applyBorder="1" applyAlignment="1">
      <alignment horizontal="center" vertical="center"/>
    </xf>
    <xf numFmtId="1" fontId="40" fillId="7" borderId="46" xfId="0" applyNumberFormat="1" applyFont="1" applyFill="1" applyBorder="1" applyAlignment="1">
      <alignment horizontal="center" vertical="center"/>
    </xf>
    <xf numFmtId="1" fontId="40" fillId="7" borderId="52" xfId="0" applyNumberFormat="1" applyFont="1" applyFill="1" applyBorder="1" applyAlignment="1">
      <alignment horizontal="center" vertical="center"/>
    </xf>
    <xf numFmtId="165" fontId="40" fillId="0" borderId="31" xfId="0" applyNumberFormat="1" applyFont="1" applyBorder="1" applyAlignment="1">
      <alignment horizontal="center" vertical="center"/>
    </xf>
    <xf numFmtId="165" fontId="40" fillId="0" borderId="20" xfId="0" applyNumberFormat="1" applyFont="1" applyBorder="1" applyAlignment="1">
      <alignment horizontal="center" vertical="center"/>
    </xf>
    <xf numFmtId="0" fontId="42" fillId="0" borderId="32" xfId="0" applyFont="1" applyBorder="1" applyAlignment="1">
      <alignment horizontal="center" vertical="center"/>
    </xf>
    <xf numFmtId="165" fontId="40" fillId="0" borderId="19" xfId="0" applyNumberFormat="1" applyFont="1" applyBorder="1" applyAlignment="1">
      <alignment horizontal="center" vertical="center"/>
    </xf>
    <xf numFmtId="165" fontId="40" fillId="0" borderId="6" xfId="0" applyNumberFormat="1" applyFont="1" applyBorder="1" applyAlignment="1">
      <alignment horizontal="center" vertical="center"/>
    </xf>
    <xf numFmtId="165" fontId="40" fillId="0" borderId="12" xfId="0" applyNumberFormat="1" applyFont="1" applyBorder="1" applyAlignment="1">
      <alignment horizontal="center" vertical="center"/>
    </xf>
    <xf numFmtId="165" fontId="40" fillId="0" borderId="3" xfId="0" applyNumberFormat="1" applyFont="1" applyBorder="1" applyAlignment="1">
      <alignment horizontal="center" vertical="center"/>
    </xf>
    <xf numFmtId="165" fontId="40" fillId="0" borderId="7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1" fontId="40" fillId="8" borderId="19" xfId="0" applyNumberFormat="1" applyFont="1" applyFill="1" applyBorder="1" applyAlignment="1">
      <alignment horizontal="center" vertical="center"/>
    </xf>
    <xf numFmtId="1" fontId="40" fillId="8" borderId="48" xfId="0" applyNumberFormat="1" applyFont="1" applyFill="1" applyBorder="1" applyAlignment="1">
      <alignment horizontal="center" vertical="center"/>
    </xf>
    <xf numFmtId="1" fontId="40" fillId="8" borderId="12" xfId="0" applyNumberFormat="1" applyFont="1" applyFill="1" applyBorder="1" applyAlignment="1">
      <alignment horizontal="center" vertical="center"/>
    </xf>
    <xf numFmtId="1" fontId="40" fillId="8" borderId="49" xfId="0" applyNumberFormat="1" applyFont="1" applyFill="1" applyBorder="1" applyAlignment="1">
      <alignment horizontal="center" vertical="center"/>
    </xf>
    <xf numFmtId="1" fontId="40" fillId="8" borderId="46" xfId="0" applyNumberFormat="1" applyFont="1" applyFill="1" applyBorder="1" applyAlignment="1">
      <alignment horizontal="center" vertical="center"/>
    </xf>
    <xf numFmtId="1" fontId="40" fillId="8" borderId="52" xfId="0" applyNumberFormat="1" applyFont="1" applyFill="1" applyBorder="1" applyAlignment="1">
      <alignment horizontal="center" vertical="center"/>
    </xf>
    <xf numFmtId="165" fontId="40" fillId="5" borderId="13" xfId="0" applyNumberFormat="1" applyFont="1" applyFill="1" applyBorder="1" applyAlignment="1">
      <alignment horizontal="center" vertical="center"/>
    </xf>
    <xf numFmtId="165" fontId="40" fillId="5" borderId="47" xfId="0" applyNumberFormat="1" applyFont="1" applyFill="1" applyBorder="1" applyAlignment="1">
      <alignment horizontal="center" vertical="center"/>
    </xf>
    <xf numFmtId="0" fontId="41" fillId="7" borderId="37" xfId="0" applyFont="1" applyFill="1" applyBorder="1" applyAlignment="1">
      <alignment horizontal="center" vertical="center"/>
    </xf>
    <xf numFmtId="165" fontId="40" fillId="7" borderId="32" xfId="0" applyNumberFormat="1" applyFont="1" applyFill="1" applyBorder="1" applyAlignment="1">
      <alignment horizontal="center" vertical="center"/>
    </xf>
    <xf numFmtId="165" fontId="40" fillId="7" borderId="14" xfId="0" applyNumberFormat="1" applyFont="1" applyFill="1" applyBorder="1" applyAlignment="1">
      <alignment horizontal="center" vertical="center"/>
    </xf>
    <xf numFmtId="0" fontId="42" fillId="7" borderId="7" xfId="0" applyFont="1" applyFill="1" applyBorder="1" applyAlignment="1">
      <alignment horizontal="center" vertical="center"/>
    </xf>
    <xf numFmtId="165" fontId="40" fillId="7" borderId="47" xfId="0" applyNumberFormat="1" applyFont="1" applyFill="1" applyBorder="1" applyAlignment="1">
      <alignment horizontal="center" vertical="center"/>
    </xf>
    <xf numFmtId="0" fontId="41" fillId="0" borderId="27" xfId="0" applyFont="1" applyBorder="1" applyAlignment="1">
      <alignment horizontal="center" vertical="center" wrapText="1"/>
    </xf>
    <xf numFmtId="0" fontId="41" fillId="0" borderId="28" xfId="0" applyFont="1" applyBorder="1" applyAlignment="1">
      <alignment horizontal="center" vertical="center" wrapText="1"/>
    </xf>
    <xf numFmtId="165" fontId="40" fillId="0" borderId="32" xfId="0" applyNumberFormat="1" applyFont="1" applyBorder="1" applyAlignment="1">
      <alignment horizontal="center" vertical="center"/>
    </xf>
    <xf numFmtId="165" fontId="40" fillId="3" borderId="57" xfId="0" applyNumberFormat="1" applyFont="1" applyFill="1" applyBorder="1" applyAlignment="1">
      <alignment horizontal="center" vertical="center"/>
    </xf>
    <xf numFmtId="165" fontId="40" fillId="0" borderId="10" xfId="0" applyNumberFormat="1" applyFont="1" applyBorder="1" applyAlignment="1">
      <alignment horizontal="center" vertical="center"/>
    </xf>
    <xf numFmtId="165" fontId="40" fillId="3" borderId="4" xfId="0" applyNumberFormat="1" applyFont="1" applyFill="1" applyBorder="1" applyAlignment="1">
      <alignment horizontal="center" vertical="center"/>
    </xf>
    <xf numFmtId="165" fontId="40" fillId="0" borderId="14" xfId="0" applyNumberFormat="1" applyFont="1" applyBorder="1" applyAlignment="1">
      <alignment horizontal="center" vertical="center"/>
    </xf>
    <xf numFmtId="165" fontId="40" fillId="0" borderId="11" xfId="0" applyNumberFormat="1" applyFont="1" applyBorder="1" applyAlignment="1">
      <alignment horizontal="center" vertical="center"/>
    </xf>
    <xf numFmtId="165" fontId="40" fillId="3" borderId="5" xfId="0" applyNumberFormat="1" applyFont="1" applyFill="1" applyBorder="1" applyAlignment="1">
      <alignment horizontal="center" vertical="center"/>
    </xf>
    <xf numFmtId="0" fontId="40" fillId="0" borderId="26" xfId="1" applyFont="1" applyBorder="1" applyAlignment="1">
      <alignment horizontal="center" vertical="center" wrapText="1"/>
    </xf>
    <xf numFmtId="0" fontId="41" fillId="0" borderId="10" xfId="1" applyFont="1" applyBorder="1" applyAlignment="1">
      <alignment horizontal="center" vertical="center" wrapText="1"/>
    </xf>
    <xf numFmtId="0" fontId="41" fillId="0" borderId="6" xfId="1" applyFont="1" applyBorder="1" applyAlignment="1">
      <alignment horizontal="center" vertical="center" wrapText="1"/>
    </xf>
    <xf numFmtId="0" fontId="41" fillId="0" borderId="11" xfId="1" applyFont="1" applyBorder="1" applyAlignment="1">
      <alignment horizontal="center" vertical="center" wrapText="1"/>
    </xf>
    <xf numFmtId="0" fontId="41" fillId="0" borderId="7" xfId="1" applyFont="1" applyBorder="1" applyAlignment="1">
      <alignment horizontal="center" vertical="center" wrapText="1"/>
    </xf>
    <xf numFmtId="0" fontId="41" fillId="0" borderId="58" xfId="0" applyFont="1" applyBorder="1" applyAlignment="1">
      <alignment horizontal="center" vertical="center"/>
    </xf>
    <xf numFmtId="0" fontId="40" fillId="0" borderId="59" xfId="1" applyFont="1" applyBorder="1" applyAlignment="1">
      <alignment horizontal="center" vertical="center" wrapText="1"/>
    </xf>
    <xf numFmtId="165" fontId="40" fillId="0" borderId="13" xfId="0" applyNumberFormat="1" applyFont="1" applyBorder="1" applyAlignment="1">
      <alignment horizontal="center" vertical="center"/>
    </xf>
    <xf numFmtId="0" fontId="40" fillId="0" borderId="16" xfId="1" applyFont="1" applyBorder="1" applyAlignment="1">
      <alignment horizontal="center" vertical="center" wrapText="1"/>
    </xf>
    <xf numFmtId="0" fontId="40" fillId="0" borderId="60" xfId="1" applyFont="1" applyBorder="1" applyAlignment="1">
      <alignment horizontal="center" vertical="center" wrapText="1"/>
    </xf>
    <xf numFmtId="165" fontId="40" fillId="0" borderId="16" xfId="0" applyNumberFormat="1" applyFont="1" applyBorder="1" applyAlignment="1">
      <alignment horizontal="center" vertical="center"/>
    </xf>
    <xf numFmtId="165" fontId="40" fillId="0" borderId="23" xfId="0" applyNumberFormat="1" applyFont="1" applyBorder="1" applyAlignment="1">
      <alignment horizontal="center" vertical="center"/>
    </xf>
    <xf numFmtId="1" fontId="40" fillId="0" borderId="50" xfId="0" applyNumberFormat="1" applyFont="1" applyBorder="1" applyAlignment="1">
      <alignment horizontal="center" vertical="center"/>
    </xf>
    <xf numFmtId="0" fontId="41" fillId="5" borderId="61" xfId="0" applyFont="1" applyFill="1" applyBorder="1" applyAlignment="1">
      <alignment horizontal="center" vertical="center"/>
    </xf>
    <xf numFmtId="0" fontId="40" fillId="5" borderId="62" xfId="1" applyFont="1" applyFill="1" applyBorder="1" applyAlignment="1">
      <alignment horizontal="center" vertical="center" wrapText="1"/>
    </xf>
    <xf numFmtId="165" fontId="40" fillId="5" borderId="24" xfId="0" applyNumberFormat="1" applyFont="1" applyFill="1" applyBorder="1" applyAlignment="1">
      <alignment horizontal="center" vertical="center"/>
    </xf>
    <xf numFmtId="165" fontId="40" fillId="5" borderId="25" xfId="0" applyNumberFormat="1" applyFont="1" applyFill="1" applyBorder="1" applyAlignment="1">
      <alignment horizontal="center" vertical="center"/>
    </xf>
    <xf numFmtId="2" fontId="42" fillId="5" borderId="24" xfId="1" applyNumberFormat="1" applyFont="1" applyFill="1" applyBorder="1" applyAlignment="1">
      <alignment horizontal="center" vertical="center" wrapText="1"/>
    </xf>
    <xf numFmtId="2" fontId="42" fillId="5" borderId="63" xfId="1" applyNumberFormat="1" applyFont="1" applyFill="1" applyBorder="1" applyAlignment="1">
      <alignment horizontal="center" vertical="center" wrapText="1"/>
    </xf>
    <xf numFmtId="0" fontId="42" fillId="5" borderId="33" xfId="0" applyFont="1" applyFill="1" applyBorder="1" applyAlignment="1">
      <alignment horizontal="center" vertical="center"/>
    </xf>
    <xf numFmtId="0" fontId="42" fillId="5" borderId="43" xfId="0" applyFont="1" applyFill="1" applyBorder="1" applyAlignment="1">
      <alignment horizontal="center" vertical="center"/>
    </xf>
    <xf numFmtId="0" fontId="42" fillId="5" borderId="10" xfId="1" applyFont="1" applyFill="1" applyBorder="1" applyAlignment="1">
      <alignment horizontal="center" vertical="center" wrapText="1"/>
    </xf>
    <xf numFmtId="0" fontId="40" fillId="5" borderId="56" xfId="1" applyFont="1" applyFill="1" applyBorder="1" applyAlignment="1">
      <alignment horizontal="center" vertical="center" wrapText="1"/>
    </xf>
    <xf numFmtId="2" fontId="42" fillId="5" borderId="1" xfId="1" applyNumberFormat="1" applyFont="1" applyFill="1" applyBorder="1" applyAlignment="1">
      <alignment horizontal="center" vertical="center" wrapText="1"/>
    </xf>
    <xf numFmtId="0" fontId="41" fillId="5" borderId="58" xfId="0" applyFont="1" applyFill="1" applyBorder="1" applyAlignment="1">
      <alignment horizontal="center" vertical="center"/>
    </xf>
    <xf numFmtId="0" fontId="40" fillId="5" borderId="59" xfId="1" applyFont="1" applyFill="1" applyBorder="1" applyAlignment="1">
      <alignment horizontal="center" vertical="center" wrapText="1"/>
    </xf>
    <xf numFmtId="2" fontId="42" fillId="5" borderId="9" xfId="1" applyNumberFormat="1" applyFont="1" applyFill="1" applyBorder="1" applyAlignment="1">
      <alignment horizontal="center" vertical="center" wrapText="1"/>
    </xf>
    <xf numFmtId="0" fontId="41" fillId="5" borderId="42" xfId="0" applyFont="1" applyFill="1" applyBorder="1" applyAlignment="1">
      <alignment horizontal="center" vertical="center"/>
    </xf>
    <xf numFmtId="0" fontId="40" fillId="5" borderId="64" xfId="1" applyFont="1" applyFill="1" applyBorder="1" applyAlignment="1">
      <alignment horizontal="center" vertical="center" wrapText="1"/>
    </xf>
    <xf numFmtId="165" fontId="40" fillId="5" borderId="11" xfId="0" applyNumberFormat="1" applyFont="1" applyFill="1" applyBorder="1" applyAlignment="1">
      <alignment horizontal="center" vertical="center"/>
    </xf>
    <xf numFmtId="0" fontId="42" fillId="5" borderId="63" xfId="1" applyFont="1" applyFill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textRotation="90" wrapText="1"/>
    </xf>
    <xf numFmtId="2" fontId="49" fillId="0" borderId="6" xfId="0" applyNumberFormat="1" applyFont="1" applyBorder="1" applyAlignment="1">
      <alignment horizontal="center" vertical="center" textRotation="90" wrapText="1"/>
    </xf>
    <xf numFmtId="2" fontId="41" fillId="0" borderId="44" xfId="1" applyNumberFormat="1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0" fontId="53" fillId="0" borderId="1" xfId="1" applyFont="1" applyBorder="1" applyAlignment="1">
      <alignment horizontal="center" vertical="center" wrapText="1"/>
    </xf>
    <xf numFmtId="1" fontId="40" fillId="0" borderId="29" xfId="0" applyNumberFormat="1" applyFont="1" applyBorder="1" applyAlignment="1">
      <alignment horizontal="center" vertical="center"/>
    </xf>
    <xf numFmtId="0" fontId="53" fillId="0" borderId="28" xfId="0" applyFont="1" applyBorder="1" applyAlignment="1">
      <alignment horizontal="center" vertical="center"/>
    </xf>
    <xf numFmtId="0" fontId="53" fillId="0" borderId="28" xfId="0" applyFont="1" applyBorder="1" applyAlignment="1">
      <alignment horizontal="center" vertical="center" wrapText="1"/>
    </xf>
    <xf numFmtId="1" fontId="40" fillId="5" borderId="32" xfId="0" applyNumberFormat="1" applyFont="1" applyFill="1" applyBorder="1" applyAlignment="1">
      <alignment horizontal="center" vertical="center"/>
    </xf>
    <xf numFmtId="1" fontId="40" fillId="5" borderId="8" xfId="0" applyNumberFormat="1" applyFont="1" applyFill="1" applyBorder="1" applyAlignment="1">
      <alignment horizontal="center" vertical="center"/>
    </xf>
    <xf numFmtId="0" fontId="40" fillId="5" borderId="9" xfId="1" applyFont="1" applyFill="1" applyBorder="1" applyAlignment="1">
      <alignment horizontal="center" vertical="center" wrapText="1"/>
    </xf>
    <xf numFmtId="165" fontId="40" fillId="3" borderId="9" xfId="0" applyNumberFormat="1" applyFont="1" applyFill="1" applyBorder="1" applyAlignment="1">
      <alignment horizontal="center" vertical="center"/>
    </xf>
    <xf numFmtId="165" fontId="40" fillId="3" borderId="15" xfId="0" applyNumberFormat="1" applyFont="1" applyFill="1" applyBorder="1" applyAlignment="1">
      <alignment horizontal="center" vertical="center"/>
    </xf>
    <xf numFmtId="0" fontId="40" fillId="5" borderId="27" xfId="1" applyFont="1" applyFill="1" applyBorder="1" applyAlignment="1">
      <alignment horizontal="center" vertical="center" wrapText="1"/>
    </xf>
    <xf numFmtId="165" fontId="40" fillId="3" borderId="27" xfId="0" applyNumberFormat="1" applyFont="1" applyFill="1" applyBorder="1" applyAlignment="1">
      <alignment horizontal="center" vertical="center"/>
    </xf>
    <xf numFmtId="165" fontId="40" fillId="3" borderId="29" xfId="0" applyNumberFormat="1" applyFont="1" applyFill="1" applyBorder="1" applyAlignment="1">
      <alignment horizontal="center" vertical="center"/>
    </xf>
    <xf numFmtId="2" fontId="40" fillId="0" borderId="9" xfId="0" applyNumberFormat="1" applyFont="1" applyBorder="1" applyAlignment="1">
      <alignment horizontal="center" vertical="center"/>
    </xf>
    <xf numFmtId="2" fontId="40" fillId="5" borderId="30" xfId="0" applyNumberFormat="1" applyFont="1" applyFill="1" applyBorder="1" applyAlignment="1">
      <alignment horizontal="center" vertical="center"/>
    </xf>
    <xf numFmtId="2" fontId="40" fillId="5" borderId="32" xfId="0" applyNumberFormat="1" applyFont="1" applyFill="1" applyBorder="1" applyAlignment="1">
      <alignment horizontal="center" vertical="center"/>
    </xf>
    <xf numFmtId="0" fontId="53" fillId="5" borderId="1" xfId="0" applyFont="1" applyFill="1" applyBorder="1" applyAlignment="1">
      <alignment horizontal="center" vertical="center"/>
    </xf>
    <xf numFmtId="0" fontId="53" fillId="5" borderId="1" xfId="0" applyFont="1" applyFill="1" applyBorder="1" applyAlignment="1">
      <alignment horizontal="center" vertical="center" wrapText="1"/>
    </xf>
    <xf numFmtId="0" fontId="43" fillId="7" borderId="11" xfId="1" applyFont="1" applyFill="1" applyBorder="1" applyAlignment="1">
      <alignment horizontal="center" vertical="center" wrapText="1"/>
    </xf>
    <xf numFmtId="0" fontId="53" fillId="5" borderId="1" xfId="1" applyFont="1" applyFill="1" applyBorder="1" applyAlignment="1">
      <alignment horizontal="center" vertical="center" wrapText="1"/>
    </xf>
    <xf numFmtId="0" fontId="43" fillId="7" borderId="12" xfId="1" applyFont="1" applyFill="1" applyBorder="1" applyAlignment="1">
      <alignment horizontal="center" vertical="center" wrapText="1"/>
    </xf>
    <xf numFmtId="0" fontId="40" fillId="7" borderId="2" xfId="1" applyFont="1" applyFill="1" applyBorder="1" applyAlignment="1">
      <alignment horizontal="center" vertical="center" wrapText="1"/>
    </xf>
    <xf numFmtId="2" fontId="42" fillId="7" borderId="9" xfId="1" applyNumberFormat="1" applyFont="1" applyFill="1" applyBorder="1" applyAlignment="1">
      <alignment horizontal="center" vertical="center" wrapText="1"/>
    </xf>
    <xf numFmtId="2" fontId="40" fillId="7" borderId="2" xfId="0" applyNumberFormat="1" applyFont="1" applyFill="1" applyBorder="1" applyAlignment="1">
      <alignment horizontal="center" vertical="center" wrapText="1"/>
    </xf>
    <xf numFmtId="0" fontId="40" fillId="7" borderId="12" xfId="1" applyFont="1" applyFill="1" applyBorder="1" applyAlignment="1">
      <alignment horizontal="center" vertical="center" wrapText="1"/>
    </xf>
    <xf numFmtId="0" fontId="40" fillId="7" borderId="2" xfId="0" applyFont="1" applyFill="1" applyBorder="1" applyAlignment="1">
      <alignment horizontal="center" vertical="center"/>
    </xf>
    <xf numFmtId="0" fontId="40" fillId="7" borderId="2" xfId="0" applyFont="1" applyFill="1" applyBorder="1" applyAlignment="1">
      <alignment horizontal="center" vertical="center" wrapText="1"/>
    </xf>
    <xf numFmtId="2" fontId="40" fillId="7" borderId="12" xfId="0" applyNumberFormat="1" applyFont="1" applyFill="1" applyBorder="1" applyAlignment="1">
      <alignment horizontal="center" vertical="center"/>
    </xf>
    <xf numFmtId="2" fontId="40" fillId="7" borderId="13" xfId="0" applyNumberFormat="1" applyFont="1" applyFill="1" applyBorder="1" applyAlignment="1">
      <alignment horizontal="center" vertical="center"/>
    </xf>
    <xf numFmtId="1" fontId="40" fillId="7" borderId="9" xfId="0" applyNumberFormat="1" applyFont="1" applyFill="1" applyBorder="1" applyAlignment="1">
      <alignment horizontal="center" vertical="center"/>
    </xf>
    <xf numFmtId="0" fontId="53" fillId="7" borderId="1" xfId="0" applyFont="1" applyFill="1" applyBorder="1" applyAlignment="1">
      <alignment horizontal="center" vertical="center"/>
    </xf>
    <xf numFmtId="0" fontId="53" fillId="7" borderId="1" xfId="0" applyFont="1" applyFill="1" applyBorder="1" applyAlignment="1">
      <alignment horizontal="center" vertical="center" wrapText="1"/>
    </xf>
    <xf numFmtId="2" fontId="40" fillId="7" borderId="4" xfId="0" applyNumberFormat="1" applyFont="1" applyFill="1" applyBorder="1" applyAlignment="1">
      <alignment horizontal="center" vertical="center"/>
    </xf>
    <xf numFmtId="2" fontId="40" fillId="7" borderId="8" xfId="0" applyNumberFormat="1" applyFont="1" applyFill="1" applyBorder="1" applyAlignment="1">
      <alignment horizontal="center" vertical="center"/>
    </xf>
    <xf numFmtId="0" fontId="53" fillId="7" borderId="1" xfId="1" applyFont="1" applyFill="1" applyBorder="1" applyAlignment="1">
      <alignment horizontal="center" vertical="center" wrapText="1"/>
    </xf>
    <xf numFmtId="0" fontId="53" fillId="7" borderId="31" xfId="0" applyFont="1" applyFill="1" applyBorder="1" applyAlignment="1">
      <alignment horizontal="center" vertical="center"/>
    </xf>
    <xf numFmtId="0" fontId="53" fillId="7" borderId="31" xfId="0" applyFont="1" applyFill="1" applyBorder="1" applyAlignment="1">
      <alignment horizontal="center" vertical="center" wrapText="1"/>
    </xf>
    <xf numFmtId="2" fontId="40" fillId="7" borderId="30" xfId="0" applyNumberFormat="1" applyFont="1" applyFill="1" applyBorder="1" applyAlignment="1">
      <alignment horizontal="center" vertical="center"/>
    </xf>
    <xf numFmtId="2" fontId="40" fillId="7" borderId="32" xfId="0" applyNumberFormat="1" applyFont="1" applyFill="1" applyBorder="1" applyAlignment="1">
      <alignment horizontal="center" vertical="center"/>
    </xf>
    <xf numFmtId="0" fontId="42" fillId="8" borderId="19" xfId="1" applyFont="1" applyFill="1" applyBorder="1" applyAlignment="1">
      <alignment horizontal="center" vertical="center" wrapText="1"/>
    </xf>
    <xf numFmtId="0" fontId="53" fillId="8" borderId="31" xfId="0" applyFont="1" applyFill="1" applyBorder="1" applyAlignment="1">
      <alignment horizontal="center" vertical="center"/>
    </xf>
    <xf numFmtId="0" fontId="53" fillId="8" borderId="31" xfId="0" applyFont="1" applyFill="1" applyBorder="1" applyAlignment="1">
      <alignment horizontal="center" vertical="center" wrapText="1"/>
    </xf>
    <xf numFmtId="2" fontId="40" fillId="8" borderId="30" xfId="0" applyNumberFormat="1" applyFont="1" applyFill="1" applyBorder="1" applyAlignment="1">
      <alignment horizontal="center" vertical="center"/>
    </xf>
    <xf numFmtId="2" fontId="40" fillId="8" borderId="32" xfId="0" applyNumberFormat="1" applyFont="1" applyFill="1" applyBorder="1" applyAlignment="1">
      <alignment horizontal="center" vertical="center"/>
    </xf>
    <xf numFmtId="0" fontId="42" fillId="8" borderId="10" xfId="1" applyFont="1" applyFill="1" applyBorder="1" applyAlignment="1">
      <alignment horizontal="center" vertical="center" wrapText="1"/>
    </xf>
    <xf numFmtId="0" fontId="53" fillId="8" borderId="1" xfId="0" applyFont="1" applyFill="1" applyBorder="1" applyAlignment="1">
      <alignment horizontal="center" vertical="center"/>
    </xf>
    <xf numFmtId="0" fontId="53" fillId="8" borderId="1" xfId="0" applyFont="1" applyFill="1" applyBorder="1" applyAlignment="1">
      <alignment horizontal="center" vertical="center" wrapText="1"/>
    </xf>
    <xf numFmtId="2" fontId="40" fillId="8" borderId="4" xfId="0" applyNumberFormat="1" applyFont="1" applyFill="1" applyBorder="1" applyAlignment="1">
      <alignment horizontal="center" vertical="center"/>
    </xf>
    <xf numFmtId="2" fontId="40" fillId="8" borderId="8" xfId="0" applyNumberFormat="1" applyFont="1" applyFill="1" applyBorder="1" applyAlignment="1">
      <alignment horizontal="center" vertical="center"/>
    </xf>
    <xf numFmtId="0" fontId="53" fillId="8" borderId="1" xfId="1" applyFont="1" applyFill="1" applyBorder="1" applyAlignment="1">
      <alignment horizontal="center" vertical="center" wrapText="1"/>
    </xf>
    <xf numFmtId="0" fontId="43" fillId="8" borderId="12" xfId="1" applyFont="1" applyFill="1" applyBorder="1" applyAlignment="1">
      <alignment horizontal="center" vertical="center" wrapText="1"/>
    </xf>
    <xf numFmtId="2" fontId="42" fillId="8" borderId="9" xfId="1" applyNumberFormat="1" applyFont="1" applyFill="1" applyBorder="1" applyAlignment="1">
      <alignment horizontal="center" vertical="center" wrapText="1"/>
    </xf>
    <xf numFmtId="2" fontId="40" fillId="8" borderId="2" xfId="0" applyNumberFormat="1" applyFont="1" applyFill="1" applyBorder="1" applyAlignment="1">
      <alignment horizontal="center" vertical="center" wrapText="1"/>
    </xf>
    <xf numFmtId="0" fontId="40" fillId="8" borderId="12" xfId="1" applyFont="1" applyFill="1" applyBorder="1" applyAlignment="1">
      <alignment horizontal="center" vertical="center" wrapText="1"/>
    </xf>
    <xf numFmtId="0" fontId="40" fillId="8" borderId="2" xfId="0" applyFont="1" applyFill="1" applyBorder="1" applyAlignment="1">
      <alignment horizontal="center" vertical="center" wrapText="1"/>
    </xf>
    <xf numFmtId="2" fontId="40" fillId="8" borderId="12" xfId="0" applyNumberFormat="1" applyFont="1" applyFill="1" applyBorder="1" applyAlignment="1">
      <alignment horizontal="center" vertical="center"/>
    </xf>
    <xf numFmtId="2" fontId="40" fillId="8" borderId="13" xfId="0" applyNumberFormat="1" applyFont="1" applyFill="1" applyBorder="1" applyAlignment="1">
      <alignment horizontal="center" vertical="center"/>
    </xf>
    <xf numFmtId="0" fontId="43" fillId="8" borderId="11" xfId="1" applyFont="1" applyFill="1" applyBorder="1" applyAlignment="1">
      <alignment horizontal="center" vertical="center" wrapText="1"/>
    </xf>
    <xf numFmtId="0" fontId="40" fillId="8" borderId="3" xfId="0" applyFont="1" applyFill="1" applyBorder="1" applyAlignment="1">
      <alignment horizontal="center" vertical="center" wrapText="1"/>
    </xf>
    <xf numFmtId="1" fontId="40" fillId="8" borderId="10" xfId="0" applyNumberFormat="1" applyFont="1" applyFill="1" applyBorder="1" applyAlignment="1">
      <alignment horizontal="center" vertical="center"/>
    </xf>
    <xf numFmtId="0" fontId="40" fillId="5" borderId="21" xfId="0" applyFont="1" applyFill="1" applyBorder="1" applyAlignment="1">
      <alignment horizontal="center" vertical="center"/>
    </xf>
    <xf numFmtId="0" fontId="42" fillId="5" borderId="28" xfId="0" applyFont="1" applyFill="1" applyBorder="1" applyAlignment="1">
      <alignment horizontal="center" vertical="center"/>
    </xf>
    <xf numFmtId="0" fontId="42" fillId="5" borderId="23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1" fillId="0" borderId="37" xfId="0" applyFont="1" applyBorder="1" applyAlignment="1">
      <alignment horizontal="center" vertical="center"/>
    </xf>
    <xf numFmtId="0" fontId="40" fillId="0" borderId="32" xfId="0" applyFont="1" applyBorder="1" applyAlignment="1">
      <alignment horizontal="center" vertical="center"/>
    </xf>
    <xf numFmtId="0" fontId="42" fillId="0" borderId="31" xfId="0" applyFont="1" applyBorder="1" applyAlignment="1">
      <alignment horizontal="center" vertical="center"/>
    </xf>
    <xf numFmtId="0" fontId="41" fillId="0" borderId="34" xfId="0" applyFont="1" applyBorder="1" applyAlignment="1">
      <alignment horizontal="center" vertical="center"/>
    </xf>
    <xf numFmtId="0" fontId="40" fillId="0" borderId="22" xfId="0" applyFont="1" applyBorder="1" applyAlignment="1">
      <alignment horizontal="center" vertical="center"/>
    </xf>
    <xf numFmtId="0" fontId="40" fillId="5" borderId="37" xfId="0" applyFont="1" applyFill="1" applyBorder="1" applyAlignment="1">
      <alignment horizontal="center" vertical="center"/>
    </xf>
    <xf numFmtId="0" fontId="43" fillId="5" borderId="30" xfId="0" applyFont="1" applyFill="1" applyBorder="1" applyAlignment="1">
      <alignment horizontal="center" vertical="center"/>
    </xf>
    <xf numFmtId="0" fontId="43" fillId="5" borderId="27" xfId="0" applyFont="1" applyFill="1" applyBorder="1" applyAlignment="1">
      <alignment horizontal="center" vertical="center"/>
    </xf>
    <xf numFmtId="0" fontId="40" fillId="5" borderId="22" xfId="0" applyFont="1" applyFill="1" applyBorder="1" applyAlignment="1">
      <alignment horizontal="center" vertical="center"/>
    </xf>
    <xf numFmtId="0" fontId="43" fillId="5" borderId="4" xfId="0" applyFont="1" applyFill="1" applyBorder="1" applyAlignment="1">
      <alignment horizontal="center" vertical="center"/>
    </xf>
    <xf numFmtId="0" fontId="43" fillId="5" borderId="5" xfId="0" applyFont="1" applyFill="1" applyBorder="1" applyAlignment="1">
      <alignment horizontal="center" vertical="center"/>
    </xf>
    <xf numFmtId="0" fontId="41" fillId="7" borderId="22" xfId="0" applyFont="1" applyFill="1" applyBorder="1" applyAlignment="1">
      <alignment horizontal="center" vertical="center"/>
    </xf>
    <xf numFmtId="2" fontId="42" fillId="0" borderId="0" xfId="0" applyNumberFormat="1" applyFont="1" applyAlignment="1">
      <alignment vertical="center"/>
    </xf>
    <xf numFmtId="0" fontId="42" fillId="0" borderId="0" xfId="0" applyFont="1" applyAlignment="1">
      <alignment horizontal="center" vertical="center"/>
    </xf>
    <xf numFmtId="0" fontId="42" fillId="0" borderId="20" xfId="0" applyFont="1" applyBorder="1" applyAlignment="1">
      <alignment horizontal="center" vertical="center"/>
    </xf>
    <xf numFmtId="0" fontId="42" fillId="0" borderId="29" xfId="0" applyFont="1" applyBorder="1" applyAlignment="1">
      <alignment horizontal="center" vertical="center"/>
    </xf>
    <xf numFmtId="0" fontId="42" fillId="5" borderId="29" xfId="0" applyFont="1" applyFill="1" applyBorder="1" applyAlignment="1">
      <alignment horizontal="center" vertical="center"/>
    </xf>
    <xf numFmtId="2" fontId="40" fillId="5" borderId="27" xfId="0" applyNumberFormat="1" applyFont="1" applyFill="1" applyBorder="1" applyAlignment="1">
      <alignment horizontal="center" vertical="center"/>
    </xf>
    <xf numFmtId="2" fontId="40" fillId="5" borderId="29" xfId="0" applyNumberFormat="1" applyFont="1" applyFill="1" applyBorder="1" applyAlignment="1">
      <alignment horizontal="center" vertical="center"/>
    </xf>
    <xf numFmtId="0" fontId="40" fillId="7" borderId="13" xfId="0" applyFont="1" applyFill="1" applyBorder="1" applyAlignment="1">
      <alignment horizontal="center" vertical="center"/>
    </xf>
    <xf numFmtId="0" fontId="41" fillId="7" borderId="65" xfId="0" applyFont="1" applyFill="1" applyBorder="1" applyAlignment="1">
      <alignment horizontal="center" vertical="center"/>
    </xf>
    <xf numFmtId="2" fontId="42" fillId="7" borderId="2" xfId="0" applyNumberFormat="1" applyFont="1" applyFill="1" applyBorder="1" applyAlignment="1">
      <alignment horizontal="center" vertical="center"/>
    </xf>
    <xf numFmtId="0" fontId="42" fillId="7" borderId="2" xfId="0" applyFont="1" applyFill="1" applyBorder="1" applyAlignment="1">
      <alignment horizontal="center" vertical="center"/>
    </xf>
    <xf numFmtId="0" fontId="42" fillId="7" borderId="15" xfId="0" applyFont="1" applyFill="1" applyBorder="1" applyAlignment="1">
      <alignment horizontal="center" vertical="center"/>
    </xf>
    <xf numFmtId="2" fontId="40" fillId="7" borderId="2" xfId="0" applyNumberFormat="1" applyFont="1" applyFill="1" applyBorder="1" applyAlignment="1">
      <alignment horizontal="center" vertical="center"/>
    </xf>
    <xf numFmtId="0" fontId="41" fillId="8" borderId="37" xfId="0" applyFont="1" applyFill="1" applyBorder="1" applyAlignment="1">
      <alignment horizontal="center" vertical="center"/>
    </xf>
    <xf numFmtId="0" fontId="41" fillId="8" borderId="22" xfId="0" applyFont="1" applyFill="1" applyBorder="1" applyAlignment="1">
      <alignment horizontal="center" vertical="center"/>
    </xf>
    <xf numFmtId="0" fontId="42" fillId="8" borderId="6" xfId="0" applyFont="1" applyFill="1" applyBorder="1" applyAlignment="1">
      <alignment horizontal="center" vertical="center"/>
    </xf>
    <xf numFmtId="0" fontId="41" fillId="8" borderId="65" xfId="0" applyFont="1" applyFill="1" applyBorder="1" applyAlignment="1">
      <alignment horizontal="center" vertical="center"/>
    </xf>
    <xf numFmtId="0" fontId="42" fillId="8" borderId="15" xfId="0" applyFont="1" applyFill="1" applyBorder="1" applyAlignment="1">
      <alignment horizontal="center" vertical="center"/>
    </xf>
    <xf numFmtId="2" fontId="40" fillId="8" borderId="2" xfId="0" applyNumberFormat="1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2" fontId="42" fillId="0" borderId="10" xfId="0" applyNumberFormat="1" applyFont="1" applyBorder="1" applyAlignment="1">
      <alignment vertical="center"/>
    </xf>
    <xf numFmtId="0" fontId="40" fillId="0" borderId="27" xfId="0" applyFont="1" applyBorder="1" applyAlignment="1">
      <alignment horizontal="center" vertical="center"/>
    </xf>
    <xf numFmtId="2" fontId="42" fillId="0" borderId="16" xfId="0" applyNumberFormat="1" applyFont="1" applyBorder="1" applyAlignment="1">
      <alignment vertical="center"/>
    </xf>
    <xf numFmtId="0" fontId="43" fillId="0" borderId="28" xfId="0" applyFont="1" applyBorder="1" applyAlignment="1">
      <alignment horizontal="center" vertical="center"/>
    </xf>
    <xf numFmtId="0" fontId="40" fillId="5" borderId="28" xfId="0" applyFont="1" applyFill="1" applyBorder="1" applyAlignment="1">
      <alignment vertical="center"/>
    </xf>
    <xf numFmtId="165" fontId="40" fillId="0" borderId="4" xfId="0" applyNumberFormat="1" applyFont="1" applyBorder="1" applyAlignment="1">
      <alignment horizontal="center" vertical="center"/>
    </xf>
    <xf numFmtId="14" fontId="40" fillId="0" borderId="0" xfId="0" applyNumberFormat="1" applyFont="1" applyAlignment="1">
      <alignment vertical="center"/>
    </xf>
    <xf numFmtId="165" fontId="40" fillId="0" borderId="27" xfId="0" applyNumberFormat="1" applyFont="1" applyBorder="1" applyAlignment="1">
      <alignment horizontal="center" vertical="center"/>
    </xf>
    <xf numFmtId="0" fontId="40" fillId="0" borderId="36" xfId="0" applyFont="1" applyBorder="1" applyAlignment="1">
      <alignment horizontal="center" vertical="center"/>
    </xf>
    <xf numFmtId="0" fontId="50" fillId="5" borderId="15" xfId="0" applyFont="1" applyFill="1" applyBorder="1" applyAlignment="1">
      <alignment horizontal="center" vertical="center"/>
    </xf>
    <xf numFmtId="0" fontId="50" fillId="0" borderId="0" xfId="0" applyFont="1" applyAlignment="1">
      <alignment vertical="center"/>
    </xf>
    <xf numFmtId="2" fontId="42" fillId="0" borderId="13" xfId="0" applyNumberFormat="1" applyFont="1" applyBorder="1" applyAlignment="1">
      <alignment horizontal="center" vertical="center"/>
    </xf>
    <xf numFmtId="2" fontId="42" fillId="5" borderId="20" xfId="0" applyNumberFormat="1" applyFont="1" applyFill="1" applyBorder="1" applyAlignment="1">
      <alignment horizontal="center" vertical="center"/>
    </xf>
    <xf numFmtId="2" fontId="42" fillId="5" borderId="7" xfId="0" applyNumberFormat="1" applyFont="1" applyFill="1" applyBorder="1" applyAlignment="1">
      <alignment horizontal="center" vertical="center"/>
    </xf>
    <xf numFmtId="165" fontId="40" fillId="5" borderId="2" xfId="0" applyNumberFormat="1" applyFont="1" applyFill="1" applyBorder="1" applyAlignment="1">
      <alignment horizontal="center" vertical="center"/>
    </xf>
    <xf numFmtId="2" fontId="41" fillId="0" borderId="1" xfId="0" applyNumberFormat="1" applyFont="1" applyBorder="1" applyAlignment="1">
      <alignment horizontal="center" vertical="center" wrapText="1"/>
    </xf>
    <xf numFmtId="2" fontId="41" fillId="0" borderId="4" xfId="1" applyNumberFormat="1" applyFont="1" applyBorder="1" applyAlignment="1">
      <alignment horizontal="center" vertical="center" wrapText="1"/>
    </xf>
    <xf numFmtId="2" fontId="42" fillId="0" borderId="15" xfId="0" applyNumberFormat="1" applyFont="1" applyBorder="1" applyAlignment="1">
      <alignment horizontal="center" vertical="center"/>
    </xf>
    <xf numFmtId="2" fontId="42" fillId="0" borderId="8" xfId="0" applyNumberFormat="1" applyFont="1" applyBorder="1" applyAlignment="1">
      <alignment horizontal="center" vertical="center"/>
    </xf>
    <xf numFmtId="2" fontId="42" fillId="0" borderId="29" xfId="0" applyNumberFormat="1" applyFont="1" applyBorder="1" applyAlignment="1">
      <alignment horizontal="center" vertical="center"/>
    </xf>
    <xf numFmtId="0" fontId="41" fillId="3" borderId="4" xfId="0" applyFont="1" applyFill="1" applyBorder="1" applyAlignment="1">
      <alignment horizontal="center" vertical="center" wrapText="1"/>
    </xf>
    <xf numFmtId="165" fontId="40" fillId="3" borderId="59" xfId="0" applyNumberFormat="1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1" fontId="41" fillId="0" borderId="10" xfId="0" applyNumberFormat="1" applyFont="1" applyBorder="1" applyAlignment="1">
      <alignment horizontal="center" vertical="center" wrapText="1"/>
    </xf>
    <xf numFmtId="2" fontId="41" fillId="0" borderId="9" xfId="1" applyNumberFormat="1" applyFont="1" applyBorder="1" applyAlignment="1">
      <alignment horizontal="center" vertical="center" wrapText="1"/>
    </xf>
    <xf numFmtId="2" fontId="41" fillId="0" borderId="2" xfId="0" applyNumberFormat="1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3" borderId="5" xfId="0" applyFont="1" applyFill="1" applyBorder="1" applyAlignment="1">
      <alignment horizontal="center" vertical="center" wrapText="1"/>
    </xf>
    <xf numFmtId="0" fontId="41" fillId="3" borderId="14" xfId="0" applyFont="1" applyFill="1" applyBorder="1" applyAlignment="1">
      <alignment horizontal="center" vertical="center" wrapText="1"/>
    </xf>
    <xf numFmtId="1" fontId="41" fillId="0" borderId="11" xfId="0" applyNumberFormat="1" applyFont="1" applyBorder="1" applyAlignment="1">
      <alignment horizontal="center" vertical="center" wrapText="1"/>
    </xf>
    <xf numFmtId="0" fontId="41" fillId="0" borderId="34" xfId="0" applyFont="1" applyBorder="1" applyAlignment="1">
      <alignment horizontal="center" vertical="center" wrapText="1"/>
    </xf>
    <xf numFmtId="0" fontId="41" fillId="0" borderId="22" xfId="0" applyFont="1" applyBorder="1" applyAlignment="1">
      <alignment horizontal="center" vertical="center" wrapText="1"/>
    </xf>
    <xf numFmtId="2" fontId="42" fillId="0" borderId="47" xfId="0" applyNumberFormat="1" applyFont="1" applyBorder="1" applyAlignment="1">
      <alignment horizontal="center" vertical="center"/>
    </xf>
    <xf numFmtId="0" fontId="42" fillId="0" borderId="20" xfId="0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vertical="center" wrapText="1"/>
    </xf>
    <xf numFmtId="165" fontId="40" fillId="0" borderId="17" xfId="0" applyNumberFormat="1" applyFont="1" applyBorder="1" applyAlignment="1">
      <alignment horizontal="center" vertical="center"/>
    </xf>
    <xf numFmtId="165" fontId="40" fillId="0" borderId="45" xfId="0" applyNumberFormat="1" applyFont="1" applyBorder="1" applyAlignment="1">
      <alignment horizontal="center" vertical="center"/>
    </xf>
    <xf numFmtId="2" fontId="42" fillId="7" borderId="20" xfId="0" applyNumberFormat="1" applyFont="1" applyFill="1" applyBorder="1" applyAlignment="1">
      <alignment horizontal="center" vertical="center"/>
    </xf>
    <xf numFmtId="0" fontId="42" fillId="7" borderId="4" xfId="1" applyFont="1" applyFill="1" applyBorder="1" applyAlignment="1">
      <alignment horizontal="center" vertical="center" wrapText="1"/>
    </xf>
    <xf numFmtId="165" fontId="40" fillId="7" borderId="8" xfId="0" applyNumberFormat="1" applyFont="1" applyFill="1" applyBorder="1" applyAlignment="1">
      <alignment horizontal="center" vertical="center"/>
    </xf>
    <xf numFmtId="2" fontId="42" fillId="7" borderId="6" xfId="0" applyNumberFormat="1" applyFont="1" applyFill="1" applyBorder="1" applyAlignment="1">
      <alignment horizontal="center" vertical="center"/>
    </xf>
    <xf numFmtId="165" fontId="40" fillId="7" borderId="13" xfId="0" applyNumberFormat="1" applyFont="1" applyFill="1" applyBorder="1" applyAlignment="1">
      <alignment horizontal="center" vertical="center"/>
    </xf>
    <xf numFmtId="2" fontId="42" fillId="7" borderId="7" xfId="0" applyNumberFormat="1" applyFont="1" applyFill="1" applyBorder="1" applyAlignment="1">
      <alignment horizontal="center" vertical="center"/>
    </xf>
    <xf numFmtId="165" fontId="40" fillId="8" borderId="32" xfId="0" applyNumberFormat="1" applyFont="1" applyFill="1" applyBorder="1" applyAlignment="1">
      <alignment horizontal="center" vertical="center"/>
    </xf>
    <xf numFmtId="2" fontId="42" fillId="8" borderId="20" xfId="0" applyNumberFormat="1" applyFont="1" applyFill="1" applyBorder="1" applyAlignment="1">
      <alignment horizontal="center" vertical="center"/>
    </xf>
    <xf numFmtId="0" fontId="42" fillId="8" borderId="4" xfId="1" applyFont="1" applyFill="1" applyBorder="1" applyAlignment="1">
      <alignment horizontal="center" vertical="center" wrapText="1"/>
    </xf>
    <xf numFmtId="165" fontId="40" fillId="8" borderId="8" xfId="0" applyNumberFormat="1" applyFont="1" applyFill="1" applyBorder="1" applyAlignment="1">
      <alignment horizontal="center" vertical="center"/>
    </xf>
    <xf numFmtId="2" fontId="42" fillId="8" borderId="6" xfId="0" applyNumberFormat="1" applyFont="1" applyFill="1" applyBorder="1" applyAlignment="1">
      <alignment horizontal="center" vertical="center"/>
    </xf>
    <xf numFmtId="165" fontId="40" fillId="8" borderId="13" xfId="0" applyNumberFormat="1" applyFont="1" applyFill="1" applyBorder="1" applyAlignment="1">
      <alignment horizontal="center" vertical="center"/>
    </xf>
    <xf numFmtId="165" fontId="40" fillId="8" borderId="14" xfId="0" applyNumberFormat="1" applyFont="1" applyFill="1" applyBorder="1" applyAlignment="1">
      <alignment horizontal="center" vertical="center"/>
    </xf>
    <xf numFmtId="2" fontId="42" fillId="8" borderId="7" xfId="0" applyNumberFormat="1" applyFont="1" applyFill="1" applyBorder="1" applyAlignment="1">
      <alignment horizontal="center" vertical="center"/>
    </xf>
    <xf numFmtId="165" fontId="40" fillId="8" borderId="47" xfId="0" applyNumberFormat="1" applyFont="1" applyFill="1" applyBorder="1" applyAlignment="1">
      <alignment horizontal="center" vertical="center"/>
    </xf>
    <xf numFmtId="0" fontId="44" fillId="0" borderId="0" xfId="0" applyFont="1" applyAlignment="1">
      <alignment horizontal="left" vertical="center"/>
    </xf>
    <xf numFmtId="165" fontId="40" fillId="0" borderId="38" xfId="0" applyNumberFormat="1" applyFont="1" applyBorder="1" applyAlignment="1">
      <alignment horizontal="center" vertical="center"/>
    </xf>
    <xf numFmtId="165" fontId="40" fillId="0" borderId="54" xfId="0" applyNumberFormat="1" applyFont="1" applyBorder="1" applyAlignment="1">
      <alignment horizontal="center" vertical="center"/>
    </xf>
    <xf numFmtId="1" fontId="41" fillId="0" borderId="14" xfId="0" applyNumberFormat="1" applyFont="1" applyBorder="1" applyAlignment="1">
      <alignment horizontal="center" vertical="center" wrapText="1"/>
    </xf>
    <xf numFmtId="1" fontId="40" fillId="5" borderId="15" xfId="0" applyNumberFormat="1" applyFont="1" applyFill="1" applyBorder="1" applyAlignment="1">
      <alignment horizontal="center" vertical="center"/>
    </xf>
    <xf numFmtId="1" fontId="40" fillId="7" borderId="43" xfId="0" applyNumberFormat="1" applyFont="1" applyFill="1" applyBorder="1" applyAlignment="1">
      <alignment horizontal="center" vertical="center"/>
    </xf>
    <xf numFmtId="1" fontId="40" fillId="8" borderId="32" xfId="0" applyNumberFormat="1" applyFont="1" applyFill="1" applyBorder="1" applyAlignment="1">
      <alignment horizontal="center" vertical="center"/>
    </xf>
    <xf numFmtId="0" fontId="41" fillId="0" borderId="4" xfId="0" applyFont="1" applyBorder="1" applyAlignment="1">
      <alignment horizontal="center" vertical="center" wrapText="1"/>
    </xf>
    <xf numFmtId="2" fontId="40" fillId="7" borderId="63" xfId="0" applyNumberFormat="1" applyFont="1" applyFill="1" applyBorder="1" applyAlignment="1">
      <alignment horizontal="center" vertical="center"/>
    </xf>
    <xf numFmtId="2" fontId="40" fillId="7" borderId="5" xfId="0" applyNumberFormat="1" applyFont="1" applyFill="1" applyBorder="1" applyAlignment="1">
      <alignment horizontal="center" vertical="center"/>
    </xf>
    <xf numFmtId="2" fontId="40" fillId="8" borderId="5" xfId="0" applyNumberFormat="1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/>
    </xf>
    <xf numFmtId="0" fontId="40" fillId="5" borderId="12" xfId="0" applyFont="1" applyFill="1" applyBorder="1" applyAlignment="1">
      <alignment horizontal="center" vertical="center"/>
    </xf>
    <xf numFmtId="0" fontId="40" fillId="5" borderId="10" xfId="0" applyFont="1" applyFill="1" applyBorder="1" applyAlignment="1">
      <alignment horizontal="center" vertical="center"/>
    </xf>
    <xf numFmtId="0" fontId="40" fillId="5" borderId="11" xfId="0" applyFont="1" applyFill="1" applyBorder="1" applyAlignment="1">
      <alignment horizontal="center" vertical="center"/>
    </xf>
    <xf numFmtId="0" fontId="40" fillId="7" borderId="19" xfId="0" applyFont="1" applyFill="1" applyBorder="1" applyAlignment="1">
      <alignment horizontal="center" vertical="center"/>
    </xf>
    <xf numFmtId="0" fontId="40" fillId="7" borderId="11" xfId="0" applyFont="1" applyFill="1" applyBorder="1" applyAlignment="1">
      <alignment horizontal="center" vertical="center"/>
    </xf>
    <xf numFmtId="0" fontId="40" fillId="8" borderId="19" xfId="0" applyFont="1" applyFill="1" applyBorder="1" applyAlignment="1">
      <alignment horizontal="center" vertical="center"/>
    </xf>
    <xf numFmtId="0" fontId="40" fillId="8" borderId="11" xfId="0" applyFont="1" applyFill="1" applyBorder="1" applyAlignment="1">
      <alignment horizontal="center" vertical="center"/>
    </xf>
    <xf numFmtId="1" fontId="40" fillId="0" borderId="54" xfId="0" applyNumberFormat="1" applyFont="1" applyBorder="1" applyAlignment="1">
      <alignment horizontal="center" vertical="center"/>
    </xf>
    <xf numFmtId="1" fontId="40" fillId="5" borderId="51" xfId="0" applyNumberFormat="1" applyFont="1" applyFill="1" applyBorder="1" applyAlignment="1">
      <alignment horizontal="center" vertical="center"/>
    </xf>
    <xf numFmtId="1" fontId="40" fillId="7" borderId="32" xfId="0" applyNumberFormat="1" applyFont="1" applyFill="1" applyBorder="1" applyAlignment="1">
      <alignment horizontal="center" vertical="center"/>
    </xf>
    <xf numFmtId="1" fontId="40" fillId="7" borderId="15" xfId="0" applyNumberFormat="1" applyFont="1" applyFill="1" applyBorder="1" applyAlignment="1">
      <alignment horizontal="center" vertical="center"/>
    </xf>
    <xf numFmtId="1" fontId="40" fillId="7" borderId="54" xfId="0" applyNumberFormat="1" applyFont="1" applyFill="1" applyBorder="1" applyAlignment="1">
      <alignment horizontal="center" vertical="center"/>
    </xf>
    <xf numFmtId="0" fontId="40" fillId="5" borderId="16" xfId="0" applyFont="1" applyFill="1" applyBorder="1" applyAlignment="1">
      <alignment horizontal="center" vertical="center"/>
    </xf>
    <xf numFmtId="0" fontId="40" fillId="7" borderId="10" xfId="0" applyFont="1" applyFill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1" fontId="40" fillId="0" borderId="51" xfId="0" applyNumberFormat="1" applyFont="1" applyBorder="1" applyAlignment="1">
      <alignment horizontal="center" vertical="center"/>
    </xf>
    <xf numFmtId="1" fontId="40" fillId="5" borderId="54" xfId="0" applyNumberFormat="1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0" fontId="40" fillId="5" borderId="19" xfId="0" applyFont="1" applyFill="1" applyBorder="1" applyAlignment="1">
      <alignment horizontal="center" vertical="center"/>
    </xf>
    <xf numFmtId="1" fontId="40" fillId="0" borderId="66" xfId="0" applyNumberFormat="1" applyFont="1" applyBorder="1" applyAlignment="1">
      <alignment horizontal="center" vertical="center"/>
    </xf>
    <xf numFmtId="165" fontId="40" fillId="5" borderId="66" xfId="0" applyNumberFormat="1" applyFont="1" applyFill="1" applyBorder="1" applyAlignment="1">
      <alignment horizontal="center" vertical="center"/>
    </xf>
    <xf numFmtId="1" fontId="40" fillId="5" borderId="66" xfId="0" applyNumberFormat="1" applyFont="1" applyFill="1" applyBorder="1" applyAlignment="1">
      <alignment horizontal="center" vertical="center"/>
    </xf>
    <xf numFmtId="1" fontId="40" fillId="8" borderId="15" xfId="0" applyNumberFormat="1" applyFont="1" applyFill="1" applyBorder="1" applyAlignment="1">
      <alignment horizontal="center" vertical="center"/>
    </xf>
    <xf numFmtId="2" fontId="40" fillId="5" borderId="63" xfId="0" applyNumberFormat="1" applyFont="1" applyFill="1" applyBorder="1" applyAlignment="1">
      <alignment horizontal="center" vertical="center"/>
    </xf>
    <xf numFmtId="2" fontId="40" fillId="7" borderId="27" xfId="0" applyNumberFormat="1" applyFont="1" applyFill="1" applyBorder="1" applyAlignment="1">
      <alignment horizontal="center" vertical="center"/>
    </xf>
    <xf numFmtId="2" fontId="40" fillId="8" borderId="63" xfId="0" applyNumberFormat="1" applyFont="1" applyFill="1" applyBorder="1" applyAlignment="1">
      <alignment horizontal="center" vertical="center"/>
    </xf>
    <xf numFmtId="2" fontId="40" fillId="8" borderId="27" xfId="0" applyNumberFormat="1" applyFont="1" applyFill="1" applyBorder="1" applyAlignment="1">
      <alignment horizontal="center" vertical="center"/>
    </xf>
    <xf numFmtId="0" fontId="40" fillId="8" borderId="10" xfId="0" applyFont="1" applyFill="1" applyBorder="1" applyAlignment="1">
      <alignment horizontal="center" vertical="center"/>
    </xf>
    <xf numFmtId="165" fontId="40" fillId="7" borderId="10" xfId="0" applyNumberFormat="1" applyFont="1" applyFill="1" applyBorder="1" applyAlignment="1">
      <alignment horizontal="center" vertical="center"/>
    </xf>
    <xf numFmtId="165" fontId="40" fillId="7" borderId="66" xfId="0" applyNumberFormat="1" applyFont="1" applyFill="1" applyBorder="1" applyAlignment="1">
      <alignment horizontal="center" vertical="center"/>
    </xf>
    <xf numFmtId="1" fontId="40" fillId="7" borderId="66" xfId="0" applyNumberFormat="1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5" borderId="19" xfId="0" applyFont="1" applyFill="1" applyBorder="1" applyAlignment="1">
      <alignment horizontal="center" vertical="center" wrapText="1"/>
    </xf>
    <xf numFmtId="0" fontId="40" fillId="5" borderId="16" xfId="0" applyFont="1" applyFill="1" applyBorder="1" applyAlignment="1">
      <alignment horizontal="center" vertical="center" wrapText="1"/>
    </xf>
    <xf numFmtId="0" fontId="40" fillId="5" borderId="10" xfId="0" applyFont="1" applyFill="1" applyBorder="1" applyAlignment="1">
      <alignment horizontal="center" vertical="center" wrapText="1"/>
    </xf>
    <xf numFmtId="0" fontId="40" fillId="5" borderId="12" xfId="0" applyFont="1" applyFill="1" applyBorder="1" applyAlignment="1">
      <alignment horizontal="center" vertical="center" wrapText="1"/>
    </xf>
    <xf numFmtId="0" fontId="40" fillId="5" borderId="11" xfId="0" applyFont="1" applyFill="1" applyBorder="1" applyAlignment="1">
      <alignment horizontal="center" vertical="center" wrapText="1"/>
    </xf>
    <xf numFmtId="0" fontId="40" fillId="7" borderId="19" xfId="0" applyFont="1" applyFill="1" applyBorder="1" applyAlignment="1">
      <alignment horizontal="center" vertical="center" wrapText="1"/>
    </xf>
    <xf numFmtId="0" fontId="40" fillId="7" borderId="10" xfId="0" applyFont="1" applyFill="1" applyBorder="1" applyAlignment="1">
      <alignment horizontal="center" vertical="center" wrapText="1"/>
    </xf>
    <xf numFmtId="0" fontId="40" fillId="7" borderId="11" xfId="0" applyFont="1" applyFill="1" applyBorder="1" applyAlignment="1">
      <alignment horizontal="center" vertical="center" wrapText="1"/>
    </xf>
    <xf numFmtId="0" fontId="40" fillId="0" borderId="11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2" fontId="40" fillId="0" borderId="14" xfId="0" applyNumberFormat="1" applyFont="1" applyBorder="1" applyAlignment="1">
      <alignment horizontal="center" vertical="center"/>
    </xf>
    <xf numFmtId="2" fontId="40" fillId="5" borderId="14" xfId="0" applyNumberFormat="1" applyFont="1" applyFill="1" applyBorder="1" applyAlignment="1">
      <alignment horizontal="center" vertical="center"/>
    </xf>
    <xf numFmtId="2" fontId="40" fillId="7" borderId="14" xfId="0" applyNumberFormat="1" applyFont="1" applyFill="1" applyBorder="1" applyAlignment="1">
      <alignment horizontal="center" vertical="center"/>
    </xf>
    <xf numFmtId="0" fontId="41" fillId="0" borderId="0" xfId="0" applyFont="1" applyAlignment="1">
      <alignment horizontal="left" vertical="center"/>
    </xf>
    <xf numFmtId="1" fontId="50" fillId="5" borderId="15" xfId="0" applyNumberFormat="1" applyFont="1" applyFill="1" applyBorder="1" applyAlignment="1">
      <alignment horizontal="center" vertical="center"/>
    </xf>
    <xf numFmtId="2" fontId="50" fillId="5" borderId="9" xfId="0" applyNumberFormat="1" applyFont="1" applyFill="1" applyBorder="1" applyAlignment="1">
      <alignment horizontal="center" vertical="center"/>
    </xf>
    <xf numFmtId="0" fontId="50" fillId="5" borderId="12" xfId="0" applyFont="1" applyFill="1" applyBorder="1" applyAlignment="1">
      <alignment horizontal="center" vertical="center"/>
    </xf>
    <xf numFmtId="0" fontId="50" fillId="5" borderId="11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2" fontId="40" fillId="7" borderId="9" xfId="0" applyNumberFormat="1" applyFont="1" applyFill="1" applyBorder="1" applyAlignment="1">
      <alignment horizontal="center" vertical="center"/>
    </xf>
    <xf numFmtId="2" fontId="40" fillId="8" borderId="9" xfId="0" applyNumberFormat="1" applyFont="1" applyFill="1" applyBorder="1" applyAlignment="1">
      <alignment horizontal="center" vertical="center"/>
    </xf>
    <xf numFmtId="1" fontId="41" fillId="0" borderId="28" xfId="0" applyNumberFormat="1" applyFont="1" applyBorder="1" applyAlignment="1">
      <alignment horizontal="center" vertical="center" wrapText="1"/>
    </xf>
    <xf numFmtId="1" fontId="41" fillId="0" borderId="23" xfId="0" applyNumberFormat="1" applyFont="1" applyBorder="1" applyAlignment="1">
      <alignment horizontal="center" vertical="center" wrapText="1"/>
    </xf>
    <xf numFmtId="1" fontId="41" fillId="0" borderId="27" xfId="0" applyNumberFormat="1" applyFont="1" applyBorder="1" applyAlignment="1">
      <alignment horizontal="center" vertical="center" wrapText="1"/>
    </xf>
    <xf numFmtId="1" fontId="40" fillId="8" borderId="11" xfId="0" applyNumberFormat="1" applyFont="1" applyFill="1" applyBorder="1" applyAlignment="1">
      <alignment horizontal="center" vertical="center"/>
    </xf>
    <xf numFmtId="2" fontId="40" fillId="0" borderId="56" xfId="0" applyNumberFormat="1" applyFont="1" applyBorder="1" applyAlignment="1">
      <alignment horizontal="center" vertical="center"/>
    </xf>
    <xf numFmtId="1" fontId="40" fillId="9" borderId="19" xfId="0" applyNumberFormat="1" applyFont="1" applyFill="1" applyBorder="1" applyAlignment="1">
      <alignment horizontal="center" vertical="center"/>
    </xf>
    <xf numFmtId="1" fontId="40" fillId="9" borderId="31" xfId="0" applyNumberFormat="1" applyFont="1" applyFill="1" applyBorder="1" applyAlignment="1">
      <alignment horizontal="center" vertical="center"/>
    </xf>
    <xf numFmtId="1" fontId="40" fillId="9" borderId="10" xfId="0" applyNumberFormat="1" applyFont="1" applyFill="1" applyBorder="1" applyAlignment="1">
      <alignment horizontal="center" vertical="center"/>
    </xf>
    <xf numFmtId="1" fontId="40" fillId="9" borderId="1" xfId="0" applyNumberFormat="1" applyFont="1" applyFill="1" applyBorder="1" applyAlignment="1">
      <alignment horizontal="center" vertical="center"/>
    </xf>
    <xf numFmtId="1" fontId="40" fillId="9" borderId="11" xfId="0" applyNumberFormat="1" applyFont="1" applyFill="1" applyBorder="1" applyAlignment="1">
      <alignment horizontal="center" vertical="center"/>
    </xf>
    <xf numFmtId="1" fontId="40" fillId="9" borderId="3" xfId="0" applyNumberFormat="1" applyFont="1" applyFill="1" applyBorder="1" applyAlignment="1">
      <alignment horizontal="center" vertical="center"/>
    </xf>
    <xf numFmtId="0" fontId="40" fillId="0" borderId="34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5" fontId="40" fillId="3" borderId="1" xfId="0" applyNumberFormat="1" applyFont="1" applyFill="1" applyBorder="1" applyAlignment="1">
      <alignment horizontal="center" vertical="center"/>
    </xf>
    <xf numFmtId="165" fontId="40" fillId="3" borderId="3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2" fontId="42" fillId="0" borderId="12" xfId="0" applyNumberFormat="1" applyFont="1" applyBorder="1" applyAlignment="1">
      <alignment vertical="center"/>
    </xf>
    <xf numFmtId="0" fontId="43" fillId="0" borderId="2" xfId="0" applyFont="1" applyBorder="1" applyAlignment="1">
      <alignment horizontal="center" vertical="center"/>
    </xf>
    <xf numFmtId="2" fontId="40" fillId="0" borderId="50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2" fontId="40" fillId="0" borderId="45" xfId="0" applyNumberFormat="1" applyFont="1" applyBorder="1" applyAlignment="1">
      <alignment horizontal="center" vertical="center"/>
    </xf>
    <xf numFmtId="2" fontId="40" fillId="0" borderId="51" xfId="0" applyNumberFormat="1" applyFont="1" applyBorder="1" applyAlignment="1">
      <alignment horizontal="center" vertical="center"/>
    </xf>
    <xf numFmtId="0" fontId="40" fillId="5" borderId="56" xfId="0" applyFont="1" applyFill="1" applyBorder="1" applyAlignment="1">
      <alignment horizontal="center" vertical="center"/>
    </xf>
    <xf numFmtId="0" fontId="42" fillId="5" borderId="10" xfId="0" applyFont="1" applyFill="1" applyBorder="1" applyAlignment="1">
      <alignment horizontal="center" vertical="center"/>
    </xf>
    <xf numFmtId="0" fontId="42" fillId="5" borderId="16" xfId="0" applyFont="1" applyFill="1" applyBorder="1" applyAlignment="1">
      <alignment horizontal="center" vertical="center"/>
    </xf>
    <xf numFmtId="0" fontId="42" fillId="5" borderId="11" xfId="0" applyFont="1" applyFill="1" applyBorder="1" applyAlignment="1">
      <alignment horizontal="center" vertical="center"/>
    </xf>
    <xf numFmtId="165" fontId="40" fillId="3" borderId="1" xfId="0" applyNumberFormat="1" applyFont="1" applyFill="1" applyBorder="1" applyAlignment="1">
      <alignment horizontal="center" vertical="center" wrapText="1"/>
    </xf>
    <xf numFmtId="165" fontId="40" fillId="3" borderId="36" xfId="0" applyNumberFormat="1" applyFont="1" applyFill="1" applyBorder="1" applyAlignment="1">
      <alignment horizontal="center" vertical="center" wrapText="1"/>
    </xf>
    <xf numFmtId="165" fontId="40" fillId="3" borderId="36" xfId="0" applyNumberFormat="1" applyFont="1" applyFill="1" applyBorder="1" applyAlignment="1">
      <alignment horizontal="center" vertical="center"/>
    </xf>
    <xf numFmtId="165" fontId="40" fillId="3" borderId="3" xfId="0" applyNumberFormat="1" applyFont="1" applyFill="1" applyBorder="1" applyAlignment="1">
      <alignment horizontal="center" vertical="center" wrapText="1"/>
    </xf>
    <xf numFmtId="0" fontId="41" fillId="0" borderId="16" xfId="1" applyFont="1" applyBorder="1" applyAlignment="1">
      <alignment horizontal="center" vertical="center" wrapText="1"/>
    </xf>
    <xf numFmtId="0" fontId="41" fillId="0" borderId="23" xfId="1" applyFont="1" applyBorder="1" applyAlignment="1">
      <alignment horizontal="center" vertical="center" wrapText="1"/>
    </xf>
    <xf numFmtId="0" fontId="41" fillId="0" borderId="22" xfId="1" applyFont="1" applyBorder="1" applyAlignment="1">
      <alignment horizontal="center" vertical="center" wrapText="1"/>
    </xf>
    <xf numFmtId="0" fontId="41" fillId="0" borderId="26" xfId="1" applyFont="1" applyBorder="1" applyAlignment="1">
      <alignment horizontal="center" vertical="center" wrapText="1"/>
    </xf>
    <xf numFmtId="165" fontId="40" fillId="10" borderId="12" xfId="0" applyNumberFormat="1" applyFont="1" applyFill="1" applyBorder="1" applyAlignment="1">
      <alignment horizontal="center" vertical="center"/>
    </xf>
    <xf numFmtId="165" fontId="40" fillId="10" borderId="13" xfId="0" applyNumberFormat="1" applyFont="1" applyFill="1" applyBorder="1" applyAlignment="1">
      <alignment horizontal="center" vertical="center"/>
    </xf>
    <xf numFmtId="165" fontId="40" fillId="10" borderId="10" xfId="0" applyNumberFormat="1" applyFont="1" applyFill="1" applyBorder="1" applyAlignment="1">
      <alignment horizontal="center" vertical="center"/>
    </xf>
    <xf numFmtId="165" fontId="40" fillId="10" borderId="6" xfId="0" applyNumberFormat="1" applyFont="1" applyFill="1" applyBorder="1" applyAlignment="1">
      <alignment horizontal="center" vertical="center"/>
    </xf>
    <xf numFmtId="0" fontId="41" fillId="0" borderId="0" xfId="1" applyFont="1" applyAlignment="1">
      <alignment horizontal="center" vertical="center" wrapText="1"/>
    </xf>
    <xf numFmtId="165" fontId="40" fillId="0" borderId="0" xfId="0" applyNumberFormat="1" applyFont="1" applyAlignment="1">
      <alignment horizontal="center" vertical="center"/>
    </xf>
    <xf numFmtId="2" fontId="42" fillId="0" borderId="0" xfId="1" applyNumberFormat="1" applyFont="1" applyAlignment="1">
      <alignment horizontal="center" vertical="center" wrapText="1"/>
    </xf>
    <xf numFmtId="0" fontId="54" fillId="0" borderId="0" xfId="0" applyFont="1" applyAlignment="1">
      <alignment vertical="center"/>
    </xf>
    <xf numFmtId="0" fontId="54" fillId="0" borderId="0" xfId="0" applyFont="1" applyAlignment="1">
      <alignment horizontal="left" vertical="center"/>
    </xf>
    <xf numFmtId="0" fontId="55" fillId="0" borderId="0" xfId="0" applyFont="1" applyAlignment="1">
      <alignment vertical="center"/>
    </xf>
    <xf numFmtId="0" fontId="56" fillId="0" borderId="0" xfId="0" applyFont="1" applyAlignment="1">
      <alignment horizontal="center" vertical="center"/>
    </xf>
    <xf numFmtId="165" fontId="57" fillId="11" borderId="0" xfId="0" applyNumberFormat="1" applyFont="1" applyFill="1" applyAlignment="1">
      <alignment horizontal="center" vertical="center"/>
    </xf>
    <xf numFmtId="1" fontId="57" fillId="11" borderId="0" xfId="0" applyNumberFormat="1" applyFont="1" applyFill="1" applyAlignment="1">
      <alignment horizontal="center" vertical="center"/>
    </xf>
    <xf numFmtId="0" fontId="57" fillId="0" borderId="0" xfId="0" applyFont="1" applyAlignment="1">
      <alignment horizontal="center" vertical="center"/>
    </xf>
    <xf numFmtId="2" fontId="58" fillId="0" borderId="1" xfId="1" applyNumberFormat="1" applyFont="1" applyBorder="1" applyAlignment="1">
      <alignment horizontal="center" vertical="center" textRotation="90" wrapText="1"/>
    </xf>
    <xf numFmtId="2" fontId="59" fillId="0" borderId="1" xfId="0" applyNumberFormat="1" applyFont="1" applyBorder="1" applyAlignment="1">
      <alignment horizontal="center" vertical="center" textRotation="90" wrapText="1"/>
    </xf>
    <xf numFmtId="2" fontId="58" fillId="0" borderId="1" xfId="1" applyNumberFormat="1" applyFont="1" applyBorder="1" applyAlignment="1">
      <alignment horizontal="center" vertical="center" wrapText="1"/>
    </xf>
    <xf numFmtId="2" fontId="59" fillId="0" borderId="1" xfId="0" applyNumberFormat="1" applyFont="1" applyBorder="1" applyAlignment="1">
      <alignment horizontal="center" vertical="center" wrapText="1"/>
    </xf>
    <xf numFmtId="0" fontId="58" fillId="12" borderId="1" xfId="0" applyFont="1" applyFill="1" applyBorder="1" applyAlignment="1">
      <alignment horizontal="center" vertical="center" wrapText="1"/>
    </xf>
    <xf numFmtId="165" fontId="57" fillId="0" borderId="1" xfId="0" applyNumberFormat="1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2" fontId="57" fillId="0" borderId="1" xfId="1" applyNumberFormat="1" applyFont="1" applyBorder="1" applyAlignment="1">
      <alignment horizontal="center" vertical="center" wrapText="1"/>
    </xf>
    <xf numFmtId="2" fontId="57" fillId="10" borderId="1" xfId="0" applyNumberFormat="1" applyFont="1" applyFill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165" fontId="57" fillId="13" borderId="1" xfId="0" applyNumberFormat="1" applyFont="1" applyFill="1" applyBorder="1" applyAlignment="1">
      <alignment horizontal="center" vertical="center"/>
    </xf>
    <xf numFmtId="0" fontId="60" fillId="0" borderId="1" xfId="1" applyFont="1" applyBorder="1" applyAlignment="1">
      <alignment horizontal="left" vertical="center" wrapText="1"/>
    </xf>
    <xf numFmtId="0" fontId="58" fillId="0" borderId="1" xfId="1" applyFont="1" applyBorder="1" applyAlignment="1">
      <alignment vertical="center" wrapText="1"/>
    </xf>
    <xf numFmtId="2" fontId="57" fillId="0" borderId="1" xfId="0" applyNumberFormat="1" applyFont="1" applyBorder="1" applyAlignment="1">
      <alignment vertical="center"/>
    </xf>
    <xf numFmtId="2" fontId="57" fillId="0" borderId="1" xfId="0" applyNumberFormat="1" applyFont="1" applyBorder="1" applyAlignment="1">
      <alignment vertical="center" wrapText="1"/>
    </xf>
    <xf numFmtId="2" fontId="57" fillId="12" borderId="1" xfId="0" applyNumberFormat="1" applyFont="1" applyFill="1" applyBorder="1" applyAlignment="1">
      <alignment horizontal="center" vertical="center"/>
    </xf>
    <xf numFmtId="165" fontId="57" fillId="14" borderId="1" xfId="0" applyNumberFormat="1" applyFont="1" applyFill="1" applyBorder="1" applyAlignment="1">
      <alignment horizontal="center" vertical="center"/>
    </xf>
    <xf numFmtId="2" fontId="58" fillId="13" borderId="1" xfId="1" applyNumberFormat="1" applyFont="1" applyFill="1" applyBorder="1" applyAlignment="1">
      <alignment horizontal="center" vertical="center" wrapText="1"/>
    </xf>
    <xf numFmtId="165" fontId="58" fillId="13" borderId="1" xfId="1" applyNumberFormat="1" applyFont="1" applyFill="1" applyBorder="1" applyAlignment="1">
      <alignment horizontal="center" vertical="center" wrapText="1"/>
    </xf>
    <xf numFmtId="165" fontId="57" fillId="0" borderId="1" xfId="1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left" vertical="center"/>
    </xf>
    <xf numFmtId="1" fontId="57" fillId="15" borderId="1" xfId="0" applyNumberFormat="1" applyFont="1" applyFill="1" applyBorder="1" applyAlignment="1">
      <alignment horizontal="center" vertical="center"/>
    </xf>
    <xf numFmtId="165" fontId="57" fillId="0" borderId="0" xfId="0" applyNumberFormat="1" applyFont="1" applyAlignment="1">
      <alignment horizontal="center" vertical="center"/>
    </xf>
    <xf numFmtId="1" fontId="57" fillId="0" borderId="0" xfId="0" applyNumberFormat="1" applyFont="1" applyAlignment="1">
      <alignment horizontal="center" vertical="center"/>
    </xf>
    <xf numFmtId="0" fontId="61" fillId="0" borderId="0" xfId="1" applyFont="1" applyAlignment="1">
      <alignment horizontal="center" vertical="center" textRotation="90" wrapText="1"/>
    </xf>
    <xf numFmtId="0" fontId="60" fillId="0" borderId="0" xfId="1" applyFont="1" applyAlignment="1">
      <alignment horizontal="left" vertical="center" wrapText="1"/>
    </xf>
    <xf numFmtId="2" fontId="57" fillId="0" borderId="0" xfId="0" applyNumberFormat="1" applyFont="1" applyAlignment="1">
      <alignment horizontal="center" vertical="center"/>
    </xf>
    <xf numFmtId="164" fontId="51" fillId="0" borderId="0" xfId="0" applyNumberFormat="1" applyFont="1" applyAlignment="1">
      <alignment vertical="center"/>
    </xf>
    <xf numFmtId="164" fontId="40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0" fontId="62" fillId="0" borderId="0" xfId="0" applyFont="1" applyAlignment="1">
      <alignment horizontal="center" vertical="center"/>
    </xf>
    <xf numFmtId="0" fontId="1" fillId="0" borderId="36" xfId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58" fillId="0" borderId="1" xfId="1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textRotation="90" wrapText="1"/>
    </xf>
    <xf numFmtId="2" fontId="58" fillId="0" borderId="1" xfId="0" applyNumberFormat="1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1" xfId="1" applyFont="1" applyBorder="1" applyAlignment="1">
      <alignment horizontal="center" vertical="center" textRotation="90" wrapText="1"/>
    </xf>
    <xf numFmtId="2" fontId="57" fillId="0" borderId="1" xfId="0" applyNumberFormat="1" applyFont="1" applyBorder="1" applyAlignment="1">
      <alignment horizontal="center" vertical="center" wrapText="1"/>
    </xf>
    <xf numFmtId="2" fontId="57" fillId="0" borderId="1" xfId="0" applyNumberFormat="1" applyFont="1" applyBorder="1" applyAlignment="1">
      <alignment horizontal="center" vertical="center"/>
    </xf>
    <xf numFmtId="0" fontId="1" fillId="0" borderId="28" xfId="1" applyFont="1" applyBorder="1" applyAlignment="1">
      <alignment horizontal="center" vertical="center" wrapText="1"/>
    </xf>
    <xf numFmtId="2" fontId="4" fillId="0" borderId="1" xfId="1" applyNumberFormat="1" applyFont="1" applyBorder="1" applyAlignment="1">
      <alignment horizontal="center" vertical="center" textRotation="90" wrapText="1"/>
    </xf>
    <xf numFmtId="2" fontId="4" fillId="0" borderId="1" xfId="0" applyNumberFormat="1" applyFont="1" applyBorder="1" applyAlignment="1">
      <alignment horizontal="center" vertical="center" textRotation="90" wrapText="1"/>
    </xf>
    <xf numFmtId="0" fontId="1" fillId="16" borderId="1" xfId="0" applyFont="1" applyFill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2" fontId="1" fillId="0" borderId="28" xfId="1" applyNumberFormat="1" applyFont="1" applyBorder="1" applyAlignment="1">
      <alignment horizontal="center" vertical="center" wrapText="1"/>
    </xf>
    <xf numFmtId="2" fontId="1" fillId="0" borderId="28" xfId="0" applyNumberFormat="1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1" fontId="1" fillId="0" borderId="28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2" fontId="7" fillId="16" borderId="1" xfId="0" applyNumberFormat="1" applyFont="1" applyFill="1" applyBorder="1" applyAlignment="1">
      <alignment horizontal="center" vertical="center"/>
    </xf>
    <xf numFmtId="1" fontId="7" fillId="0" borderId="8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1" fillId="0" borderId="0" xfId="0" applyFont="1"/>
    <xf numFmtId="0" fontId="7" fillId="0" borderId="0" xfId="0" applyFont="1" applyAlignment="1">
      <alignment horizontal="center"/>
    </xf>
    <xf numFmtId="0" fontId="7" fillId="0" borderId="0" xfId="1" applyFont="1" applyAlignment="1">
      <alignment horizontal="center" vertical="center" wrapText="1"/>
    </xf>
    <xf numFmtId="2" fontId="7" fillId="0" borderId="0" xfId="0" applyNumberFormat="1" applyFont="1"/>
    <xf numFmtId="0" fontId="8" fillId="0" borderId="0" xfId="0" applyFont="1" applyAlignment="1">
      <alignment horizontal="center"/>
    </xf>
    <xf numFmtId="1" fontId="7" fillId="0" borderId="0" xfId="0" applyNumberFormat="1" applyFont="1"/>
    <xf numFmtId="1" fontId="7" fillId="0" borderId="0" xfId="0" applyNumberFormat="1" applyFont="1" applyAlignment="1">
      <alignment horizontal="center"/>
    </xf>
    <xf numFmtId="0" fontId="9" fillId="0" borderId="0" xfId="0" applyFont="1"/>
    <xf numFmtId="14" fontId="7" fillId="0" borderId="0" xfId="0" applyNumberFormat="1" applyFont="1"/>
    <xf numFmtId="0" fontId="1" fillId="0" borderId="0" xfId="1" applyFont="1" applyAlignment="1">
      <alignment horizontal="center" vertical="center" wrapText="1"/>
    </xf>
    <xf numFmtId="2" fontId="7" fillId="0" borderId="0" xfId="1" applyNumberFormat="1" applyFont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/>
    </xf>
    <xf numFmtId="2" fontId="7" fillId="0" borderId="0" xfId="0" applyNumberFormat="1" applyFont="1" applyAlignment="1">
      <alignment horizontal="center" vertical="center"/>
    </xf>
    <xf numFmtId="2" fontId="7" fillId="16" borderId="0" xfId="0" applyNumberFormat="1" applyFont="1" applyFill="1" applyAlignment="1">
      <alignment horizontal="center" vertical="center"/>
    </xf>
    <xf numFmtId="1" fontId="11" fillId="2" borderId="0" xfId="0" applyNumberFormat="1" applyFont="1" applyFill="1" applyAlignment="1">
      <alignment horizontal="center" vertical="center"/>
    </xf>
    <xf numFmtId="0" fontId="60" fillId="0" borderId="0" xfId="0" applyFont="1" applyAlignment="1">
      <alignment horizontal="center" vertical="center"/>
    </xf>
    <xf numFmtId="2" fontId="57" fillId="0" borderId="0" xfId="1" applyNumberFormat="1" applyFont="1" applyAlignment="1">
      <alignment horizontal="center" vertical="center" wrapText="1"/>
    </xf>
    <xf numFmtId="2" fontId="57" fillId="0" borderId="0" xfId="0" applyNumberFormat="1" applyFont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57" fillId="0" borderId="0" xfId="0" applyFont="1" applyAlignment="1">
      <alignment horizontal="left" vertical="center"/>
    </xf>
    <xf numFmtId="0" fontId="58" fillId="17" borderId="1" xfId="1" applyFont="1" applyFill="1" applyBorder="1" applyAlignment="1">
      <alignment horizontal="center" vertical="center" textRotation="90" wrapText="1"/>
    </xf>
    <xf numFmtId="0" fontId="60" fillId="17" borderId="1" xfId="1" applyFont="1" applyFill="1" applyBorder="1" applyAlignment="1">
      <alignment horizontal="left" vertical="center" wrapText="1"/>
    </xf>
    <xf numFmtId="0" fontId="57" fillId="17" borderId="1" xfId="0" applyFont="1" applyFill="1" applyBorder="1" applyAlignment="1">
      <alignment horizontal="center" vertical="center"/>
    </xf>
    <xf numFmtId="0" fontId="60" fillId="17" borderId="1" xfId="0" applyFont="1" applyFill="1" applyBorder="1" applyAlignment="1">
      <alignment horizontal="center" vertical="center"/>
    </xf>
    <xf numFmtId="2" fontId="57" fillId="17" borderId="1" xfId="1" applyNumberFormat="1" applyFont="1" applyFill="1" applyBorder="1" applyAlignment="1">
      <alignment horizontal="center" vertical="center" wrapText="1"/>
    </xf>
    <xf numFmtId="2" fontId="57" fillId="17" borderId="1" xfId="0" applyNumberFormat="1" applyFont="1" applyFill="1" applyBorder="1" applyAlignment="1">
      <alignment horizontal="center" vertical="center"/>
    </xf>
    <xf numFmtId="0" fontId="60" fillId="17" borderId="1" xfId="0" applyFont="1" applyFill="1" applyBorder="1" applyAlignment="1">
      <alignment horizontal="center" vertical="center" wrapText="1"/>
    </xf>
    <xf numFmtId="0" fontId="57" fillId="17" borderId="1" xfId="0" applyFont="1" applyFill="1" applyBorder="1" applyAlignment="1">
      <alignment horizontal="center" vertical="center" wrapText="1"/>
    </xf>
    <xf numFmtId="165" fontId="57" fillId="18" borderId="0" xfId="0" applyNumberFormat="1" applyFont="1" applyFill="1" applyAlignment="1">
      <alignment horizontal="center" vertical="center"/>
    </xf>
    <xf numFmtId="1" fontId="57" fillId="18" borderId="0" xfId="0" applyNumberFormat="1" applyFont="1" applyFill="1" applyAlignment="1">
      <alignment horizontal="center" vertical="center"/>
    </xf>
    <xf numFmtId="0" fontId="57" fillId="17" borderId="0" xfId="0" applyFont="1" applyFill="1" applyAlignment="1">
      <alignment horizontal="center" vertical="center"/>
    </xf>
    <xf numFmtId="0" fontId="40" fillId="17" borderId="0" xfId="0" applyFont="1" applyFill="1" applyAlignment="1">
      <alignment horizontal="center" vertical="center"/>
    </xf>
    <xf numFmtId="0" fontId="1" fillId="0" borderId="1" xfId="1" applyFont="1" applyBorder="1" applyAlignment="1">
      <alignment horizontal="left" vertical="center" wrapText="1"/>
    </xf>
    <xf numFmtId="2" fontId="7" fillId="0" borderId="1" xfId="1" applyNumberFormat="1" applyFont="1" applyBorder="1" applyAlignment="1">
      <alignment horizontal="center" vertical="center" wrapText="1"/>
    </xf>
    <xf numFmtId="165" fontId="40" fillId="15" borderId="12" xfId="0" applyNumberFormat="1" applyFont="1" applyFill="1" applyBorder="1" applyAlignment="1">
      <alignment horizontal="center" vertical="center"/>
    </xf>
    <xf numFmtId="165" fontId="40" fillId="15" borderId="13" xfId="0" applyNumberFormat="1" applyFont="1" applyFill="1" applyBorder="1" applyAlignment="1">
      <alignment horizontal="center" vertical="center"/>
    </xf>
    <xf numFmtId="165" fontId="40" fillId="15" borderId="19" xfId="0" applyNumberFormat="1" applyFont="1" applyFill="1" applyBorder="1" applyAlignment="1">
      <alignment horizontal="center" vertical="center"/>
    </xf>
    <xf numFmtId="165" fontId="40" fillId="15" borderId="20" xfId="0" applyNumberFormat="1" applyFont="1" applyFill="1" applyBorder="1" applyAlignment="1">
      <alignment horizontal="center" vertical="center"/>
    </xf>
    <xf numFmtId="2" fontId="41" fillId="19" borderId="3" xfId="0" applyNumberFormat="1" applyFont="1" applyFill="1" applyBorder="1" applyAlignment="1">
      <alignment horizontal="center" vertical="center"/>
    </xf>
    <xf numFmtId="2" fontId="40" fillId="19" borderId="31" xfId="0" applyNumberFormat="1" applyFont="1" applyFill="1" applyBorder="1" applyAlignment="1">
      <alignment horizontal="center" vertical="center"/>
    </xf>
    <xf numFmtId="2" fontId="40" fillId="19" borderId="1" xfId="0" applyNumberFormat="1" applyFont="1" applyFill="1" applyBorder="1" applyAlignment="1">
      <alignment horizontal="center" vertical="center"/>
    </xf>
    <xf numFmtId="2" fontId="40" fillId="19" borderId="2" xfId="0" applyNumberFormat="1" applyFont="1" applyFill="1" applyBorder="1" applyAlignment="1">
      <alignment horizontal="center" vertical="center"/>
    </xf>
    <xf numFmtId="2" fontId="40" fillId="19" borderId="3" xfId="0" applyNumberFormat="1" applyFont="1" applyFill="1" applyBorder="1" applyAlignment="1">
      <alignment horizontal="center" vertical="center"/>
    </xf>
    <xf numFmtId="0" fontId="40" fillId="19" borderId="0" xfId="0" applyFont="1" applyFill="1" applyAlignment="1">
      <alignment vertical="center"/>
    </xf>
    <xf numFmtId="0" fontId="45" fillId="19" borderId="0" xfId="0" applyFont="1" applyFill="1" applyAlignment="1">
      <alignment vertical="center"/>
    </xf>
    <xf numFmtId="0" fontId="45" fillId="19" borderId="0" xfId="0" applyFont="1" applyFill="1" applyAlignment="1">
      <alignment horizontal="left" vertical="center"/>
    </xf>
    <xf numFmtId="0" fontId="41" fillId="19" borderId="3" xfId="0" applyFont="1" applyFill="1" applyBorder="1" applyAlignment="1">
      <alignment horizontal="center" vertical="center"/>
    </xf>
    <xf numFmtId="0" fontId="40" fillId="19" borderId="31" xfId="0" applyFont="1" applyFill="1" applyBorder="1" applyAlignment="1">
      <alignment horizontal="center" vertical="center"/>
    </xf>
    <xf numFmtId="0" fontId="40" fillId="19" borderId="1" xfId="0" applyFont="1" applyFill="1" applyBorder="1" applyAlignment="1">
      <alignment horizontal="center" vertical="center"/>
    </xf>
    <xf numFmtId="0" fontId="40" fillId="19" borderId="2" xfId="0" applyFont="1" applyFill="1" applyBorder="1" applyAlignment="1">
      <alignment horizontal="center" vertical="center"/>
    </xf>
    <xf numFmtId="0" fontId="40" fillId="19" borderId="3" xfId="0" applyFont="1" applyFill="1" applyBorder="1" applyAlignment="1">
      <alignment horizontal="center" vertical="center"/>
    </xf>
    <xf numFmtId="165" fontId="40" fillId="15" borderId="17" xfId="0" applyNumberFormat="1" applyFont="1" applyFill="1" applyBorder="1" applyAlignment="1">
      <alignment horizontal="center" vertical="center"/>
    </xf>
    <xf numFmtId="165" fontId="40" fillId="15" borderId="45" xfId="0" applyNumberFormat="1" applyFont="1" applyFill="1" applyBorder="1" applyAlignment="1">
      <alignment horizontal="center" vertical="center"/>
    </xf>
    <xf numFmtId="165" fontId="40" fillId="17" borderId="12" xfId="0" applyNumberFormat="1" applyFont="1" applyFill="1" applyBorder="1" applyAlignment="1">
      <alignment horizontal="center" vertical="center"/>
    </xf>
    <xf numFmtId="165" fontId="40" fillId="17" borderId="13" xfId="0" applyNumberFormat="1" applyFont="1" applyFill="1" applyBorder="1" applyAlignment="1">
      <alignment horizontal="center" vertical="center"/>
    </xf>
    <xf numFmtId="2" fontId="40" fillId="20" borderId="0" xfId="0" applyNumberFormat="1" applyFont="1" applyFill="1" applyAlignment="1">
      <alignment vertical="center"/>
    </xf>
    <xf numFmtId="0" fontId="43" fillId="20" borderId="0" xfId="0" applyFont="1" applyFill="1" applyAlignment="1">
      <alignment horizontal="center" vertical="center"/>
    </xf>
    <xf numFmtId="0" fontId="40" fillId="20" borderId="0" xfId="0" applyFont="1" applyFill="1" applyAlignment="1">
      <alignment horizontal="center" vertical="center"/>
    </xf>
    <xf numFmtId="0" fontId="40" fillId="20" borderId="0" xfId="0" applyFont="1" applyFill="1" applyAlignment="1">
      <alignment vertical="center"/>
    </xf>
    <xf numFmtId="0" fontId="63" fillId="20" borderId="0" xfId="0" applyFont="1" applyFill="1" applyAlignment="1">
      <alignment horizontal="center" vertical="center"/>
    </xf>
    <xf numFmtId="0" fontId="64" fillId="20" borderId="0" xfId="0" applyFont="1" applyFill="1" applyAlignment="1">
      <alignment horizontal="left"/>
    </xf>
    <xf numFmtId="2" fontId="58" fillId="20" borderId="1" xfId="1" applyNumberFormat="1" applyFont="1" applyFill="1" applyBorder="1" applyAlignment="1">
      <alignment horizontal="center" vertical="center" textRotation="90" wrapText="1"/>
    </xf>
    <xf numFmtId="2" fontId="59" fillId="20" borderId="1" xfId="0" applyNumberFormat="1" applyFont="1" applyFill="1" applyBorder="1" applyAlignment="1">
      <alignment horizontal="center" vertical="center" textRotation="90" wrapText="1"/>
    </xf>
    <xf numFmtId="0" fontId="58" fillId="20" borderId="1" xfId="0" applyFont="1" applyFill="1" applyBorder="1" applyAlignment="1">
      <alignment horizontal="center" vertical="center" textRotation="90" wrapText="1"/>
    </xf>
    <xf numFmtId="0" fontId="58" fillId="20" borderId="1" xfId="1" applyFont="1" applyFill="1" applyBorder="1" applyAlignment="1">
      <alignment horizontal="center" vertical="center" wrapText="1"/>
    </xf>
    <xf numFmtId="2" fontId="58" fillId="20" borderId="1" xfId="1" applyNumberFormat="1" applyFont="1" applyFill="1" applyBorder="1" applyAlignment="1">
      <alignment horizontal="center" vertical="center" wrapText="1"/>
    </xf>
    <xf numFmtId="2" fontId="59" fillId="20" borderId="1" xfId="0" applyNumberFormat="1" applyFont="1" applyFill="1" applyBorder="1" applyAlignment="1">
      <alignment horizontal="center" vertical="center" wrapText="1"/>
    </xf>
    <xf numFmtId="0" fontId="58" fillId="20" borderId="1" xfId="0" applyFont="1" applyFill="1" applyBorder="1" applyAlignment="1">
      <alignment horizontal="center" vertical="center" wrapText="1"/>
    </xf>
    <xf numFmtId="2" fontId="57" fillId="20" borderId="1" xfId="1" applyNumberFormat="1" applyFont="1" applyFill="1" applyBorder="1" applyAlignment="1">
      <alignment horizontal="center" vertical="center" wrapText="1"/>
    </xf>
    <xf numFmtId="2" fontId="57" fillId="20" borderId="1" xfId="0" applyNumberFormat="1" applyFont="1" applyFill="1" applyBorder="1" applyAlignment="1">
      <alignment horizontal="center" vertical="center"/>
    </xf>
    <xf numFmtId="2" fontId="57" fillId="20" borderId="1" xfId="0" applyNumberFormat="1" applyFont="1" applyFill="1" applyBorder="1" applyAlignment="1">
      <alignment horizontal="center" vertical="center" wrapText="1"/>
    </xf>
    <xf numFmtId="2" fontId="57" fillId="20" borderId="1" xfId="0" applyNumberFormat="1" applyFont="1" applyFill="1" applyBorder="1" applyAlignment="1">
      <alignment vertical="center"/>
    </xf>
    <xf numFmtId="2" fontId="57" fillId="20" borderId="1" xfId="0" applyNumberFormat="1" applyFont="1" applyFill="1" applyBorder="1" applyAlignment="1">
      <alignment vertical="center" wrapText="1"/>
    </xf>
    <xf numFmtId="165" fontId="57" fillId="20" borderId="1" xfId="1" applyNumberFormat="1" applyFont="1" applyFill="1" applyBorder="1" applyAlignment="1">
      <alignment horizontal="center" vertical="center" wrapText="1"/>
    </xf>
    <xf numFmtId="2" fontId="57" fillId="20" borderId="0" xfId="1" applyNumberFormat="1" applyFont="1" applyFill="1" applyAlignment="1">
      <alignment horizontal="center" vertical="center" wrapText="1"/>
    </xf>
    <xf numFmtId="2" fontId="57" fillId="20" borderId="0" xfId="0" applyNumberFormat="1" applyFont="1" applyFill="1" applyAlignment="1">
      <alignment horizontal="center" vertical="center"/>
    </xf>
    <xf numFmtId="2" fontId="57" fillId="20" borderId="0" xfId="0" applyNumberFormat="1" applyFont="1" applyFill="1" applyAlignment="1">
      <alignment horizontal="center" vertical="center" wrapText="1"/>
    </xf>
    <xf numFmtId="1" fontId="57" fillId="20" borderId="0" xfId="0" applyNumberFormat="1" applyFont="1" applyFill="1" applyAlignment="1">
      <alignment horizontal="center" vertical="center"/>
    </xf>
    <xf numFmtId="164" fontId="51" fillId="20" borderId="0" xfId="0" applyNumberFormat="1" applyFont="1" applyFill="1" applyAlignment="1">
      <alignment vertical="center"/>
    </xf>
    <xf numFmtId="164" fontId="40" fillId="20" borderId="0" xfId="0" applyNumberFormat="1" applyFont="1" applyFill="1" applyAlignment="1">
      <alignment vertical="center"/>
    </xf>
    <xf numFmtId="0" fontId="62" fillId="20" borderId="0" xfId="0" applyFont="1" applyFill="1" applyAlignment="1">
      <alignment horizontal="center" vertical="center"/>
    </xf>
    <xf numFmtId="2" fontId="40" fillId="20" borderId="0" xfId="0" applyNumberFormat="1" applyFont="1" applyFill="1" applyAlignment="1">
      <alignment horizontal="center" vertical="center"/>
    </xf>
    <xf numFmtId="2" fontId="65" fillId="20" borderId="1" xfId="0" applyNumberFormat="1" applyFont="1" applyFill="1" applyBorder="1" applyAlignment="1">
      <alignment horizontal="center" vertical="center" wrapText="1"/>
    </xf>
    <xf numFmtId="2" fontId="65" fillId="20" borderId="1" xfId="0" applyNumberFormat="1" applyFont="1" applyFill="1" applyBorder="1" applyAlignment="1">
      <alignment horizontal="center" vertical="center"/>
    </xf>
    <xf numFmtId="2" fontId="41" fillId="0" borderId="16" xfId="1" applyNumberFormat="1" applyFont="1" applyBorder="1" applyAlignment="1">
      <alignment horizontal="center" vertical="center" wrapText="1"/>
    </xf>
    <xf numFmtId="2" fontId="41" fillId="0" borderId="28" xfId="0" applyNumberFormat="1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2" fontId="42" fillId="0" borderId="1" xfId="1" applyNumberFormat="1" applyFont="1" applyBorder="1" applyAlignment="1">
      <alignment horizontal="center" vertical="center" wrapText="1"/>
    </xf>
    <xf numFmtId="2" fontId="42" fillId="0" borderId="3" xfId="1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3" borderId="29" xfId="0" applyFont="1" applyFill="1" applyBorder="1" applyAlignment="1">
      <alignment horizontal="center" vertical="center" wrapText="1"/>
    </xf>
    <xf numFmtId="165" fontId="40" fillId="10" borderId="8" xfId="0" applyNumberFormat="1" applyFont="1" applyFill="1" applyBorder="1" applyAlignment="1">
      <alignment horizontal="center" vertical="center"/>
    </xf>
    <xf numFmtId="165" fontId="40" fillId="10" borderId="14" xfId="0" applyNumberFormat="1" applyFont="1" applyFill="1" applyBorder="1" applyAlignment="1">
      <alignment horizontal="center" vertical="center"/>
    </xf>
    <xf numFmtId="1" fontId="41" fillId="0" borderId="16" xfId="0" applyNumberFormat="1" applyFont="1" applyBorder="1" applyAlignment="1">
      <alignment horizontal="center" vertical="center" wrapText="1"/>
    </xf>
    <xf numFmtId="165" fontId="42" fillId="0" borderId="10" xfId="1" applyNumberFormat="1" applyFont="1" applyBorder="1" applyAlignment="1">
      <alignment horizontal="center" vertical="center" wrapText="1"/>
    </xf>
    <xf numFmtId="165" fontId="42" fillId="0" borderId="1" xfId="1" applyNumberFormat="1" applyFont="1" applyBorder="1" applyAlignment="1">
      <alignment horizontal="center" vertical="center" wrapText="1"/>
    </xf>
    <xf numFmtId="165" fontId="42" fillId="0" borderId="1" xfId="0" applyNumberFormat="1" applyFont="1" applyBorder="1" applyAlignment="1">
      <alignment horizontal="center" vertical="center"/>
    </xf>
    <xf numFmtId="165" fontId="42" fillId="0" borderId="6" xfId="0" applyNumberFormat="1" applyFont="1" applyBorder="1" applyAlignment="1">
      <alignment horizontal="center" vertical="center"/>
    </xf>
    <xf numFmtId="0" fontId="41" fillId="15" borderId="22" xfId="1" applyFont="1" applyFill="1" applyBorder="1" applyAlignment="1">
      <alignment horizontal="center" vertical="center" wrapText="1"/>
    </xf>
    <xf numFmtId="0" fontId="40" fillId="15" borderId="22" xfId="1" applyFont="1" applyFill="1" applyBorder="1" applyAlignment="1">
      <alignment horizontal="center" vertical="center" wrapText="1"/>
    </xf>
    <xf numFmtId="165" fontId="40" fillId="15" borderId="10" xfId="0" applyNumberFormat="1" applyFont="1" applyFill="1" applyBorder="1" applyAlignment="1">
      <alignment horizontal="center" vertical="center"/>
    </xf>
    <xf numFmtId="165" fontId="40" fillId="15" borderId="6" xfId="0" applyNumberFormat="1" applyFont="1" applyFill="1" applyBorder="1" applyAlignment="1">
      <alignment horizontal="center" vertical="center"/>
    </xf>
    <xf numFmtId="2" fontId="42" fillId="15" borderId="10" xfId="1" applyNumberFormat="1" applyFont="1" applyFill="1" applyBorder="1" applyAlignment="1">
      <alignment horizontal="center" vertical="center" wrapText="1"/>
    </xf>
    <xf numFmtId="2" fontId="42" fillId="15" borderId="1" xfId="1" applyNumberFormat="1" applyFont="1" applyFill="1" applyBorder="1" applyAlignment="1">
      <alignment horizontal="center" vertical="center" wrapText="1"/>
    </xf>
    <xf numFmtId="0" fontId="42" fillId="15" borderId="1" xfId="0" applyFont="1" applyFill="1" applyBorder="1" applyAlignment="1">
      <alignment horizontal="center" vertical="center"/>
    </xf>
    <xf numFmtId="0" fontId="42" fillId="15" borderId="6" xfId="0" applyFont="1" applyFill="1" applyBorder="1" applyAlignment="1">
      <alignment horizontal="center" vertical="center"/>
    </xf>
    <xf numFmtId="165" fontId="40" fillId="15" borderId="8" xfId="0" applyNumberFormat="1" applyFont="1" applyFill="1" applyBorder="1" applyAlignment="1">
      <alignment horizontal="center" vertical="center"/>
    </xf>
    <xf numFmtId="1" fontId="40" fillId="15" borderId="10" xfId="0" applyNumberFormat="1" applyFont="1" applyFill="1" applyBorder="1" applyAlignment="1">
      <alignment horizontal="center" vertical="center"/>
    </xf>
    <xf numFmtId="1" fontId="40" fillId="15" borderId="6" xfId="0" applyNumberFormat="1" applyFont="1" applyFill="1" applyBorder="1" applyAlignment="1">
      <alignment horizontal="center" vertical="center"/>
    </xf>
    <xf numFmtId="0" fontId="0" fillId="15" borderId="0" xfId="0" applyFill="1"/>
    <xf numFmtId="166" fontId="40" fillId="0" borderId="12" xfId="0" applyNumberFormat="1" applyFont="1" applyBorder="1" applyAlignment="1">
      <alignment horizontal="center" vertical="center"/>
    </xf>
    <xf numFmtId="166" fontId="40" fillId="0" borderId="2" xfId="0" applyNumberFormat="1" applyFont="1" applyBorder="1" applyAlignment="1">
      <alignment horizontal="center" vertical="center"/>
    </xf>
    <xf numFmtId="166" fontId="40" fillId="0" borderId="10" xfId="0" applyNumberFormat="1" applyFont="1" applyBorder="1" applyAlignment="1">
      <alignment horizontal="center" vertical="center"/>
    </xf>
    <xf numFmtId="166" fontId="40" fillId="0" borderId="1" xfId="0" applyNumberFormat="1" applyFont="1" applyBorder="1" applyAlignment="1">
      <alignment horizontal="center" vertical="center"/>
    </xf>
    <xf numFmtId="166" fontId="40" fillId="5" borderId="12" xfId="0" applyNumberFormat="1" applyFont="1" applyFill="1" applyBorder="1" applyAlignment="1">
      <alignment horizontal="center" vertical="center"/>
    </xf>
    <xf numFmtId="166" fontId="40" fillId="5" borderId="2" xfId="0" applyNumberFormat="1" applyFont="1" applyFill="1" applyBorder="1" applyAlignment="1">
      <alignment horizontal="center" vertical="center"/>
    </xf>
    <xf numFmtId="166" fontId="40" fillId="5" borderId="10" xfId="0" applyNumberFormat="1" applyFont="1" applyFill="1" applyBorder="1" applyAlignment="1">
      <alignment horizontal="center" vertical="center"/>
    </xf>
    <xf numFmtId="166" fontId="40" fillId="5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0" xfId="1" applyFont="1" applyAlignment="1">
      <alignment horizontal="center" vertical="center" wrapText="1"/>
    </xf>
    <xf numFmtId="0" fontId="50" fillId="0" borderId="0" xfId="1" applyFont="1" applyAlignment="1">
      <alignment horizontal="center" vertical="center" wrapText="1"/>
    </xf>
    <xf numFmtId="0" fontId="50" fillId="0" borderId="0" xfId="0" applyFont="1" applyAlignment="1">
      <alignment horizontal="center" vertical="center"/>
    </xf>
    <xf numFmtId="2" fontId="42" fillId="0" borderId="0" xfId="0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 wrapText="1"/>
    </xf>
    <xf numFmtId="2" fontId="50" fillId="0" borderId="0" xfId="0" applyNumberFormat="1" applyFont="1" applyAlignment="1">
      <alignment horizontal="center" vertical="center"/>
    </xf>
    <xf numFmtId="1" fontId="50" fillId="0" borderId="0" xfId="0" applyNumberFormat="1" applyFont="1" applyAlignment="1">
      <alignment horizontal="center" vertical="center"/>
    </xf>
    <xf numFmtId="165" fontId="50" fillId="0" borderId="0" xfId="0" applyNumberFormat="1" applyFont="1" applyAlignment="1">
      <alignment horizontal="center" vertical="center"/>
    </xf>
    <xf numFmtId="0" fontId="52" fillId="5" borderId="67" xfId="1" applyFont="1" applyFill="1" applyBorder="1" applyAlignment="1">
      <alignment vertical="center" wrapText="1"/>
    </xf>
    <xf numFmtId="0" fontId="52" fillId="5" borderId="37" xfId="1" applyFont="1" applyFill="1" applyBorder="1" applyAlignment="1">
      <alignment vertical="center" wrapText="1"/>
    </xf>
    <xf numFmtId="165" fontId="40" fillId="5" borderId="4" xfId="0" applyNumberFormat="1" applyFont="1" applyFill="1" applyBorder="1" applyAlignment="1">
      <alignment horizontal="center" vertical="center"/>
    </xf>
    <xf numFmtId="0" fontId="42" fillId="0" borderId="66" xfId="0" applyFont="1" applyBorder="1" applyAlignment="1">
      <alignment horizontal="center" vertical="center"/>
    </xf>
    <xf numFmtId="0" fontId="42" fillId="0" borderId="68" xfId="0" applyFont="1" applyBorder="1" applyAlignment="1">
      <alignment horizontal="center" vertical="center"/>
    </xf>
    <xf numFmtId="0" fontId="42" fillId="5" borderId="48" xfId="0" applyFont="1" applyFill="1" applyBorder="1" applyAlignment="1">
      <alignment horizontal="center" vertical="center"/>
    </xf>
    <xf numFmtId="0" fontId="42" fillId="5" borderId="66" xfId="0" applyFont="1" applyFill="1" applyBorder="1" applyAlignment="1">
      <alignment horizontal="center" vertical="center"/>
    </xf>
    <xf numFmtId="0" fontId="42" fillId="5" borderId="49" xfId="0" applyFont="1" applyFill="1" applyBorder="1" applyAlignment="1">
      <alignment horizontal="center" vertical="center"/>
    </xf>
    <xf numFmtId="0" fontId="42" fillId="5" borderId="69" xfId="0" applyFont="1" applyFill="1" applyBorder="1" applyAlignment="1">
      <alignment horizontal="center" vertical="center"/>
    </xf>
    <xf numFmtId="165" fontId="50" fillId="5" borderId="3" xfId="0" applyNumberFormat="1" applyFont="1" applyFill="1" applyBorder="1" applyAlignment="1">
      <alignment horizontal="center" vertical="center" wrapText="1"/>
    </xf>
    <xf numFmtId="165" fontId="50" fillId="5" borderId="3" xfId="0" applyNumberFormat="1" applyFont="1" applyFill="1" applyBorder="1" applyAlignment="1">
      <alignment horizontal="center" vertical="center"/>
    </xf>
    <xf numFmtId="2" fontId="50" fillId="5" borderId="19" xfId="0" applyNumberFormat="1" applyFont="1" applyFill="1" applyBorder="1" applyAlignment="1">
      <alignment horizontal="center" vertical="center"/>
    </xf>
    <xf numFmtId="2" fontId="50" fillId="5" borderId="20" xfId="0" applyNumberFormat="1" applyFont="1" applyFill="1" applyBorder="1" applyAlignment="1">
      <alignment horizontal="center" vertical="center"/>
    </xf>
    <xf numFmtId="1" fontId="50" fillId="5" borderId="31" xfId="0" applyNumberFormat="1" applyFont="1" applyFill="1" applyBorder="1" applyAlignment="1">
      <alignment horizontal="center" vertical="center"/>
    </xf>
    <xf numFmtId="165" fontId="50" fillId="3" borderId="16" xfId="0" applyNumberFormat="1" applyFont="1" applyFill="1" applyBorder="1" applyAlignment="1">
      <alignment horizontal="center" vertical="center"/>
    </xf>
    <xf numFmtId="165" fontId="50" fillId="3" borderId="23" xfId="0" applyNumberFormat="1" applyFont="1" applyFill="1" applyBorder="1" applyAlignment="1">
      <alignment horizontal="center" vertical="center"/>
    </xf>
    <xf numFmtId="167" fontId="40" fillId="5" borderId="19" xfId="0" applyNumberFormat="1" applyFont="1" applyFill="1" applyBorder="1" applyAlignment="1">
      <alignment horizontal="center" vertical="center"/>
    </xf>
    <xf numFmtId="167" fontId="40" fillId="5" borderId="20" xfId="0" applyNumberFormat="1" applyFont="1" applyFill="1" applyBorder="1" applyAlignment="1">
      <alignment horizontal="center" vertical="center"/>
    </xf>
    <xf numFmtId="167" fontId="40" fillId="5" borderId="46" xfId="0" applyNumberFormat="1" applyFont="1" applyFill="1" applyBorder="1" applyAlignment="1">
      <alignment horizontal="center" vertical="center"/>
    </xf>
    <xf numFmtId="167" fontId="40" fillId="5" borderId="47" xfId="0" applyNumberFormat="1" applyFont="1" applyFill="1" applyBorder="1" applyAlignment="1">
      <alignment horizontal="center" vertical="center"/>
    </xf>
    <xf numFmtId="0" fontId="52" fillId="5" borderId="37" xfId="0" applyFont="1" applyFill="1" applyBorder="1" applyAlignment="1">
      <alignment horizontal="center" vertical="center"/>
    </xf>
    <xf numFmtId="0" fontId="50" fillId="5" borderId="31" xfId="1" applyFont="1" applyFill="1" applyBorder="1" applyAlignment="1">
      <alignment horizontal="center" vertical="center" wrapText="1"/>
    </xf>
    <xf numFmtId="0" fontId="50" fillId="5" borderId="31" xfId="0" applyFont="1" applyFill="1" applyBorder="1" applyAlignment="1">
      <alignment horizontal="center" vertical="center"/>
    </xf>
    <xf numFmtId="165" fontId="50" fillId="5" borderId="31" xfId="0" applyNumberFormat="1" applyFont="1" applyFill="1" applyBorder="1" applyAlignment="1">
      <alignment horizontal="center" vertical="center" wrapText="1"/>
    </xf>
    <xf numFmtId="165" fontId="50" fillId="5" borderId="31" xfId="0" applyNumberFormat="1" applyFont="1" applyFill="1" applyBorder="1" applyAlignment="1">
      <alignment horizontal="center" vertical="center"/>
    </xf>
    <xf numFmtId="0" fontId="50" fillId="5" borderId="19" xfId="0" applyFont="1" applyFill="1" applyBorder="1" applyAlignment="1">
      <alignment horizontal="center" vertical="center"/>
    </xf>
    <xf numFmtId="2" fontId="50" fillId="5" borderId="31" xfId="0" applyNumberFormat="1" applyFont="1" applyFill="1" applyBorder="1" applyAlignment="1">
      <alignment horizontal="center" vertical="center"/>
    </xf>
    <xf numFmtId="0" fontId="50" fillId="5" borderId="38" xfId="1" applyFont="1" applyFill="1" applyBorder="1" applyAlignment="1">
      <alignment horizontal="center" vertical="center" wrapText="1"/>
    </xf>
    <xf numFmtId="165" fontId="40" fillId="5" borderId="38" xfId="0" applyNumberFormat="1" applyFont="1" applyFill="1" applyBorder="1" applyAlignment="1">
      <alignment horizontal="center" vertical="center"/>
    </xf>
    <xf numFmtId="1" fontId="50" fillId="5" borderId="38" xfId="0" applyNumberFormat="1" applyFont="1" applyFill="1" applyBorder="1" applyAlignment="1">
      <alignment horizontal="center" vertical="center"/>
    </xf>
    <xf numFmtId="1" fontId="50" fillId="5" borderId="54" xfId="0" applyNumberFormat="1" applyFont="1" applyFill="1" applyBorder="1" applyAlignment="1">
      <alignment horizontal="center" vertical="center"/>
    </xf>
    <xf numFmtId="165" fontId="50" fillId="5" borderId="38" xfId="0" applyNumberFormat="1" applyFont="1" applyFill="1" applyBorder="1" applyAlignment="1">
      <alignment horizontal="center" vertical="center"/>
    </xf>
    <xf numFmtId="1" fontId="50" fillId="5" borderId="20" xfId="0" applyNumberFormat="1" applyFont="1" applyFill="1" applyBorder="1" applyAlignment="1">
      <alignment horizontal="center" vertical="center"/>
    </xf>
    <xf numFmtId="1" fontId="50" fillId="5" borderId="47" xfId="0" applyNumberFormat="1" applyFont="1" applyFill="1" applyBorder="1" applyAlignment="1">
      <alignment horizontal="center" vertical="center"/>
    </xf>
    <xf numFmtId="2" fontId="50" fillId="5" borderId="11" xfId="0" applyNumberFormat="1" applyFont="1" applyFill="1" applyBorder="1" applyAlignment="1">
      <alignment horizontal="center" vertical="center"/>
    </xf>
    <xf numFmtId="1" fontId="50" fillId="5" borderId="53" xfId="0" applyNumberFormat="1" applyFont="1" applyFill="1" applyBorder="1" applyAlignment="1">
      <alignment horizontal="center" vertical="center"/>
    </xf>
    <xf numFmtId="0" fontId="52" fillId="12" borderId="26" xfId="0" applyFont="1" applyFill="1" applyBorder="1" applyAlignment="1">
      <alignment horizontal="center" vertical="center"/>
    </xf>
    <xf numFmtId="0" fontId="52" fillId="12" borderId="67" xfId="1" applyFont="1" applyFill="1" applyBorder="1" applyAlignment="1">
      <alignment vertical="center" wrapText="1"/>
    </xf>
    <xf numFmtId="0" fontId="40" fillId="12" borderId="26" xfId="1" applyFont="1" applyFill="1" applyBorder="1" applyAlignment="1">
      <alignment horizontal="center" vertical="center" wrapText="1"/>
    </xf>
    <xf numFmtId="0" fontId="50" fillId="12" borderId="11" xfId="1" applyFont="1" applyFill="1" applyBorder="1" applyAlignment="1">
      <alignment horizontal="center" vertical="center" wrapText="1"/>
    </xf>
    <xf numFmtId="0" fontId="50" fillId="12" borderId="38" xfId="1" applyFont="1" applyFill="1" applyBorder="1" applyAlignment="1">
      <alignment horizontal="center" vertical="center" wrapText="1"/>
    </xf>
    <xf numFmtId="0" fontId="50" fillId="12" borderId="3" xfId="0" applyFont="1" applyFill="1" applyBorder="1" applyAlignment="1">
      <alignment horizontal="center" vertical="center"/>
    </xf>
    <xf numFmtId="2" fontId="42" fillId="12" borderId="11" xfId="1" applyNumberFormat="1" applyFont="1" applyFill="1" applyBorder="1" applyAlignment="1">
      <alignment horizontal="center" vertical="center" wrapText="1"/>
    </xf>
    <xf numFmtId="2" fontId="42" fillId="12" borderId="3" xfId="0" applyNumberFormat="1" applyFont="1" applyFill="1" applyBorder="1" applyAlignment="1">
      <alignment horizontal="center" vertical="center"/>
    </xf>
    <xf numFmtId="0" fontId="42" fillId="12" borderId="3" xfId="0" applyFont="1" applyFill="1" applyBorder="1" applyAlignment="1">
      <alignment horizontal="center" vertical="center"/>
    </xf>
    <xf numFmtId="0" fontId="42" fillId="12" borderId="14" xfId="0" applyFont="1" applyFill="1" applyBorder="1" applyAlignment="1">
      <alignment horizontal="center" vertical="center"/>
    </xf>
    <xf numFmtId="0" fontId="42" fillId="12" borderId="69" xfId="0" applyFont="1" applyFill="1" applyBorder="1" applyAlignment="1">
      <alignment horizontal="center" vertical="center"/>
    </xf>
    <xf numFmtId="165" fontId="40" fillId="12" borderId="46" xfId="0" applyNumberFormat="1" applyFont="1" applyFill="1" applyBorder="1" applyAlignment="1">
      <alignment horizontal="center" vertical="center"/>
    </xf>
    <xf numFmtId="165" fontId="40" fillId="12" borderId="38" xfId="0" applyNumberFormat="1" applyFont="1" applyFill="1" applyBorder="1" applyAlignment="1">
      <alignment horizontal="center" vertical="center"/>
    </xf>
    <xf numFmtId="165" fontId="50" fillId="12" borderId="3" xfId="0" applyNumberFormat="1" applyFont="1" applyFill="1" applyBorder="1" applyAlignment="1">
      <alignment horizontal="center" vertical="center" wrapText="1"/>
    </xf>
    <xf numFmtId="165" fontId="50" fillId="12" borderId="38" xfId="0" applyNumberFormat="1" applyFont="1" applyFill="1" applyBorder="1" applyAlignment="1">
      <alignment horizontal="center" vertical="center"/>
    </xf>
    <xf numFmtId="1" fontId="50" fillId="12" borderId="38" xfId="0" applyNumberFormat="1" applyFont="1" applyFill="1" applyBorder="1" applyAlignment="1">
      <alignment horizontal="center" vertical="center"/>
    </xf>
    <xf numFmtId="1" fontId="50" fillId="12" borderId="47" xfId="0" applyNumberFormat="1" applyFont="1" applyFill="1" applyBorder="1" applyAlignment="1">
      <alignment horizontal="center" vertical="center"/>
    </xf>
    <xf numFmtId="0" fontId="50" fillId="12" borderId="11" xfId="0" applyFont="1" applyFill="1" applyBorder="1" applyAlignment="1">
      <alignment horizontal="center" vertical="center"/>
    </xf>
    <xf numFmtId="0" fontId="40" fillId="12" borderId="3" xfId="0" applyFont="1" applyFill="1" applyBorder="1" applyAlignment="1">
      <alignment horizontal="center" vertical="center"/>
    </xf>
    <xf numFmtId="2" fontId="50" fillId="12" borderId="3" xfId="0" applyNumberFormat="1" applyFont="1" applyFill="1" applyBorder="1" applyAlignment="1">
      <alignment horizontal="center" vertical="center"/>
    </xf>
    <xf numFmtId="2" fontId="50" fillId="12" borderId="7" xfId="0" applyNumberFormat="1" applyFont="1" applyFill="1" applyBorder="1" applyAlignment="1">
      <alignment horizontal="center" vertical="center"/>
    </xf>
    <xf numFmtId="2" fontId="50" fillId="12" borderId="11" xfId="0" applyNumberFormat="1" applyFont="1" applyFill="1" applyBorder="1" applyAlignment="1">
      <alignment horizontal="center" vertical="center"/>
    </xf>
    <xf numFmtId="1" fontId="50" fillId="12" borderId="53" xfId="0" applyNumberFormat="1" applyFont="1" applyFill="1" applyBorder="1" applyAlignment="1">
      <alignment horizontal="center" vertical="center"/>
    </xf>
    <xf numFmtId="1" fontId="50" fillId="12" borderId="54" xfId="0" applyNumberFormat="1" applyFont="1" applyFill="1" applyBorder="1" applyAlignment="1">
      <alignment horizontal="center" vertical="center"/>
    </xf>
    <xf numFmtId="167" fontId="40" fillId="12" borderId="46" xfId="0" applyNumberFormat="1" applyFont="1" applyFill="1" applyBorder="1" applyAlignment="1">
      <alignment horizontal="center" vertical="center"/>
    </xf>
    <xf numFmtId="167" fontId="40" fillId="12" borderId="47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23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2" fontId="10" fillId="0" borderId="0" xfId="0" applyNumberFormat="1" applyFont="1"/>
    <xf numFmtId="0" fontId="2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3" fillId="0" borderId="1" xfId="1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textRotation="90" wrapText="1"/>
    </xf>
    <xf numFmtId="0" fontId="23" fillId="0" borderId="1" xfId="0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2" fontId="27" fillId="0" borderId="1" xfId="1" applyNumberFormat="1" applyFont="1" applyBorder="1" applyAlignment="1">
      <alignment horizontal="center" vertical="center" textRotation="90" wrapText="1"/>
    </xf>
    <xf numFmtId="2" fontId="28" fillId="0" borderId="1" xfId="0" applyNumberFormat="1" applyFont="1" applyBorder="1" applyAlignment="1">
      <alignment horizontal="center" vertical="center" textRotation="90" wrapText="1"/>
    </xf>
    <xf numFmtId="0" fontId="27" fillId="0" borderId="1" xfId="0" applyFont="1" applyBorder="1" applyAlignment="1">
      <alignment horizontal="center" vertical="center" textRotation="90" wrapText="1"/>
    </xf>
    <xf numFmtId="0" fontId="26" fillId="0" borderId="1" xfId="0" applyFont="1" applyBorder="1" applyAlignment="1">
      <alignment horizontal="center" vertical="center" textRotation="90" wrapText="1"/>
    </xf>
    <xf numFmtId="2" fontId="23" fillId="0" borderId="1" xfId="1" applyNumberFormat="1" applyFont="1" applyBorder="1" applyAlignment="1">
      <alignment horizontal="center" vertical="center" wrapText="1"/>
    </xf>
    <xf numFmtId="2" fontId="29" fillId="0" borderId="1" xfId="0" applyNumberFormat="1" applyFont="1" applyBorder="1" applyAlignment="1">
      <alignment horizontal="center" vertical="center" wrapText="1"/>
    </xf>
    <xf numFmtId="0" fontId="23" fillId="0" borderId="1" xfId="0" applyFont="1" applyBorder="1" applyAlignment="1">
      <alignment vertical="center" wrapText="1"/>
    </xf>
    <xf numFmtId="0" fontId="30" fillId="0" borderId="1" xfId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 wrapText="1"/>
    </xf>
    <xf numFmtId="2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 wrapText="1"/>
    </xf>
    <xf numFmtId="1" fontId="32" fillId="0" borderId="1" xfId="0" applyNumberFormat="1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23" fillId="0" borderId="0" xfId="0" applyFont="1" applyAlignment="1">
      <alignment vertical="center" wrapText="1"/>
    </xf>
    <xf numFmtId="0" fontId="23" fillId="0" borderId="0" xfId="0" applyFont="1" applyAlignment="1">
      <alignment horizontal="center" vertical="center" wrapText="1"/>
    </xf>
    <xf numFmtId="0" fontId="31" fillId="0" borderId="1" xfId="1" applyFont="1" applyBorder="1" applyAlignment="1">
      <alignment vertical="center" textRotation="90" wrapText="1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center" vertical="center"/>
    </xf>
    <xf numFmtId="2" fontId="10" fillId="15" borderId="1" xfId="0" applyNumberFormat="1" applyFont="1" applyFill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2" fontId="40" fillId="0" borderId="0" xfId="1" applyNumberFormat="1" applyFont="1" applyAlignment="1">
      <alignment horizontal="center" vertical="center" wrapText="1"/>
    </xf>
    <xf numFmtId="2" fontId="43" fillId="0" borderId="0" xfId="0" applyNumberFormat="1" applyFont="1" applyAlignment="1">
      <alignment horizontal="center" vertical="center"/>
    </xf>
    <xf numFmtId="2" fontId="40" fillId="0" borderId="0" xfId="0" applyNumberFormat="1" applyFont="1" applyAlignment="1">
      <alignment horizontal="center" vertical="center" wrapText="1"/>
    </xf>
    <xf numFmtId="0" fontId="40" fillId="21" borderId="70" xfId="0" applyFont="1" applyFill="1" applyBorder="1" applyAlignment="1">
      <alignment vertical="center"/>
    </xf>
    <xf numFmtId="0" fontId="66" fillId="21" borderId="71" xfId="0" applyFont="1" applyFill="1" applyBorder="1" applyAlignment="1">
      <alignment vertical="center"/>
    </xf>
    <xf numFmtId="0" fontId="40" fillId="21" borderId="71" xfId="0" applyFont="1" applyFill="1" applyBorder="1" applyAlignment="1">
      <alignment vertical="center"/>
    </xf>
    <xf numFmtId="0" fontId="49" fillId="21" borderId="72" xfId="0" applyFont="1" applyFill="1" applyBorder="1" applyAlignment="1">
      <alignment horizontal="center" vertical="center" wrapText="1"/>
    </xf>
    <xf numFmtId="0" fontId="41" fillId="21" borderId="71" xfId="0" applyFont="1" applyFill="1" applyBorder="1" applyAlignment="1">
      <alignment horizontal="center" vertical="center"/>
    </xf>
    <xf numFmtId="0" fontId="41" fillId="21" borderId="71" xfId="1" applyFont="1" applyFill="1" applyBorder="1" applyAlignment="1">
      <alignment horizontal="center" vertical="center" wrapText="1"/>
    </xf>
    <xf numFmtId="2" fontId="40" fillId="21" borderId="71" xfId="0" applyNumberFormat="1" applyFont="1" applyFill="1" applyBorder="1" applyAlignment="1">
      <alignment vertical="center"/>
    </xf>
    <xf numFmtId="0" fontId="43" fillId="21" borderId="71" xfId="0" applyFont="1" applyFill="1" applyBorder="1" applyAlignment="1">
      <alignment horizontal="center" vertical="center"/>
    </xf>
    <xf numFmtId="0" fontId="40" fillId="21" borderId="71" xfId="0" applyFont="1" applyFill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 wrapText="1"/>
    </xf>
    <xf numFmtId="0" fontId="67" fillId="21" borderId="72" xfId="0" applyFont="1" applyFill="1" applyBorder="1" applyAlignment="1">
      <alignment horizontal="center" vertical="center"/>
    </xf>
    <xf numFmtId="0" fontId="68" fillId="21" borderId="71" xfId="0" applyFont="1" applyFill="1" applyBorder="1" applyAlignment="1">
      <alignment vertical="center"/>
    </xf>
    <xf numFmtId="0" fontId="68" fillId="21" borderId="70" xfId="0" applyFont="1" applyFill="1" applyBorder="1" applyAlignment="1">
      <alignment horizontal="center" vertical="center"/>
    </xf>
    <xf numFmtId="0" fontId="68" fillId="21" borderId="72" xfId="0" applyFont="1" applyFill="1" applyBorder="1" applyAlignment="1">
      <alignment horizontal="center" vertical="center"/>
    </xf>
    <xf numFmtId="0" fontId="68" fillId="21" borderId="73" xfId="0" applyFont="1" applyFill="1" applyBorder="1" applyAlignment="1">
      <alignment horizontal="center" vertical="center"/>
    </xf>
    <xf numFmtId="1" fontId="40" fillId="21" borderId="71" xfId="0" applyNumberFormat="1" applyFont="1" applyFill="1" applyBorder="1" applyAlignment="1">
      <alignment vertical="center"/>
    </xf>
    <xf numFmtId="1" fontId="40" fillId="21" borderId="71" xfId="0" applyNumberFormat="1" applyFont="1" applyFill="1" applyBorder="1" applyAlignment="1">
      <alignment horizontal="center" vertical="center"/>
    </xf>
    <xf numFmtId="0" fontId="41" fillId="21" borderId="1" xfId="1" applyFont="1" applyFill="1" applyBorder="1" applyAlignment="1">
      <alignment horizontal="center" vertical="center" wrapText="1"/>
    </xf>
    <xf numFmtId="0" fontId="41" fillId="21" borderId="8" xfId="1" applyFont="1" applyFill="1" applyBorder="1" applyAlignment="1">
      <alignment horizontal="center" vertical="center" wrapText="1"/>
    </xf>
    <xf numFmtId="2" fontId="48" fillId="21" borderId="10" xfId="1" applyNumberFormat="1" applyFont="1" applyFill="1" applyBorder="1" applyAlignment="1">
      <alignment horizontal="center" vertical="center" textRotation="90" wrapText="1"/>
    </xf>
    <xf numFmtId="2" fontId="48" fillId="21" borderId="1" xfId="0" applyNumberFormat="1" applyFont="1" applyFill="1" applyBorder="1" applyAlignment="1">
      <alignment horizontal="center" vertical="center" textRotation="90" wrapText="1"/>
    </xf>
    <xf numFmtId="0" fontId="48" fillId="21" borderId="1" xfId="0" applyFont="1" applyFill="1" applyBorder="1" applyAlignment="1">
      <alignment horizontal="center" vertical="center" textRotation="90" wrapText="1"/>
    </xf>
    <xf numFmtId="0" fontId="48" fillId="21" borderId="6" xfId="0" applyFont="1" applyFill="1" applyBorder="1" applyAlignment="1">
      <alignment horizontal="center" vertical="center" textRotation="90" wrapText="1"/>
    </xf>
    <xf numFmtId="0" fontId="41" fillId="21" borderId="1" xfId="0" applyFont="1" applyFill="1" applyBorder="1" applyAlignment="1">
      <alignment horizontal="center" vertical="center" wrapText="1"/>
    </xf>
    <xf numFmtId="1" fontId="41" fillId="21" borderId="1" xfId="0" applyNumberFormat="1" applyFont="1" applyFill="1" applyBorder="1" applyAlignment="1">
      <alignment horizontal="center" vertical="center" wrapText="1"/>
    </xf>
    <xf numFmtId="1" fontId="41" fillId="21" borderId="8" xfId="0" applyNumberFormat="1" applyFont="1" applyFill="1" applyBorder="1" applyAlignment="1">
      <alignment horizontal="center" vertical="center" wrapText="1"/>
    </xf>
    <xf numFmtId="0" fontId="41" fillId="21" borderId="4" xfId="0" applyFont="1" applyFill="1" applyBorder="1" applyAlignment="1">
      <alignment horizontal="center" vertical="center" wrapText="1"/>
    </xf>
    <xf numFmtId="0" fontId="41" fillId="21" borderId="8" xfId="0" applyFont="1" applyFill="1" applyBorder="1" applyAlignment="1">
      <alignment horizontal="center" vertical="center" wrapText="1"/>
    </xf>
    <xf numFmtId="0" fontId="41" fillId="21" borderId="10" xfId="0" applyFont="1" applyFill="1" applyBorder="1" applyAlignment="1">
      <alignment horizontal="center" vertical="center" wrapText="1"/>
    </xf>
    <xf numFmtId="0" fontId="41" fillId="21" borderId="6" xfId="0" applyFont="1" applyFill="1" applyBorder="1" applyAlignment="1">
      <alignment horizontal="center" vertical="center" wrapText="1"/>
    </xf>
    <xf numFmtId="1" fontId="41" fillId="21" borderId="4" xfId="0" applyNumberFormat="1" applyFont="1" applyFill="1" applyBorder="1" applyAlignment="1">
      <alignment horizontal="center" vertical="center" wrapText="1"/>
    </xf>
    <xf numFmtId="1" fontId="41" fillId="21" borderId="6" xfId="0" applyNumberFormat="1" applyFont="1" applyFill="1" applyBorder="1" applyAlignment="1">
      <alignment horizontal="center" vertical="center" wrapText="1"/>
    </xf>
    <xf numFmtId="0" fontId="41" fillId="21" borderId="3" xfId="1" applyFont="1" applyFill="1" applyBorder="1" applyAlignment="1">
      <alignment horizontal="center" vertical="center" wrapText="1"/>
    </xf>
    <xf numFmtId="0" fontId="41" fillId="21" borderId="14" xfId="1" applyFont="1" applyFill="1" applyBorder="1" applyAlignment="1">
      <alignment horizontal="center" vertical="center" wrapText="1"/>
    </xf>
    <xf numFmtId="2" fontId="41" fillId="21" borderId="11" xfId="1" applyNumberFormat="1" applyFont="1" applyFill="1" applyBorder="1" applyAlignment="1">
      <alignment horizontal="center" vertical="center" wrapText="1"/>
    </xf>
    <xf numFmtId="2" fontId="41" fillId="21" borderId="3" xfId="0" applyNumberFormat="1" applyFont="1" applyFill="1" applyBorder="1" applyAlignment="1">
      <alignment horizontal="center" vertical="center" wrapText="1"/>
    </xf>
    <xf numFmtId="0" fontId="41" fillId="21" borderId="3" xfId="0" applyFont="1" applyFill="1" applyBorder="1" applyAlignment="1">
      <alignment horizontal="center" vertical="center" wrapText="1"/>
    </xf>
    <xf numFmtId="0" fontId="41" fillId="21" borderId="7" xfId="0" applyFont="1" applyFill="1" applyBorder="1" applyAlignment="1">
      <alignment horizontal="center" vertical="center" wrapText="1"/>
    </xf>
    <xf numFmtId="0" fontId="41" fillId="21" borderId="5" xfId="0" applyFont="1" applyFill="1" applyBorder="1" applyAlignment="1">
      <alignment horizontal="center" vertical="center" wrapText="1"/>
    </xf>
    <xf numFmtId="1" fontId="41" fillId="21" borderId="3" xfId="0" applyNumberFormat="1" applyFont="1" applyFill="1" applyBorder="1" applyAlignment="1">
      <alignment horizontal="center" vertical="center" wrapText="1"/>
    </xf>
    <xf numFmtId="1" fontId="41" fillId="21" borderId="14" xfId="0" applyNumberFormat="1" applyFont="1" applyFill="1" applyBorder="1" applyAlignment="1">
      <alignment horizontal="center" vertical="center" wrapText="1"/>
    </xf>
    <xf numFmtId="0" fontId="41" fillId="21" borderId="3" xfId="0" applyFont="1" applyFill="1" applyBorder="1" applyAlignment="1">
      <alignment horizontal="center" vertical="center"/>
    </xf>
    <xf numFmtId="2" fontId="41" fillId="21" borderId="3" xfId="0" applyNumberFormat="1" applyFont="1" applyFill="1" applyBorder="1" applyAlignment="1">
      <alignment horizontal="center" vertical="center"/>
    </xf>
    <xf numFmtId="0" fontId="41" fillId="21" borderId="7" xfId="0" applyFont="1" applyFill="1" applyBorder="1" applyAlignment="1">
      <alignment horizontal="center" vertical="center"/>
    </xf>
    <xf numFmtId="0" fontId="41" fillId="21" borderId="14" xfId="0" applyFont="1" applyFill="1" applyBorder="1" applyAlignment="1">
      <alignment horizontal="center" vertical="center" wrapText="1"/>
    </xf>
    <xf numFmtId="0" fontId="41" fillId="21" borderId="11" xfId="0" applyFont="1" applyFill="1" applyBorder="1" applyAlignment="1">
      <alignment horizontal="center" vertical="center" wrapText="1"/>
    </xf>
    <xf numFmtId="1" fontId="41" fillId="21" borderId="5" xfId="0" applyNumberFormat="1" applyFont="1" applyFill="1" applyBorder="1" applyAlignment="1">
      <alignment horizontal="center" vertical="center" wrapText="1"/>
    </xf>
    <xf numFmtId="1" fontId="41" fillId="21" borderId="7" xfId="0" applyNumberFormat="1" applyFont="1" applyFill="1" applyBorder="1" applyAlignment="1">
      <alignment horizontal="center" vertical="center" wrapText="1"/>
    </xf>
    <xf numFmtId="0" fontId="41" fillId="22" borderId="34" xfId="0" applyFont="1" applyFill="1" applyBorder="1" applyAlignment="1">
      <alignment horizontal="center" vertical="center"/>
    </xf>
    <xf numFmtId="0" fontId="49" fillId="22" borderId="37" xfId="1" applyFont="1" applyFill="1" applyBorder="1" applyAlignment="1">
      <alignment horizontal="center" vertical="center" wrapText="1"/>
    </xf>
    <xf numFmtId="0" fontId="43" fillId="22" borderId="19" xfId="1" applyFont="1" applyFill="1" applyBorder="1" applyAlignment="1">
      <alignment horizontal="center" vertical="center" wrapText="1"/>
    </xf>
    <xf numFmtId="0" fontId="69" fillId="22" borderId="31" xfId="0" applyFont="1" applyFill="1" applyBorder="1" applyAlignment="1">
      <alignment horizontal="center" vertical="center" wrapText="1"/>
    </xf>
    <xf numFmtId="0" fontId="69" fillId="22" borderId="20" xfId="0" applyFont="1" applyFill="1" applyBorder="1" applyAlignment="1">
      <alignment horizontal="center" vertical="center" wrapText="1"/>
    </xf>
    <xf numFmtId="2" fontId="40" fillId="22" borderId="10" xfId="1" applyNumberFormat="1" applyFont="1" applyFill="1" applyBorder="1" applyAlignment="1">
      <alignment horizontal="center" vertical="center" wrapText="1"/>
    </xf>
    <xf numFmtId="2" fontId="43" fillId="22" borderId="1" xfId="0" applyNumberFormat="1" applyFont="1" applyFill="1" applyBorder="1" applyAlignment="1">
      <alignment horizontal="center" vertical="center"/>
    </xf>
    <xf numFmtId="0" fontId="40" fillId="22" borderId="1" xfId="0" applyFont="1" applyFill="1" applyBorder="1" applyAlignment="1">
      <alignment horizontal="center" vertical="center"/>
    </xf>
    <xf numFmtId="0" fontId="42" fillId="22" borderId="6" xfId="0" applyFont="1" applyFill="1" applyBorder="1" applyAlignment="1">
      <alignment horizontal="center" vertical="center"/>
    </xf>
    <xf numFmtId="2" fontId="40" fillId="22" borderId="10" xfId="0" applyNumberFormat="1" applyFont="1" applyFill="1" applyBorder="1" applyAlignment="1">
      <alignment horizontal="center" vertical="center"/>
    </xf>
    <xf numFmtId="0" fontId="40" fillId="22" borderId="6" xfId="0" applyFont="1" applyFill="1" applyBorder="1" applyAlignment="1">
      <alignment horizontal="center" vertical="center"/>
    </xf>
    <xf numFmtId="2" fontId="40" fillId="22" borderId="4" xfId="0" applyNumberFormat="1" applyFont="1" applyFill="1" applyBorder="1" applyAlignment="1">
      <alignment horizontal="center" vertical="center" wrapText="1"/>
    </xf>
    <xf numFmtId="2" fontId="40" fillId="22" borderId="8" xfId="0" applyNumberFormat="1" applyFont="1" applyFill="1" applyBorder="1" applyAlignment="1">
      <alignment horizontal="center" vertical="center"/>
    </xf>
    <xf numFmtId="1" fontId="40" fillId="22" borderId="12" xfId="0" applyNumberFormat="1" applyFont="1" applyFill="1" applyBorder="1" applyAlignment="1">
      <alignment horizontal="center" vertical="center"/>
    </xf>
    <xf numFmtId="1" fontId="40" fillId="22" borderId="13" xfId="0" applyNumberFormat="1" applyFont="1" applyFill="1" applyBorder="1" applyAlignment="1">
      <alignment horizontal="center" vertical="center"/>
    </xf>
    <xf numFmtId="0" fontId="40" fillId="22" borderId="10" xfId="0" applyFont="1" applyFill="1" applyBorder="1" applyAlignment="1">
      <alignment horizontal="center" vertical="center"/>
    </xf>
    <xf numFmtId="0" fontId="41" fillId="22" borderId="1" xfId="0" applyFont="1" applyFill="1" applyBorder="1" applyAlignment="1">
      <alignment horizontal="left" vertical="center"/>
    </xf>
    <xf numFmtId="2" fontId="40" fillId="22" borderId="1" xfId="0" applyNumberFormat="1" applyFont="1" applyFill="1" applyBorder="1" applyAlignment="1">
      <alignment horizontal="center" vertical="center"/>
    </xf>
    <xf numFmtId="2" fontId="40" fillId="22" borderId="6" xfId="0" applyNumberFormat="1" applyFont="1" applyFill="1" applyBorder="1" applyAlignment="1">
      <alignment horizontal="center" vertical="center"/>
    </xf>
    <xf numFmtId="2" fontId="40" fillId="22" borderId="4" xfId="0" applyNumberFormat="1" applyFont="1" applyFill="1" applyBorder="1" applyAlignment="1">
      <alignment horizontal="center" vertical="center"/>
    </xf>
    <xf numFmtId="165" fontId="40" fillId="22" borderId="16" xfId="0" applyNumberFormat="1" applyFont="1" applyFill="1" applyBorder="1" applyAlignment="1">
      <alignment horizontal="center" vertical="center"/>
    </xf>
    <xf numFmtId="165" fontId="40" fillId="22" borderId="23" xfId="0" applyNumberFormat="1" applyFont="1" applyFill="1" applyBorder="1" applyAlignment="1">
      <alignment horizontal="center" vertical="center"/>
    </xf>
    <xf numFmtId="1" fontId="40" fillId="22" borderId="10" xfId="0" applyNumberFormat="1" applyFont="1" applyFill="1" applyBorder="1" applyAlignment="1">
      <alignment horizontal="center" vertical="center"/>
    </xf>
    <xf numFmtId="1" fontId="40" fillId="22" borderId="1" xfId="0" applyNumberFormat="1" applyFont="1" applyFill="1" applyBorder="1" applyAlignment="1">
      <alignment horizontal="center" vertical="center"/>
    </xf>
    <xf numFmtId="1" fontId="40" fillId="22" borderId="6" xfId="0" applyNumberFormat="1" applyFont="1" applyFill="1" applyBorder="1" applyAlignment="1">
      <alignment horizontal="center" vertical="center"/>
    </xf>
    <xf numFmtId="0" fontId="40" fillId="22" borderId="0" xfId="0" applyFont="1" applyFill="1" applyAlignment="1">
      <alignment vertical="center"/>
    </xf>
    <xf numFmtId="0" fontId="41" fillId="22" borderId="26" xfId="0" applyFont="1" applyFill="1" applyBorder="1" applyAlignment="1">
      <alignment horizontal="center" vertical="center"/>
    </xf>
    <xf numFmtId="0" fontId="49" fillId="22" borderId="26" xfId="1" applyFont="1" applyFill="1" applyBorder="1" applyAlignment="1">
      <alignment horizontal="center" vertical="center" wrapText="1"/>
    </xf>
    <xf numFmtId="0" fontId="43" fillId="22" borderId="11" xfId="1" applyFont="1" applyFill="1" applyBorder="1" applyAlignment="1">
      <alignment horizontal="center" vertical="center" wrapText="1"/>
    </xf>
    <xf numFmtId="0" fontId="41" fillId="22" borderId="3" xfId="1" applyFont="1" applyFill="1" applyBorder="1" applyAlignment="1">
      <alignment horizontal="center" vertical="center" wrapText="1"/>
    </xf>
    <xf numFmtId="0" fontId="69" fillId="22" borderId="3" xfId="0" applyFont="1" applyFill="1" applyBorder="1" applyAlignment="1">
      <alignment horizontal="center" vertical="center" wrapText="1"/>
    </xf>
    <xf numFmtId="0" fontId="69" fillId="22" borderId="7" xfId="0" applyFont="1" applyFill="1" applyBorder="1" applyAlignment="1">
      <alignment horizontal="center" vertical="center" wrapText="1"/>
    </xf>
    <xf numFmtId="2" fontId="40" fillId="22" borderId="11" xfId="1" applyNumberFormat="1" applyFont="1" applyFill="1" applyBorder="1" applyAlignment="1">
      <alignment horizontal="center" vertical="center" wrapText="1"/>
    </xf>
    <xf numFmtId="2" fontId="43" fillId="22" borderId="3" xfId="0" applyNumberFormat="1" applyFont="1" applyFill="1" applyBorder="1" applyAlignment="1">
      <alignment horizontal="center" vertical="center"/>
    </xf>
    <xf numFmtId="0" fontId="40" fillId="22" borderId="3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2" fontId="40" fillId="22" borderId="11" xfId="0" applyNumberFormat="1" applyFont="1" applyFill="1" applyBorder="1" applyAlignment="1">
      <alignment horizontal="center" vertical="center"/>
    </xf>
    <xf numFmtId="0" fontId="40" fillId="22" borderId="7" xfId="0" applyFont="1" applyFill="1" applyBorder="1" applyAlignment="1">
      <alignment horizontal="center" vertical="center"/>
    </xf>
    <xf numFmtId="2" fontId="40" fillId="22" borderId="5" xfId="0" applyNumberFormat="1" applyFont="1" applyFill="1" applyBorder="1" applyAlignment="1">
      <alignment horizontal="center" vertical="center" wrapText="1"/>
    </xf>
    <xf numFmtId="2" fontId="40" fillId="22" borderId="14" xfId="0" applyNumberFormat="1" applyFont="1" applyFill="1" applyBorder="1" applyAlignment="1">
      <alignment horizontal="center" vertical="center"/>
    </xf>
    <xf numFmtId="1" fontId="40" fillId="22" borderId="46" xfId="0" applyNumberFormat="1" applyFont="1" applyFill="1" applyBorder="1" applyAlignment="1">
      <alignment horizontal="center" vertical="center"/>
    </xf>
    <xf numFmtId="1" fontId="40" fillId="22" borderId="47" xfId="0" applyNumberFormat="1" applyFont="1" applyFill="1" applyBorder="1" applyAlignment="1">
      <alignment horizontal="center" vertical="center"/>
    </xf>
    <xf numFmtId="0" fontId="40" fillId="22" borderId="11" xfId="0" applyFont="1" applyFill="1" applyBorder="1" applyAlignment="1">
      <alignment horizontal="center" vertical="center"/>
    </xf>
    <xf numFmtId="0" fontId="41" fillId="22" borderId="3" xfId="0" applyFont="1" applyFill="1" applyBorder="1" applyAlignment="1">
      <alignment horizontal="left" vertical="center"/>
    </xf>
    <xf numFmtId="2" fontId="40" fillId="22" borderId="3" xfId="0" applyNumberFormat="1" applyFont="1" applyFill="1" applyBorder="1" applyAlignment="1">
      <alignment horizontal="center" vertical="center"/>
    </xf>
    <xf numFmtId="2" fontId="40" fillId="22" borderId="7" xfId="0" applyNumberFormat="1" applyFont="1" applyFill="1" applyBorder="1" applyAlignment="1">
      <alignment horizontal="center" vertical="center"/>
    </xf>
    <xf numFmtId="2" fontId="40" fillId="22" borderId="5" xfId="0" applyNumberFormat="1" applyFont="1" applyFill="1" applyBorder="1" applyAlignment="1">
      <alignment horizontal="center" vertical="center"/>
    </xf>
    <xf numFmtId="165" fontId="40" fillId="22" borderId="11" xfId="0" applyNumberFormat="1" applyFont="1" applyFill="1" applyBorder="1" applyAlignment="1">
      <alignment horizontal="center" vertical="center"/>
    </xf>
    <xf numFmtId="165" fontId="40" fillId="22" borderId="7" xfId="0" applyNumberFormat="1" applyFont="1" applyFill="1" applyBorder="1" applyAlignment="1">
      <alignment horizontal="center" vertical="center"/>
    </xf>
    <xf numFmtId="1" fontId="40" fillId="22" borderId="11" xfId="0" applyNumberFormat="1" applyFont="1" applyFill="1" applyBorder="1" applyAlignment="1">
      <alignment horizontal="center" vertical="center"/>
    </xf>
    <xf numFmtId="1" fontId="40" fillId="22" borderId="3" xfId="0" applyNumberFormat="1" applyFont="1" applyFill="1" applyBorder="1" applyAlignment="1">
      <alignment horizontal="center" vertical="center"/>
    </xf>
    <xf numFmtId="1" fontId="40" fillId="22" borderId="7" xfId="0" applyNumberFormat="1" applyFont="1" applyFill="1" applyBorder="1" applyAlignment="1">
      <alignment horizontal="center" vertical="center"/>
    </xf>
    <xf numFmtId="165" fontId="40" fillId="23" borderId="24" xfId="0" applyNumberFormat="1" applyFont="1" applyFill="1" applyBorder="1" applyAlignment="1">
      <alignment horizontal="center" vertical="center"/>
    </xf>
    <xf numFmtId="165" fontId="40" fillId="23" borderId="25" xfId="0" applyNumberFormat="1" applyFont="1" applyFill="1" applyBorder="1" applyAlignment="1">
      <alignment horizontal="center" vertical="center"/>
    </xf>
    <xf numFmtId="0" fontId="40" fillId="23" borderId="3" xfId="0" applyFont="1" applyFill="1" applyBorder="1" applyAlignment="1">
      <alignment horizontal="center" vertical="center"/>
    </xf>
    <xf numFmtId="165" fontId="40" fillId="23" borderId="11" xfId="0" applyNumberFormat="1" applyFont="1" applyFill="1" applyBorder="1" applyAlignment="1">
      <alignment horizontal="center" vertical="center"/>
    </xf>
    <xf numFmtId="165" fontId="40" fillId="23" borderId="7" xfId="0" applyNumberFormat="1" applyFont="1" applyFill="1" applyBorder="1" applyAlignment="1">
      <alignment horizontal="center" vertical="center"/>
    </xf>
    <xf numFmtId="0" fontId="41" fillId="24" borderId="37" xfId="0" applyFont="1" applyFill="1" applyBorder="1" applyAlignment="1">
      <alignment horizontal="center" vertical="center"/>
    </xf>
    <xf numFmtId="0" fontId="49" fillId="24" borderId="37" xfId="1" applyFont="1" applyFill="1" applyBorder="1" applyAlignment="1">
      <alignment horizontal="center" vertical="center" wrapText="1"/>
    </xf>
    <xf numFmtId="0" fontId="43" fillId="24" borderId="19" xfId="1" applyFont="1" applyFill="1" applyBorder="1" applyAlignment="1">
      <alignment horizontal="center" vertical="center" wrapText="1"/>
    </xf>
    <xf numFmtId="0" fontId="69" fillId="24" borderId="31" xfId="0" applyFont="1" applyFill="1" applyBorder="1" applyAlignment="1">
      <alignment horizontal="center" vertical="center" wrapText="1"/>
    </xf>
    <xf numFmtId="0" fontId="69" fillId="24" borderId="20" xfId="0" applyFont="1" applyFill="1" applyBorder="1" applyAlignment="1">
      <alignment horizontal="center" vertical="center" wrapText="1"/>
    </xf>
    <xf numFmtId="2" fontId="40" fillId="24" borderId="19" xfId="1" applyNumberFormat="1" applyFont="1" applyFill="1" applyBorder="1" applyAlignment="1">
      <alignment horizontal="center" vertical="center" wrapText="1"/>
    </xf>
    <xf numFmtId="2" fontId="43" fillId="24" borderId="31" xfId="0" applyNumberFormat="1" applyFont="1" applyFill="1" applyBorder="1" applyAlignment="1">
      <alignment horizontal="center" vertical="center"/>
    </xf>
    <xf numFmtId="0" fontId="40" fillId="24" borderId="31" xfId="0" applyFont="1" applyFill="1" applyBorder="1" applyAlignment="1">
      <alignment horizontal="center" vertical="center"/>
    </xf>
    <xf numFmtId="0" fontId="42" fillId="24" borderId="20" xfId="0" applyFont="1" applyFill="1" applyBorder="1" applyAlignment="1">
      <alignment horizontal="center" vertical="center"/>
    </xf>
    <xf numFmtId="2" fontId="40" fillId="24" borderId="19" xfId="0" applyNumberFormat="1" applyFont="1" applyFill="1" applyBorder="1" applyAlignment="1">
      <alignment horizontal="center" vertical="center"/>
    </xf>
    <xf numFmtId="0" fontId="40" fillId="24" borderId="20" xfId="0" applyFont="1" applyFill="1" applyBorder="1" applyAlignment="1">
      <alignment horizontal="center" vertical="center"/>
    </xf>
    <xf numFmtId="2" fontId="40" fillId="24" borderId="30" xfId="0" applyNumberFormat="1" applyFont="1" applyFill="1" applyBorder="1" applyAlignment="1">
      <alignment horizontal="center" vertical="center" wrapText="1"/>
    </xf>
    <xf numFmtId="2" fontId="40" fillId="24" borderId="32" xfId="0" applyNumberFormat="1" applyFont="1" applyFill="1" applyBorder="1" applyAlignment="1">
      <alignment horizontal="center" vertical="center"/>
    </xf>
    <xf numFmtId="1" fontId="40" fillId="24" borderId="19" xfId="0" applyNumberFormat="1" applyFont="1" applyFill="1" applyBorder="1" applyAlignment="1">
      <alignment horizontal="center" vertical="center"/>
    </xf>
    <xf numFmtId="1" fontId="40" fillId="24" borderId="20" xfId="0" applyNumberFormat="1" applyFont="1" applyFill="1" applyBorder="1" applyAlignment="1">
      <alignment horizontal="center" vertical="center"/>
    </xf>
    <xf numFmtId="0" fontId="40" fillId="24" borderId="19" xfId="0" applyFont="1" applyFill="1" applyBorder="1" applyAlignment="1">
      <alignment horizontal="center" vertical="center"/>
    </xf>
    <xf numFmtId="0" fontId="41" fillId="24" borderId="31" xfId="0" applyFont="1" applyFill="1" applyBorder="1" applyAlignment="1">
      <alignment horizontal="left" vertical="center"/>
    </xf>
    <xf numFmtId="2" fontId="40" fillId="24" borderId="31" xfId="0" applyNumberFormat="1" applyFont="1" applyFill="1" applyBorder="1" applyAlignment="1">
      <alignment horizontal="center" vertical="center"/>
    </xf>
    <xf numFmtId="2" fontId="40" fillId="24" borderId="20" xfId="0" applyNumberFormat="1" applyFont="1" applyFill="1" applyBorder="1" applyAlignment="1">
      <alignment horizontal="center" vertical="center"/>
    </xf>
    <xf numFmtId="2" fontId="40" fillId="24" borderId="30" xfId="0" applyNumberFormat="1" applyFont="1" applyFill="1" applyBorder="1" applyAlignment="1">
      <alignment horizontal="center" vertical="center"/>
    </xf>
    <xf numFmtId="1" fontId="40" fillId="24" borderId="31" xfId="0" applyNumberFormat="1" applyFont="1" applyFill="1" applyBorder="1" applyAlignment="1">
      <alignment horizontal="center" vertical="center"/>
    </xf>
    <xf numFmtId="0" fontId="40" fillId="24" borderId="0" xfId="0" applyFont="1" applyFill="1" applyAlignment="1">
      <alignment vertical="center"/>
    </xf>
    <xf numFmtId="0" fontId="41" fillId="24" borderId="26" xfId="0" applyFont="1" applyFill="1" applyBorder="1" applyAlignment="1">
      <alignment horizontal="center" vertical="center"/>
    </xf>
    <xf numFmtId="0" fontId="49" fillId="24" borderId="26" xfId="1" applyFont="1" applyFill="1" applyBorder="1" applyAlignment="1">
      <alignment horizontal="center" vertical="center" wrapText="1"/>
    </xf>
    <xf numFmtId="0" fontId="43" fillId="24" borderId="11" xfId="1" applyFont="1" applyFill="1" applyBorder="1" applyAlignment="1">
      <alignment horizontal="center" vertical="center" wrapText="1"/>
    </xf>
    <xf numFmtId="0" fontId="41" fillId="24" borderId="3" xfId="1" applyFont="1" applyFill="1" applyBorder="1" applyAlignment="1">
      <alignment horizontal="center" vertical="center" wrapText="1"/>
    </xf>
    <xf numFmtId="0" fontId="69" fillId="24" borderId="3" xfId="0" applyFont="1" applyFill="1" applyBorder="1" applyAlignment="1">
      <alignment horizontal="center" vertical="center" wrapText="1"/>
    </xf>
    <xf numFmtId="0" fontId="69" fillId="24" borderId="7" xfId="0" applyFont="1" applyFill="1" applyBorder="1" applyAlignment="1">
      <alignment horizontal="center" vertical="center" wrapText="1"/>
    </xf>
    <xf numFmtId="2" fontId="40" fillId="24" borderId="11" xfId="1" applyNumberFormat="1" applyFont="1" applyFill="1" applyBorder="1" applyAlignment="1">
      <alignment horizontal="center" vertical="center" wrapText="1"/>
    </xf>
    <xf numFmtId="2" fontId="43" fillId="24" borderId="3" xfId="0" applyNumberFormat="1" applyFont="1" applyFill="1" applyBorder="1" applyAlignment="1">
      <alignment horizontal="center" vertical="center"/>
    </xf>
    <xf numFmtId="0" fontId="40" fillId="24" borderId="3" xfId="0" applyFont="1" applyFill="1" applyBorder="1" applyAlignment="1">
      <alignment horizontal="center" vertical="center"/>
    </xf>
    <xf numFmtId="0" fontId="42" fillId="24" borderId="7" xfId="0" applyFont="1" applyFill="1" applyBorder="1" applyAlignment="1">
      <alignment horizontal="center" vertical="center"/>
    </xf>
    <xf numFmtId="2" fontId="40" fillId="24" borderId="11" xfId="0" applyNumberFormat="1" applyFont="1" applyFill="1" applyBorder="1" applyAlignment="1">
      <alignment horizontal="center" vertical="center"/>
    </xf>
    <xf numFmtId="0" fontId="40" fillId="24" borderId="7" xfId="0" applyFont="1" applyFill="1" applyBorder="1" applyAlignment="1">
      <alignment horizontal="center" vertical="center"/>
    </xf>
    <xf numFmtId="2" fontId="40" fillId="24" borderId="5" xfId="0" applyNumberFormat="1" applyFont="1" applyFill="1" applyBorder="1" applyAlignment="1">
      <alignment horizontal="center" vertical="center" wrapText="1"/>
    </xf>
    <xf numFmtId="2" fontId="40" fillId="24" borderId="14" xfId="0" applyNumberFormat="1" applyFont="1" applyFill="1" applyBorder="1" applyAlignment="1">
      <alignment horizontal="center" vertical="center"/>
    </xf>
    <xf numFmtId="1" fontId="40" fillId="24" borderId="46" xfId="0" applyNumberFormat="1" applyFont="1" applyFill="1" applyBorder="1" applyAlignment="1">
      <alignment horizontal="center" vertical="center"/>
    </xf>
    <xf numFmtId="1" fontId="40" fillId="24" borderId="47" xfId="0" applyNumberFormat="1" applyFont="1" applyFill="1" applyBorder="1" applyAlignment="1">
      <alignment horizontal="center" vertical="center"/>
    </xf>
    <xf numFmtId="0" fontId="40" fillId="24" borderId="11" xfId="0" applyFont="1" applyFill="1" applyBorder="1" applyAlignment="1">
      <alignment horizontal="center" vertical="center"/>
    </xf>
    <xf numFmtId="0" fontId="41" fillId="24" borderId="3" xfId="0" applyFont="1" applyFill="1" applyBorder="1" applyAlignment="1">
      <alignment horizontal="left" vertical="center"/>
    </xf>
    <xf numFmtId="2" fontId="40" fillId="24" borderId="3" xfId="0" applyNumberFormat="1" applyFont="1" applyFill="1" applyBorder="1" applyAlignment="1">
      <alignment horizontal="center" vertical="center"/>
    </xf>
    <xf numFmtId="2" fontId="40" fillId="24" borderId="7" xfId="0" applyNumberFormat="1" applyFont="1" applyFill="1" applyBorder="1" applyAlignment="1">
      <alignment horizontal="center" vertical="center"/>
    </xf>
    <xf numFmtId="2" fontId="40" fillId="24" borderId="5" xfId="0" applyNumberFormat="1" applyFont="1" applyFill="1" applyBorder="1" applyAlignment="1">
      <alignment horizontal="center" vertical="center"/>
    </xf>
    <xf numFmtId="1" fontId="40" fillId="24" borderId="11" xfId="0" applyNumberFormat="1" applyFont="1" applyFill="1" applyBorder="1" applyAlignment="1">
      <alignment horizontal="center" vertical="center"/>
    </xf>
    <xf numFmtId="1" fontId="40" fillId="24" borderId="3" xfId="0" applyNumberFormat="1" applyFont="1" applyFill="1" applyBorder="1" applyAlignment="1">
      <alignment horizontal="center" vertical="center"/>
    </xf>
    <xf numFmtId="1" fontId="40" fillId="24" borderId="7" xfId="0" applyNumberFormat="1" applyFont="1" applyFill="1" applyBorder="1" applyAlignment="1">
      <alignment horizontal="center" vertical="center"/>
    </xf>
    <xf numFmtId="0" fontId="41" fillId="15" borderId="31" xfId="1" applyFont="1" applyFill="1" applyBorder="1" applyAlignment="1">
      <alignment horizontal="center" vertical="center" wrapText="1"/>
    </xf>
    <xf numFmtId="0" fontId="41" fillId="25" borderId="22" xfId="0" applyFont="1" applyFill="1" applyBorder="1" applyAlignment="1">
      <alignment horizontal="center" vertical="center"/>
    </xf>
    <xf numFmtId="0" fontId="40" fillId="25" borderId="22" xfId="1" applyFont="1" applyFill="1" applyBorder="1" applyAlignment="1">
      <alignment horizontal="center" vertical="center" wrapText="1"/>
    </xf>
    <xf numFmtId="0" fontId="40" fillId="25" borderId="4" xfId="1" applyFont="1" applyFill="1" applyBorder="1" applyAlignment="1">
      <alignment horizontal="center" vertical="center" wrapText="1"/>
    </xf>
    <xf numFmtId="0" fontId="40" fillId="25" borderId="1" xfId="1" applyFont="1" applyFill="1" applyBorder="1" applyAlignment="1">
      <alignment horizontal="center" vertical="center" wrapText="1"/>
    </xf>
    <xf numFmtId="0" fontId="40" fillId="25" borderId="1" xfId="0" applyFont="1" applyFill="1" applyBorder="1" applyAlignment="1">
      <alignment horizontal="center" vertical="center"/>
    </xf>
    <xf numFmtId="2" fontId="40" fillId="25" borderId="10" xfId="1" applyNumberFormat="1" applyFont="1" applyFill="1" applyBorder="1" applyAlignment="1">
      <alignment horizontal="center" vertical="center" wrapText="1"/>
    </xf>
    <xf numFmtId="0" fontId="40" fillId="25" borderId="6" xfId="0" applyFont="1" applyFill="1" applyBorder="1" applyAlignment="1">
      <alignment horizontal="center" vertical="center"/>
    </xf>
    <xf numFmtId="2" fontId="40" fillId="25" borderId="10" xfId="0" applyNumberFormat="1" applyFont="1" applyFill="1" applyBorder="1" applyAlignment="1">
      <alignment horizontal="center" vertical="center"/>
    </xf>
    <xf numFmtId="2" fontId="40" fillId="25" borderId="1" xfId="0" applyNumberFormat="1" applyFont="1" applyFill="1" applyBorder="1" applyAlignment="1">
      <alignment horizontal="center" vertical="center" wrapText="1"/>
    </xf>
    <xf numFmtId="2" fontId="40" fillId="25" borderId="1" xfId="0" applyNumberFormat="1" applyFont="1" applyFill="1" applyBorder="1" applyAlignment="1">
      <alignment horizontal="center" vertical="center"/>
    </xf>
    <xf numFmtId="1" fontId="40" fillId="25" borderId="2" xfId="0" applyNumberFormat="1" applyFont="1" applyFill="1" applyBorder="1" applyAlignment="1">
      <alignment horizontal="center" vertical="center"/>
    </xf>
    <xf numFmtId="1" fontId="40" fillId="25" borderId="15" xfId="0" applyNumberFormat="1" applyFont="1" applyFill="1" applyBorder="1" applyAlignment="1">
      <alignment horizontal="center" vertical="center"/>
    </xf>
    <xf numFmtId="0" fontId="40" fillId="25" borderId="10" xfId="0" applyFont="1" applyFill="1" applyBorder="1" applyAlignment="1">
      <alignment horizontal="center" vertical="center"/>
    </xf>
    <xf numFmtId="2" fontId="40" fillId="25" borderId="6" xfId="0" applyNumberFormat="1" applyFont="1" applyFill="1" applyBorder="1" applyAlignment="1">
      <alignment horizontal="center" vertical="center"/>
    </xf>
    <xf numFmtId="2" fontId="40" fillId="25" borderId="4" xfId="0" applyNumberFormat="1" applyFont="1" applyFill="1" applyBorder="1" applyAlignment="1">
      <alignment horizontal="center" vertical="center"/>
    </xf>
    <xf numFmtId="1" fontId="40" fillId="25" borderId="4" xfId="0" applyNumberFormat="1" applyFont="1" applyFill="1" applyBorder="1" applyAlignment="1">
      <alignment horizontal="center" vertical="center"/>
    </xf>
    <xf numFmtId="1" fontId="40" fillId="25" borderId="1" xfId="0" applyNumberFormat="1" applyFont="1" applyFill="1" applyBorder="1" applyAlignment="1">
      <alignment horizontal="center" vertical="center"/>
    </xf>
    <xf numFmtId="1" fontId="40" fillId="25" borderId="6" xfId="0" applyNumberFormat="1" applyFont="1" applyFill="1" applyBorder="1" applyAlignment="1">
      <alignment horizontal="center" vertical="center"/>
    </xf>
    <xf numFmtId="0" fontId="47" fillId="5" borderId="4" xfId="1" applyFont="1" applyFill="1" applyBorder="1" applyAlignment="1">
      <alignment horizontal="center" vertical="center" wrapText="1"/>
    </xf>
    <xf numFmtId="165" fontId="41" fillId="5" borderId="10" xfId="0" applyNumberFormat="1" applyFont="1" applyFill="1" applyBorder="1" applyAlignment="1">
      <alignment horizontal="center" vertical="center"/>
    </xf>
    <xf numFmtId="165" fontId="41" fillId="5" borderId="6" xfId="0" applyNumberFormat="1" applyFont="1" applyFill="1" applyBorder="1" applyAlignment="1">
      <alignment horizontal="center" vertical="center"/>
    </xf>
    <xf numFmtId="165" fontId="41" fillId="25" borderId="10" xfId="0" applyNumberFormat="1" applyFont="1" applyFill="1" applyBorder="1" applyAlignment="1">
      <alignment horizontal="center" vertical="center"/>
    </xf>
    <xf numFmtId="165" fontId="41" fillId="25" borderId="6" xfId="0" applyNumberFormat="1" applyFont="1" applyFill="1" applyBorder="1" applyAlignment="1">
      <alignment horizontal="center" vertical="center"/>
    </xf>
    <xf numFmtId="165" fontId="41" fillId="5" borderId="11" xfId="0" applyNumberFormat="1" applyFont="1" applyFill="1" applyBorder="1" applyAlignment="1">
      <alignment horizontal="center" vertical="center"/>
    </xf>
    <xf numFmtId="165" fontId="41" fillId="5" borderId="7" xfId="0" applyNumberFormat="1" applyFont="1" applyFill="1" applyBorder="1" applyAlignment="1">
      <alignment horizontal="center" vertical="center"/>
    </xf>
    <xf numFmtId="2" fontId="70" fillId="5" borderId="1" xfId="0" applyNumberFormat="1" applyFont="1" applyFill="1" applyBorder="1" applyAlignment="1">
      <alignment horizontal="center" vertical="center"/>
    </xf>
    <xf numFmtId="2" fontId="70" fillId="25" borderId="1" xfId="0" applyNumberFormat="1" applyFont="1" applyFill="1" applyBorder="1" applyAlignment="1">
      <alignment horizontal="center" vertical="center"/>
    </xf>
    <xf numFmtId="0" fontId="41" fillId="5" borderId="1" xfId="0" applyFont="1" applyFill="1" applyBorder="1" applyAlignment="1">
      <alignment horizontal="center" vertical="center"/>
    </xf>
    <xf numFmtId="0" fontId="41" fillId="25" borderId="1" xfId="0" applyFont="1" applyFill="1" applyBorder="1" applyAlignment="1">
      <alignment horizontal="center" vertical="center"/>
    </xf>
    <xf numFmtId="2" fontId="70" fillId="5" borderId="3" xfId="0" applyNumberFormat="1" applyFont="1" applyFill="1" applyBorder="1" applyAlignment="1">
      <alignment horizontal="center" vertical="center"/>
    </xf>
    <xf numFmtId="0" fontId="41" fillId="5" borderId="3" xfId="0" applyFont="1" applyFill="1" applyBorder="1" applyAlignment="1">
      <alignment horizontal="center" vertical="center"/>
    </xf>
    <xf numFmtId="0" fontId="40" fillId="23" borderId="1" xfId="0" applyFont="1" applyFill="1" applyBorder="1" applyAlignment="1">
      <alignment horizontal="center" vertical="center"/>
    </xf>
    <xf numFmtId="0" fontId="40" fillId="23" borderId="8" xfId="0" applyFont="1" applyFill="1" applyBorder="1" applyAlignment="1">
      <alignment horizontal="center" vertical="center"/>
    </xf>
    <xf numFmtId="0" fontId="40" fillId="23" borderId="14" xfId="0" applyFont="1" applyFill="1" applyBorder="1" applyAlignment="1">
      <alignment horizontal="center" vertical="center"/>
    </xf>
    <xf numFmtId="2" fontId="42" fillId="0" borderId="30" xfId="1" applyNumberFormat="1" applyFont="1" applyBorder="1" applyAlignment="1">
      <alignment horizontal="center" vertical="center" wrapText="1"/>
    </xf>
    <xf numFmtId="165" fontId="40" fillId="0" borderId="30" xfId="0" applyNumberFormat="1" applyFont="1" applyBorder="1" applyAlignment="1">
      <alignment horizontal="center" vertical="center"/>
    </xf>
    <xf numFmtId="2" fontId="42" fillId="0" borderId="5" xfId="1" applyNumberFormat="1" applyFont="1" applyBorder="1" applyAlignment="1">
      <alignment horizontal="center" vertical="center" wrapText="1"/>
    </xf>
    <xf numFmtId="0" fontId="42" fillId="0" borderId="47" xfId="0" applyFont="1" applyBorder="1" applyAlignment="1">
      <alignment horizontal="center" vertical="center"/>
    </xf>
    <xf numFmtId="165" fontId="40" fillId="0" borderId="53" xfId="0" applyNumberFormat="1" applyFont="1" applyBorder="1" applyAlignment="1">
      <alignment horizontal="center" vertical="center"/>
    </xf>
    <xf numFmtId="2" fontId="40" fillId="14" borderId="10" xfId="0" applyNumberFormat="1" applyFont="1" applyFill="1" applyBorder="1" applyAlignment="1">
      <alignment horizontal="center" vertical="center"/>
    </xf>
    <xf numFmtId="2" fontId="40" fillId="14" borderId="1" xfId="0" applyNumberFormat="1" applyFont="1" applyFill="1" applyBorder="1" applyAlignment="1">
      <alignment horizontal="center" vertical="center"/>
    </xf>
    <xf numFmtId="1" fontId="40" fillId="14" borderId="1" xfId="0" applyNumberFormat="1" applyFont="1" applyFill="1" applyBorder="1" applyAlignment="1">
      <alignment horizontal="center" vertical="center"/>
    </xf>
    <xf numFmtId="1" fontId="40" fillId="14" borderId="6" xfId="0" applyNumberFormat="1" applyFont="1" applyFill="1" applyBorder="1" applyAlignment="1">
      <alignment horizontal="center" vertical="center"/>
    </xf>
    <xf numFmtId="1" fontId="40" fillId="14" borderId="10" xfId="0" applyNumberFormat="1" applyFont="1" applyFill="1" applyBorder="1" applyAlignment="1">
      <alignment horizontal="center" vertical="center"/>
    </xf>
    <xf numFmtId="2" fontId="40" fillId="14" borderId="11" xfId="0" applyNumberFormat="1" applyFont="1" applyFill="1" applyBorder="1" applyAlignment="1">
      <alignment horizontal="center" vertical="center"/>
    </xf>
    <xf numFmtId="2" fontId="40" fillId="14" borderId="3" xfId="0" applyNumberFormat="1" applyFont="1" applyFill="1" applyBorder="1" applyAlignment="1">
      <alignment horizontal="center" vertical="center"/>
    </xf>
    <xf numFmtId="1" fontId="40" fillId="14" borderId="3" xfId="0" applyNumberFormat="1" applyFont="1" applyFill="1" applyBorder="1" applyAlignment="1">
      <alignment horizontal="center" vertical="center"/>
    </xf>
    <xf numFmtId="1" fontId="40" fillId="14" borderId="7" xfId="0" applyNumberFormat="1" applyFont="1" applyFill="1" applyBorder="1" applyAlignment="1">
      <alignment horizontal="center" vertical="center"/>
    </xf>
    <xf numFmtId="1" fontId="40" fillId="14" borderId="11" xfId="0" applyNumberFormat="1" applyFont="1" applyFill="1" applyBorder="1" applyAlignment="1">
      <alignment horizontal="center" vertical="center"/>
    </xf>
    <xf numFmtId="2" fontId="40" fillId="26" borderId="1" xfId="0" applyNumberFormat="1" applyFont="1" applyFill="1" applyBorder="1" applyAlignment="1">
      <alignment horizontal="center" vertical="center"/>
    </xf>
    <xf numFmtId="0" fontId="41" fillId="15" borderId="22" xfId="0" applyFont="1" applyFill="1" applyBorder="1" applyAlignment="1">
      <alignment horizontal="center" vertical="center"/>
    </xf>
    <xf numFmtId="0" fontId="41" fillId="15" borderId="37" xfId="0" applyFont="1" applyFill="1" applyBorder="1" applyAlignment="1">
      <alignment horizontal="center" vertical="center"/>
    </xf>
    <xf numFmtId="0" fontId="40" fillId="15" borderId="37" xfId="1" applyFont="1" applyFill="1" applyBorder="1" applyAlignment="1">
      <alignment horizontal="center" vertical="center" wrapText="1"/>
    </xf>
    <xf numFmtId="0" fontId="40" fillId="15" borderId="31" xfId="1" applyFont="1" applyFill="1" applyBorder="1" applyAlignment="1">
      <alignment horizontal="center" vertical="center" wrapText="1"/>
    </xf>
    <xf numFmtId="0" fontId="40" fillId="15" borderId="31" xfId="0" applyFont="1" applyFill="1" applyBorder="1" applyAlignment="1">
      <alignment horizontal="center" vertical="center"/>
    </xf>
    <xf numFmtId="2" fontId="42" fillId="15" borderId="31" xfId="0" applyNumberFormat="1" applyFont="1" applyFill="1" applyBorder="1" applyAlignment="1">
      <alignment horizontal="center" vertical="center"/>
    </xf>
    <xf numFmtId="0" fontId="42" fillId="15" borderId="31" xfId="0" applyFont="1" applyFill="1" applyBorder="1" applyAlignment="1">
      <alignment horizontal="center" vertical="center"/>
    </xf>
    <xf numFmtId="0" fontId="42" fillId="15" borderId="32" xfId="0" applyFont="1" applyFill="1" applyBorder="1" applyAlignment="1">
      <alignment horizontal="center" vertical="center"/>
    </xf>
    <xf numFmtId="0" fontId="42" fillId="15" borderId="20" xfId="0" applyFont="1" applyFill="1" applyBorder="1" applyAlignment="1">
      <alignment horizontal="center" vertical="center"/>
    </xf>
    <xf numFmtId="2" fontId="40" fillId="15" borderId="30" xfId="0" applyNumberFormat="1" applyFont="1" applyFill="1" applyBorder="1" applyAlignment="1">
      <alignment horizontal="center" vertical="center"/>
    </xf>
    <xf numFmtId="2" fontId="40" fillId="15" borderId="31" xfId="0" applyNumberFormat="1" applyFont="1" applyFill="1" applyBorder="1" applyAlignment="1">
      <alignment horizontal="center" vertical="center" wrapText="1"/>
    </xf>
    <xf numFmtId="2" fontId="40" fillId="15" borderId="31" xfId="0" applyNumberFormat="1" applyFont="1" applyFill="1" applyBorder="1" applyAlignment="1">
      <alignment horizontal="center" vertical="center"/>
    </xf>
    <xf numFmtId="1" fontId="40" fillId="15" borderId="31" xfId="0" applyNumberFormat="1" applyFont="1" applyFill="1" applyBorder="1" applyAlignment="1">
      <alignment horizontal="center" vertical="center"/>
    </xf>
    <xf numFmtId="1" fontId="40" fillId="15" borderId="32" xfId="0" applyNumberFormat="1" applyFont="1" applyFill="1" applyBorder="1" applyAlignment="1">
      <alignment horizontal="center" vertical="center"/>
    </xf>
    <xf numFmtId="0" fontId="40" fillId="15" borderId="19" xfId="1" applyFont="1" applyFill="1" applyBorder="1" applyAlignment="1">
      <alignment horizontal="center" vertical="center" wrapText="1"/>
    </xf>
    <xf numFmtId="0" fontId="40" fillId="15" borderId="31" xfId="0" applyFont="1" applyFill="1" applyBorder="1" applyAlignment="1">
      <alignment horizontal="center" vertical="center" wrapText="1"/>
    </xf>
    <xf numFmtId="2" fontId="40" fillId="15" borderId="20" xfId="0" applyNumberFormat="1" applyFont="1" applyFill="1" applyBorder="1" applyAlignment="1">
      <alignment horizontal="center" vertical="center"/>
    </xf>
    <xf numFmtId="2" fontId="40" fillId="15" borderId="32" xfId="0" applyNumberFormat="1" applyFont="1" applyFill="1" applyBorder="1" applyAlignment="1">
      <alignment horizontal="center" vertical="center"/>
    </xf>
    <xf numFmtId="1" fontId="40" fillId="15" borderId="19" xfId="0" applyNumberFormat="1" applyFont="1" applyFill="1" applyBorder="1" applyAlignment="1">
      <alignment horizontal="center" vertical="center"/>
    </xf>
    <xf numFmtId="1" fontId="40" fillId="15" borderId="20" xfId="0" applyNumberFormat="1" applyFont="1" applyFill="1" applyBorder="1" applyAlignment="1">
      <alignment horizontal="center" vertical="center"/>
    </xf>
    <xf numFmtId="0" fontId="40" fillId="15" borderId="1" xfId="1" applyFont="1" applyFill="1" applyBorder="1" applyAlignment="1">
      <alignment horizontal="center" vertical="center" wrapText="1"/>
    </xf>
    <xf numFmtId="0" fontId="40" fillId="15" borderId="1" xfId="0" applyFont="1" applyFill="1" applyBorder="1" applyAlignment="1">
      <alignment horizontal="center" vertical="center"/>
    </xf>
    <xf numFmtId="2" fontId="42" fillId="15" borderId="1" xfId="0" applyNumberFormat="1" applyFont="1" applyFill="1" applyBorder="1" applyAlignment="1">
      <alignment horizontal="center" vertical="center"/>
    </xf>
    <xf numFmtId="0" fontId="42" fillId="15" borderId="8" xfId="0" applyFont="1" applyFill="1" applyBorder="1" applyAlignment="1">
      <alignment horizontal="center" vertical="center"/>
    </xf>
    <xf numFmtId="2" fontId="40" fillId="15" borderId="4" xfId="0" applyNumberFormat="1" applyFont="1" applyFill="1" applyBorder="1" applyAlignment="1">
      <alignment horizontal="center" vertical="center"/>
    </xf>
    <xf numFmtId="2" fontId="40" fillId="15" borderId="1" xfId="0" applyNumberFormat="1" applyFont="1" applyFill="1" applyBorder="1" applyAlignment="1">
      <alignment horizontal="center" vertical="center" wrapText="1"/>
    </xf>
    <xf numFmtId="2" fontId="40" fillId="15" borderId="1" xfId="0" applyNumberFormat="1" applyFont="1" applyFill="1" applyBorder="1" applyAlignment="1">
      <alignment horizontal="center" vertical="center"/>
    </xf>
    <xf numFmtId="1" fontId="40" fillId="15" borderId="1" xfId="0" applyNumberFormat="1" applyFont="1" applyFill="1" applyBorder="1" applyAlignment="1">
      <alignment horizontal="center" vertical="center"/>
    </xf>
    <xf numFmtId="1" fontId="40" fillId="15" borderId="8" xfId="0" applyNumberFormat="1" applyFont="1" applyFill="1" applyBorder="1" applyAlignment="1">
      <alignment horizontal="center" vertical="center"/>
    </xf>
    <xf numFmtId="0" fontId="40" fillId="15" borderId="10" xfId="1" applyFont="1" applyFill="1" applyBorder="1" applyAlignment="1">
      <alignment horizontal="center" vertical="center" wrapText="1"/>
    </xf>
    <xf numFmtId="0" fontId="40" fillId="15" borderId="1" xfId="0" applyFont="1" applyFill="1" applyBorder="1" applyAlignment="1">
      <alignment horizontal="center" vertical="center" wrapText="1"/>
    </xf>
    <xf numFmtId="2" fontId="40" fillId="15" borderId="6" xfId="0" applyNumberFormat="1" applyFont="1" applyFill="1" applyBorder="1" applyAlignment="1">
      <alignment horizontal="center" vertical="center"/>
    </xf>
    <xf numFmtId="2" fontId="40" fillId="15" borderId="8" xfId="0" applyNumberFormat="1" applyFont="1" applyFill="1" applyBorder="1" applyAlignment="1">
      <alignment horizontal="center" vertical="center"/>
    </xf>
    <xf numFmtId="1" fontId="40" fillId="15" borderId="2" xfId="0" applyNumberFormat="1" applyFont="1" applyFill="1" applyBorder="1" applyAlignment="1">
      <alignment horizontal="center" vertical="center"/>
    </xf>
    <xf numFmtId="0" fontId="43" fillId="15" borderId="10" xfId="1" applyFont="1" applyFill="1" applyBorder="1" applyAlignment="1">
      <alignment horizontal="center" vertical="center" wrapText="1"/>
    </xf>
    <xf numFmtId="0" fontId="40" fillId="15" borderId="2" xfId="0" applyFont="1" applyFill="1" applyBorder="1" applyAlignment="1">
      <alignment horizontal="center" vertical="center"/>
    </xf>
    <xf numFmtId="0" fontId="42" fillId="15" borderId="10" xfId="1" applyFont="1" applyFill="1" applyBorder="1" applyAlignment="1">
      <alignment horizontal="center" vertical="center" wrapText="1"/>
    </xf>
    <xf numFmtId="0" fontId="53" fillId="15" borderId="1" xfId="0" applyFont="1" applyFill="1" applyBorder="1" applyAlignment="1">
      <alignment horizontal="center" vertical="center"/>
    </xf>
    <xf numFmtId="0" fontId="53" fillId="15" borderId="1" xfId="0" applyFont="1" applyFill="1" applyBorder="1" applyAlignment="1">
      <alignment horizontal="center" vertical="center" wrapText="1"/>
    </xf>
    <xf numFmtId="0" fontId="41" fillId="15" borderId="34" xfId="0" applyFont="1" applyFill="1" applyBorder="1" applyAlignment="1">
      <alignment horizontal="center" vertical="center"/>
    </xf>
    <xf numFmtId="0" fontId="40" fillId="15" borderId="34" xfId="1" applyFont="1" applyFill="1" applyBorder="1" applyAlignment="1">
      <alignment horizontal="center" vertical="center" wrapText="1"/>
    </xf>
    <xf numFmtId="0" fontId="40" fillId="15" borderId="2" xfId="1" applyFont="1" applyFill="1" applyBorder="1" applyAlignment="1">
      <alignment horizontal="center" vertical="center" wrapText="1"/>
    </xf>
    <xf numFmtId="2" fontId="42" fillId="15" borderId="2" xfId="0" applyNumberFormat="1" applyFont="1" applyFill="1" applyBorder="1" applyAlignment="1">
      <alignment horizontal="center" vertical="center"/>
    </xf>
    <xf numFmtId="0" fontId="42" fillId="15" borderId="2" xfId="0" applyFont="1" applyFill="1" applyBorder="1" applyAlignment="1">
      <alignment horizontal="center" vertical="center"/>
    </xf>
    <xf numFmtId="0" fontId="42" fillId="15" borderId="15" xfId="0" applyFont="1" applyFill="1" applyBorder="1" applyAlignment="1">
      <alignment horizontal="center" vertical="center"/>
    </xf>
    <xf numFmtId="0" fontId="42" fillId="15" borderId="13" xfId="0" applyFont="1" applyFill="1" applyBorder="1" applyAlignment="1">
      <alignment horizontal="center" vertical="center"/>
    </xf>
    <xf numFmtId="2" fontId="40" fillId="15" borderId="9" xfId="0" applyNumberFormat="1" applyFont="1" applyFill="1" applyBorder="1" applyAlignment="1">
      <alignment horizontal="center" vertical="center"/>
    </xf>
    <xf numFmtId="2" fontId="40" fillId="15" borderId="2" xfId="0" applyNumberFormat="1" applyFont="1" applyFill="1" applyBorder="1" applyAlignment="1">
      <alignment horizontal="center" vertical="center" wrapText="1"/>
    </xf>
    <xf numFmtId="2" fontId="40" fillId="15" borderId="2" xfId="0" applyNumberFormat="1" applyFont="1" applyFill="1" applyBorder="1" applyAlignment="1">
      <alignment horizontal="center" vertical="center"/>
    </xf>
    <xf numFmtId="1" fontId="40" fillId="15" borderId="15" xfId="0" applyNumberFormat="1" applyFont="1" applyFill="1" applyBorder="1" applyAlignment="1">
      <alignment horizontal="center" vertical="center"/>
    </xf>
    <xf numFmtId="0" fontId="40" fillId="15" borderId="12" xfId="1" applyFont="1" applyFill="1" applyBorder="1" applyAlignment="1">
      <alignment horizontal="center" vertical="center" wrapText="1"/>
    </xf>
    <xf numFmtId="0" fontId="40" fillId="15" borderId="2" xfId="0" applyFont="1" applyFill="1" applyBorder="1" applyAlignment="1">
      <alignment horizontal="center" vertical="center" wrapText="1"/>
    </xf>
    <xf numFmtId="2" fontId="40" fillId="15" borderId="13" xfId="0" applyNumberFormat="1" applyFont="1" applyFill="1" applyBorder="1" applyAlignment="1">
      <alignment horizontal="center" vertical="center"/>
    </xf>
    <xf numFmtId="2" fontId="40" fillId="15" borderId="15" xfId="0" applyNumberFormat="1" applyFont="1" applyFill="1" applyBorder="1" applyAlignment="1">
      <alignment horizontal="center" vertical="center"/>
    </xf>
    <xf numFmtId="1" fontId="40" fillId="15" borderId="12" xfId="0" applyNumberFormat="1" applyFont="1" applyFill="1" applyBorder="1" applyAlignment="1">
      <alignment horizontal="center" vertical="center"/>
    </xf>
    <xf numFmtId="1" fontId="40" fillId="15" borderId="13" xfId="0" applyNumberFormat="1" applyFont="1" applyFill="1" applyBorder="1" applyAlignment="1">
      <alignment horizontal="center" vertical="center"/>
    </xf>
    <xf numFmtId="0" fontId="53" fillId="15" borderId="1" xfId="1" applyFont="1" applyFill="1" applyBorder="1" applyAlignment="1">
      <alignment horizontal="center" vertical="center" wrapText="1"/>
    </xf>
    <xf numFmtId="0" fontId="42" fillId="15" borderId="12" xfId="1" applyFont="1" applyFill="1" applyBorder="1" applyAlignment="1">
      <alignment horizontal="center" vertical="center" wrapText="1"/>
    </xf>
    <xf numFmtId="0" fontId="41" fillId="15" borderId="21" xfId="0" applyFont="1" applyFill="1" applyBorder="1" applyAlignment="1">
      <alignment horizontal="center" vertical="center"/>
    </xf>
    <xf numFmtId="0" fontId="40" fillId="15" borderId="21" xfId="1" applyFont="1" applyFill="1" applyBorder="1" applyAlignment="1">
      <alignment horizontal="center" vertical="center" wrapText="1"/>
    </xf>
    <xf numFmtId="0" fontId="40" fillId="15" borderId="28" xfId="0" applyFont="1" applyFill="1" applyBorder="1" applyAlignment="1">
      <alignment horizontal="center" vertical="center"/>
    </xf>
    <xf numFmtId="2" fontId="42" fillId="15" borderId="28" xfId="0" applyNumberFormat="1" applyFont="1" applyFill="1" applyBorder="1" applyAlignment="1">
      <alignment horizontal="center" vertical="center"/>
    </xf>
    <xf numFmtId="0" fontId="42" fillId="15" borderId="28" xfId="0" applyFont="1" applyFill="1" applyBorder="1" applyAlignment="1">
      <alignment horizontal="center" vertical="center"/>
    </xf>
    <xf numFmtId="0" fontId="42" fillId="15" borderId="29" xfId="0" applyFont="1" applyFill="1" applyBorder="1" applyAlignment="1">
      <alignment horizontal="center" vertical="center"/>
    </xf>
    <xf numFmtId="0" fontId="42" fillId="15" borderId="23" xfId="0" applyFont="1" applyFill="1" applyBorder="1" applyAlignment="1">
      <alignment horizontal="center" vertical="center"/>
    </xf>
    <xf numFmtId="2" fontId="40" fillId="15" borderId="27" xfId="0" applyNumberFormat="1" applyFont="1" applyFill="1" applyBorder="1" applyAlignment="1">
      <alignment horizontal="center" vertical="center"/>
    </xf>
    <xf numFmtId="2" fontId="40" fillId="15" borderId="28" xfId="0" applyNumberFormat="1" applyFont="1" applyFill="1" applyBorder="1" applyAlignment="1">
      <alignment horizontal="center" vertical="center" wrapText="1"/>
    </xf>
    <xf numFmtId="2" fontId="40" fillId="15" borderId="29" xfId="0" applyNumberFormat="1" applyFont="1" applyFill="1" applyBorder="1" applyAlignment="1">
      <alignment horizontal="center" vertical="center"/>
    </xf>
    <xf numFmtId="1" fontId="40" fillId="15" borderId="28" xfId="0" applyNumberFormat="1" applyFont="1" applyFill="1" applyBorder="1" applyAlignment="1">
      <alignment horizontal="center" vertical="center"/>
    </xf>
    <xf numFmtId="1" fontId="40" fillId="15" borderId="29" xfId="0" applyNumberFormat="1" applyFont="1" applyFill="1" applyBorder="1" applyAlignment="1">
      <alignment horizontal="center" vertical="center"/>
    </xf>
    <xf numFmtId="0" fontId="40" fillId="15" borderId="16" xfId="1" applyFont="1" applyFill="1" applyBorder="1" applyAlignment="1">
      <alignment horizontal="center" vertical="center" wrapText="1"/>
    </xf>
    <xf numFmtId="0" fontId="40" fillId="15" borderId="28" xfId="0" applyFont="1" applyFill="1" applyBorder="1" applyAlignment="1">
      <alignment horizontal="center" vertical="center" wrapText="1"/>
    </xf>
    <xf numFmtId="2" fontId="40" fillId="15" borderId="23" xfId="0" applyNumberFormat="1" applyFont="1" applyFill="1" applyBorder="1" applyAlignment="1">
      <alignment horizontal="center" vertical="center"/>
    </xf>
    <xf numFmtId="165" fontId="40" fillId="15" borderId="11" xfId="0" applyNumberFormat="1" applyFont="1" applyFill="1" applyBorder="1" applyAlignment="1">
      <alignment horizontal="center" vertical="center"/>
    </xf>
    <xf numFmtId="165" fontId="40" fillId="15" borderId="7" xfId="0" applyNumberFormat="1" applyFont="1" applyFill="1" applyBorder="1" applyAlignment="1">
      <alignment horizontal="center" vertical="center"/>
    </xf>
    <xf numFmtId="1" fontId="40" fillId="15" borderId="16" xfId="0" applyNumberFormat="1" applyFont="1" applyFill="1" applyBorder="1" applyAlignment="1">
      <alignment horizontal="center" vertical="center"/>
    </xf>
    <xf numFmtId="1" fontId="40" fillId="15" borderId="23" xfId="0" applyNumberFormat="1" applyFont="1" applyFill="1" applyBorder="1" applyAlignment="1">
      <alignment horizontal="center" vertical="center"/>
    </xf>
    <xf numFmtId="0" fontId="40" fillId="26" borderId="37" xfId="1" applyFont="1" applyFill="1" applyBorder="1" applyAlignment="1">
      <alignment horizontal="center" vertical="center" wrapText="1"/>
    </xf>
    <xf numFmtId="0" fontId="40" fillId="26" borderId="31" xfId="0" applyFont="1" applyFill="1" applyBorder="1" applyAlignment="1">
      <alignment horizontal="center" vertical="center"/>
    </xf>
    <xf numFmtId="2" fontId="42" fillId="26" borderId="19" xfId="1" applyNumberFormat="1" applyFont="1" applyFill="1" applyBorder="1" applyAlignment="1">
      <alignment horizontal="center" vertical="center" wrapText="1"/>
    </xf>
    <xf numFmtId="2" fontId="42" fillId="26" borderId="31" xfId="0" applyNumberFormat="1" applyFont="1" applyFill="1" applyBorder="1" applyAlignment="1">
      <alignment horizontal="center" vertical="center"/>
    </xf>
    <xf numFmtId="0" fontId="42" fillId="26" borderId="31" xfId="0" applyFont="1" applyFill="1" applyBorder="1" applyAlignment="1">
      <alignment horizontal="center" vertical="center"/>
    </xf>
    <xf numFmtId="0" fontId="42" fillId="26" borderId="32" xfId="0" applyFont="1" applyFill="1" applyBorder="1" applyAlignment="1">
      <alignment horizontal="center" vertical="center"/>
    </xf>
    <xf numFmtId="0" fontId="42" fillId="26" borderId="20" xfId="0" applyFont="1" applyFill="1" applyBorder="1" applyAlignment="1">
      <alignment horizontal="center" vertical="center"/>
    </xf>
    <xf numFmtId="2" fontId="40" fillId="26" borderId="30" xfId="0" applyNumberFormat="1" applyFont="1" applyFill="1" applyBorder="1" applyAlignment="1">
      <alignment horizontal="center" vertical="center"/>
    </xf>
    <xf numFmtId="2" fontId="40" fillId="26" borderId="31" xfId="0" applyNumberFormat="1" applyFont="1" applyFill="1" applyBorder="1" applyAlignment="1">
      <alignment horizontal="center" vertical="center" wrapText="1"/>
    </xf>
    <xf numFmtId="2" fontId="40" fillId="26" borderId="31" xfId="0" applyNumberFormat="1" applyFont="1" applyFill="1" applyBorder="1" applyAlignment="1">
      <alignment horizontal="center" vertical="center"/>
    </xf>
    <xf numFmtId="1" fontId="40" fillId="26" borderId="31" xfId="0" applyNumberFormat="1" applyFont="1" applyFill="1" applyBorder="1" applyAlignment="1">
      <alignment horizontal="center" vertical="center"/>
    </xf>
    <xf numFmtId="1" fontId="40" fillId="26" borderId="32" xfId="0" applyNumberFormat="1" applyFont="1" applyFill="1" applyBorder="1" applyAlignment="1">
      <alignment horizontal="center" vertical="center"/>
    </xf>
    <xf numFmtId="0" fontId="40" fillId="26" borderId="19" xfId="1" applyFont="1" applyFill="1" applyBorder="1" applyAlignment="1">
      <alignment horizontal="center" vertical="center" wrapText="1"/>
    </xf>
    <xf numFmtId="0" fontId="40" fillId="26" borderId="31" xfId="0" applyFont="1" applyFill="1" applyBorder="1" applyAlignment="1">
      <alignment horizontal="center" vertical="center" wrapText="1"/>
    </xf>
    <xf numFmtId="2" fontId="40" fillId="26" borderId="20" xfId="0" applyNumberFormat="1" applyFont="1" applyFill="1" applyBorder="1" applyAlignment="1">
      <alignment horizontal="center" vertical="center"/>
    </xf>
    <xf numFmtId="2" fontId="40" fillId="26" borderId="32" xfId="0" applyNumberFormat="1" applyFont="1" applyFill="1" applyBorder="1" applyAlignment="1">
      <alignment horizontal="center" vertical="center"/>
    </xf>
    <xf numFmtId="165" fontId="40" fillId="26" borderId="19" xfId="0" applyNumberFormat="1" applyFont="1" applyFill="1" applyBorder="1" applyAlignment="1">
      <alignment horizontal="center" vertical="center"/>
    </xf>
    <xf numFmtId="165" fontId="40" fillId="26" borderId="20" xfId="0" applyNumberFormat="1" applyFont="1" applyFill="1" applyBorder="1" applyAlignment="1">
      <alignment horizontal="center" vertical="center"/>
    </xf>
    <xf numFmtId="1" fontId="40" fillId="26" borderId="19" xfId="0" applyNumberFormat="1" applyFont="1" applyFill="1" applyBorder="1" applyAlignment="1">
      <alignment horizontal="center" vertical="center"/>
    </xf>
    <xf numFmtId="1" fontId="40" fillId="26" borderId="20" xfId="0" applyNumberFormat="1" applyFont="1" applyFill="1" applyBorder="1" applyAlignment="1">
      <alignment horizontal="center" vertical="center"/>
    </xf>
    <xf numFmtId="0" fontId="40" fillId="26" borderId="22" xfId="1" applyFont="1" applyFill="1" applyBorder="1" applyAlignment="1">
      <alignment horizontal="center" vertical="center" wrapText="1"/>
    </xf>
    <xf numFmtId="0" fontId="42" fillId="26" borderId="4" xfId="1" applyFont="1" applyFill="1" applyBorder="1" applyAlignment="1">
      <alignment horizontal="center" vertical="center" wrapText="1"/>
    </xf>
    <xf numFmtId="0" fontId="40" fillId="26" borderId="1" xfId="1" applyFont="1" applyFill="1" applyBorder="1" applyAlignment="1">
      <alignment horizontal="center" vertical="center" wrapText="1"/>
    </xf>
    <xf numFmtId="0" fontId="40" fillId="26" borderId="1" xfId="0" applyFont="1" applyFill="1" applyBorder="1" applyAlignment="1">
      <alignment horizontal="center" vertical="center"/>
    </xf>
    <xf numFmtId="0" fontId="40" fillId="26" borderId="8" xfId="0" applyFont="1" applyFill="1" applyBorder="1" applyAlignment="1">
      <alignment horizontal="center" vertical="center"/>
    </xf>
    <xf numFmtId="2" fontId="42" fillId="26" borderId="10" xfId="1" applyNumberFormat="1" applyFont="1" applyFill="1" applyBorder="1" applyAlignment="1">
      <alignment horizontal="center" vertical="center" wrapText="1"/>
    </xf>
    <xf numFmtId="2" fontId="42" fillId="26" borderId="1" xfId="0" applyNumberFormat="1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6" borderId="8" xfId="0" applyFont="1" applyFill="1" applyBorder="1" applyAlignment="1">
      <alignment horizontal="center" vertical="center"/>
    </xf>
    <xf numFmtId="0" fontId="42" fillId="26" borderId="6" xfId="0" applyFont="1" applyFill="1" applyBorder="1" applyAlignment="1">
      <alignment horizontal="center" vertical="center"/>
    </xf>
    <xf numFmtId="2" fontId="40" fillId="26" borderId="4" xfId="0" applyNumberFormat="1" applyFont="1" applyFill="1" applyBorder="1" applyAlignment="1">
      <alignment horizontal="center" vertical="center"/>
    </xf>
    <xf numFmtId="2" fontId="40" fillId="26" borderId="1" xfId="0" applyNumberFormat="1" applyFont="1" applyFill="1" applyBorder="1" applyAlignment="1">
      <alignment horizontal="center" vertical="center" wrapText="1"/>
    </xf>
    <xf numFmtId="1" fontId="40" fillId="26" borderId="1" xfId="0" applyNumberFormat="1" applyFont="1" applyFill="1" applyBorder="1" applyAlignment="1">
      <alignment horizontal="center" vertical="center"/>
    </xf>
    <xf numFmtId="1" fontId="40" fillId="26" borderId="8" xfId="0" applyNumberFormat="1" applyFont="1" applyFill="1" applyBorder="1" applyAlignment="1">
      <alignment horizontal="center" vertical="center"/>
    </xf>
    <xf numFmtId="0" fontId="40" fillId="26" borderId="10" xfId="1" applyFont="1" applyFill="1" applyBorder="1" applyAlignment="1">
      <alignment horizontal="center" vertical="center" wrapText="1"/>
    </xf>
    <xf numFmtId="0" fontId="40" fillId="26" borderId="1" xfId="0" applyFont="1" applyFill="1" applyBorder="1" applyAlignment="1">
      <alignment horizontal="center" vertical="center" wrapText="1"/>
    </xf>
    <xf numFmtId="2" fontId="40" fillId="26" borderId="6" xfId="0" applyNumberFormat="1" applyFont="1" applyFill="1" applyBorder="1" applyAlignment="1">
      <alignment horizontal="center" vertical="center"/>
    </xf>
    <xf numFmtId="2" fontId="40" fillId="26" borderId="8" xfId="0" applyNumberFormat="1" applyFont="1" applyFill="1" applyBorder="1" applyAlignment="1">
      <alignment horizontal="center" vertical="center"/>
    </xf>
    <xf numFmtId="165" fontId="40" fillId="26" borderId="10" xfId="0" applyNumberFormat="1" applyFont="1" applyFill="1" applyBorder="1" applyAlignment="1">
      <alignment horizontal="center" vertical="center"/>
    </xf>
    <xf numFmtId="165" fontId="40" fillId="26" borderId="6" xfId="0" applyNumberFormat="1" applyFont="1" applyFill="1" applyBorder="1" applyAlignment="1">
      <alignment horizontal="center" vertical="center"/>
    </xf>
    <xf numFmtId="1" fontId="40" fillId="26" borderId="10" xfId="0" applyNumberFormat="1" applyFont="1" applyFill="1" applyBorder="1" applyAlignment="1">
      <alignment horizontal="center" vertical="center"/>
    </xf>
    <xf numFmtId="1" fontId="40" fillId="26" borderId="2" xfId="0" applyNumberFormat="1" applyFont="1" applyFill="1" applyBorder="1" applyAlignment="1">
      <alignment horizontal="center" vertical="center"/>
    </xf>
    <xf numFmtId="1" fontId="40" fillId="26" borderId="6" xfId="0" applyNumberFormat="1" applyFont="1" applyFill="1" applyBorder="1" applyAlignment="1">
      <alignment horizontal="center" vertical="center"/>
    </xf>
    <xf numFmtId="0" fontId="40" fillId="26" borderId="34" xfId="1" applyFont="1" applyFill="1" applyBorder="1" applyAlignment="1">
      <alignment horizontal="center" vertical="center" wrapText="1"/>
    </xf>
    <xf numFmtId="0" fontId="42" fillId="26" borderId="9" xfId="1" applyFont="1" applyFill="1" applyBorder="1" applyAlignment="1">
      <alignment horizontal="center" vertical="center" wrapText="1"/>
    </xf>
    <xf numFmtId="0" fontId="40" fillId="26" borderId="2" xfId="1" applyFont="1" applyFill="1" applyBorder="1" applyAlignment="1">
      <alignment horizontal="center" vertical="center" wrapText="1"/>
    </xf>
    <xf numFmtId="0" fontId="40" fillId="26" borderId="2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2" fontId="42" fillId="26" borderId="12" xfId="1" applyNumberFormat="1" applyFont="1" applyFill="1" applyBorder="1" applyAlignment="1">
      <alignment horizontal="center" vertical="center" wrapText="1"/>
    </xf>
    <xf numFmtId="2" fontId="42" fillId="26" borderId="2" xfId="0" applyNumberFormat="1" applyFont="1" applyFill="1" applyBorder="1" applyAlignment="1">
      <alignment horizontal="center" vertical="center"/>
    </xf>
    <xf numFmtId="0" fontId="42" fillId="26" borderId="2" xfId="0" applyFont="1" applyFill="1" applyBorder="1" applyAlignment="1">
      <alignment horizontal="center" vertical="center"/>
    </xf>
    <xf numFmtId="0" fontId="42" fillId="26" borderId="15" xfId="0" applyFont="1" applyFill="1" applyBorder="1" applyAlignment="1">
      <alignment horizontal="center" vertical="center"/>
    </xf>
    <xf numFmtId="0" fontId="42" fillId="26" borderId="13" xfId="0" applyFont="1" applyFill="1" applyBorder="1" applyAlignment="1">
      <alignment horizontal="center" vertical="center"/>
    </xf>
    <xf numFmtId="2" fontId="40" fillId="26" borderId="9" xfId="0" applyNumberFormat="1" applyFont="1" applyFill="1" applyBorder="1" applyAlignment="1">
      <alignment horizontal="center" vertical="center"/>
    </xf>
    <xf numFmtId="2" fontId="40" fillId="26" borderId="2" xfId="0" applyNumberFormat="1" applyFont="1" applyFill="1" applyBorder="1" applyAlignment="1">
      <alignment horizontal="center" vertical="center" wrapText="1"/>
    </xf>
    <xf numFmtId="2" fontId="40" fillId="26" borderId="2" xfId="0" applyNumberFormat="1" applyFont="1" applyFill="1" applyBorder="1" applyAlignment="1">
      <alignment horizontal="center" vertical="center"/>
    </xf>
    <xf numFmtId="1" fontId="40" fillId="26" borderId="15" xfId="0" applyNumberFormat="1" applyFont="1" applyFill="1" applyBorder="1" applyAlignment="1">
      <alignment horizontal="center" vertical="center"/>
    </xf>
    <xf numFmtId="0" fontId="40" fillId="26" borderId="12" xfId="1" applyFont="1" applyFill="1" applyBorder="1" applyAlignment="1">
      <alignment horizontal="center" vertical="center" wrapText="1"/>
    </xf>
    <xf numFmtId="0" fontId="40" fillId="26" borderId="2" xfId="0" applyFont="1" applyFill="1" applyBorder="1" applyAlignment="1">
      <alignment horizontal="center" vertical="center" wrapText="1"/>
    </xf>
    <xf numFmtId="2" fontId="40" fillId="26" borderId="13" xfId="0" applyNumberFormat="1" applyFont="1" applyFill="1" applyBorder="1" applyAlignment="1">
      <alignment horizontal="center" vertical="center"/>
    </xf>
    <xf numFmtId="2" fontId="40" fillId="26" borderId="15" xfId="0" applyNumberFormat="1" applyFont="1" applyFill="1" applyBorder="1" applyAlignment="1">
      <alignment horizontal="center" vertical="center"/>
    </xf>
    <xf numFmtId="165" fontId="40" fillId="26" borderId="12" xfId="0" applyNumberFormat="1" applyFont="1" applyFill="1" applyBorder="1" applyAlignment="1">
      <alignment horizontal="center" vertical="center"/>
    </xf>
    <xf numFmtId="165" fontId="40" fillId="26" borderId="13" xfId="0" applyNumberFormat="1" applyFont="1" applyFill="1" applyBorder="1" applyAlignment="1">
      <alignment horizontal="center" vertical="center"/>
    </xf>
    <xf numFmtId="1" fontId="40" fillId="26" borderId="12" xfId="0" applyNumberFormat="1" applyFont="1" applyFill="1" applyBorder="1" applyAlignment="1">
      <alignment horizontal="center" vertical="center"/>
    </xf>
    <xf numFmtId="1" fontId="40" fillId="26" borderId="13" xfId="0" applyNumberFormat="1" applyFont="1" applyFill="1" applyBorder="1" applyAlignment="1">
      <alignment horizontal="center" vertical="center"/>
    </xf>
    <xf numFmtId="0" fontId="40" fillId="26" borderId="6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18" xfId="1" applyFont="1" applyFill="1" applyBorder="1" applyAlignment="1">
      <alignment vertical="center" wrapText="1"/>
    </xf>
    <xf numFmtId="0" fontId="50" fillId="5" borderId="16" xfId="1" applyFont="1" applyFill="1" applyBorder="1" applyAlignment="1">
      <alignment horizontal="center" vertical="center" wrapText="1"/>
    </xf>
    <xf numFmtId="0" fontId="50" fillId="5" borderId="36" xfId="1" applyFont="1" applyFill="1" applyBorder="1" applyAlignment="1">
      <alignment horizontal="center" vertical="center" wrapText="1"/>
    </xf>
    <xf numFmtId="0" fontId="50" fillId="5" borderId="28" xfId="0" applyFont="1" applyFill="1" applyBorder="1" applyAlignment="1">
      <alignment horizontal="center" vertical="center"/>
    </xf>
    <xf numFmtId="0" fontId="50" fillId="5" borderId="29" xfId="0" applyFont="1" applyFill="1" applyBorder="1" applyAlignment="1">
      <alignment horizontal="center" vertical="center"/>
    </xf>
    <xf numFmtId="0" fontId="42" fillId="5" borderId="68" xfId="0" applyFont="1" applyFill="1" applyBorder="1" applyAlignment="1">
      <alignment horizontal="center" vertical="center"/>
    </xf>
    <xf numFmtId="165" fontId="40" fillId="5" borderId="17" xfId="0" applyNumberFormat="1" applyFont="1" applyFill="1" applyBorder="1" applyAlignment="1">
      <alignment horizontal="center" vertical="center"/>
    </xf>
    <xf numFmtId="165" fontId="40" fillId="5" borderId="36" xfId="0" applyNumberFormat="1" applyFont="1" applyFill="1" applyBorder="1" applyAlignment="1">
      <alignment horizontal="center" vertical="center"/>
    </xf>
    <xf numFmtId="165" fontId="50" fillId="5" borderId="28" xfId="0" applyNumberFormat="1" applyFont="1" applyFill="1" applyBorder="1" applyAlignment="1">
      <alignment horizontal="center" vertical="center" wrapText="1"/>
    </xf>
    <xf numFmtId="165" fontId="50" fillId="5" borderId="36" xfId="0" applyNumberFormat="1" applyFont="1" applyFill="1" applyBorder="1" applyAlignment="1">
      <alignment horizontal="center" vertical="center"/>
    </xf>
    <xf numFmtId="1" fontId="50" fillId="5" borderId="36" xfId="0" applyNumberFormat="1" applyFont="1" applyFill="1" applyBorder="1" applyAlignment="1">
      <alignment horizontal="center" vertical="center"/>
    </xf>
    <xf numFmtId="1" fontId="50" fillId="5" borderId="45" xfId="0" applyNumberFormat="1" applyFont="1" applyFill="1" applyBorder="1" applyAlignment="1">
      <alignment horizontal="center" vertical="center"/>
    </xf>
    <xf numFmtId="0" fontId="50" fillId="5" borderId="16" xfId="0" applyFont="1" applyFill="1" applyBorder="1" applyAlignment="1">
      <alignment horizontal="center" vertical="center"/>
    </xf>
    <xf numFmtId="2" fontId="50" fillId="5" borderId="28" xfId="0" applyNumberFormat="1" applyFont="1" applyFill="1" applyBorder="1" applyAlignment="1">
      <alignment horizontal="center" vertical="center"/>
    </xf>
    <xf numFmtId="2" fontId="50" fillId="5" borderId="23" xfId="0" applyNumberFormat="1" applyFont="1" applyFill="1" applyBorder="1" applyAlignment="1">
      <alignment horizontal="center" vertical="center"/>
    </xf>
    <xf numFmtId="2" fontId="50" fillId="5" borderId="16" xfId="0" applyNumberFormat="1" applyFont="1" applyFill="1" applyBorder="1" applyAlignment="1">
      <alignment horizontal="center" vertical="center"/>
    </xf>
    <xf numFmtId="167" fontId="40" fillId="5" borderId="17" xfId="0" applyNumberFormat="1" applyFont="1" applyFill="1" applyBorder="1" applyAlignment="1">
      <alignment horizontal="center" vertical="center"/>
    </xf>
    <xf numFmtId="167" fontId="40" fillId="5" borderId="45" xfId="0" applyNumberFormat="1" applyFont="1" applyFill="1" applyBorder="1" applyAlignment="1">
      <alignment horizontal="center" vertical="center"/>
    </xf>
    <xf numFmtId="0" fontId="50" fillId="5" borderId="1" xfId="1" applyFont="1" applyFill="1" applyBorder="1" applyAlignment="1">
      <alignment horizontal="center" vertical="center" wrapText="1"/>
    </xf>
    <xf numFmtId="0" fontId="52" fillId="5" borderId="1" xfId="1" applyFont="1" applyFill="1" applyBorder="1" applyAlignment="1">
      <alignment vertical="center" wrapText="1"/>
    </xf>
    <xf numFmtId="2" fontId="50" fillId="5" borderId="27" xfId="0" applyNumberFormat="1" applyFont="1" applyFill="1" applyBorder="1" applyAlignment="1">
      <alignment horizontal="center" vertical="center"/>
    </xf>
    <xf numFmtId="0" fontId="50" fillId="5" borderId="28" xfId="1" applyFont="1" applyFill="1" applyBorder="1" applyAlignment="1">
      <alignment horizontal="center" vertical="center" wrapText="1"/>
    </xf>
    <xf numFmtId="2" fontId="40" fillId="5" borderId="36" xfId="0" applyNumberFormat="1" applyFont="1" applyFill="1" applyBorder="1" applyAlignment="1">
      <alignment horizontal="center" vertical="center"/>
    </xf>
    <xf numFmtId="2" fontId="50" fillId="5" borderId="28" xfId="0" applyNumberFormat="1" applyFont="1" applyFill="1" applyBorder="1" applyAlignment="1">
      <alignment horizontal="center" vertical="center" wrapText="1"/>
    </xf>
    <xf numFmtId="1" fontId="50" fillId="5" borderId="28" xfId="0" applyNumberFormat="1" applyFont="1" applyFill="1" applyBorder="1" applyAlignment="1">
      <alignment horizontal="center" vertical="center"/>
    </xf>
    <xf numFmtId="1" fontId="50" fillId="5" borderId="29" xfId="0" applyNumberFormat="1" applyFont="1" applyFill="1" applyBorder="1" applyAlignment="1">
      <alignment horizontal="center" vertical="center"/>
    </xf>
    <xf numFmtId="1" fontId="50" fillId="5" borderId="27" xfId="0" applyNumberFormat="1" applyFont="1" applyFill="1" applyBorder="1" applyAlignment="1">
      <alignment horizontal="center" vertical="center"/>
    </xf>
    <xf numFmtId="167" fontId="40" fillId="5" borderId="12" xfId="0" applyNumberFormat="1" applyFont="1" applyFill="1" applyBorder="1" applyAlignment="1">
      <alignment horizontal="center" vertical="center"/>
    </xf>
    <xf numFmtId="167" fontId="40" fillId="5" borderId="13" xfId="0" applyNumberFormat="1" applyFont="1" applyFill="1" applyBorder="1" applyAlignment="1">
      <alignment horizontal="center" vertical="center"/>
    </xf>
    <xf numFmtId="165" fontId="7" fillId="16" borderId="1" xfId="0" applyNumberFormat="1" applyFont="1" applyFill="1" applyBorder="1" applyAlignment="1">
      <alignment horizontal="center" vertical="center"/>
    </xf>
    <xf numFmtId="0" fontId="53" fillId="10" borderId="1" xfId="0" applyFont="1" applyFill="1" applyBorder="1" applyAlignment="1">
      <alignment horizontal="center" vertical="center"/>
    </xf>
    <xf numFmtId="0" fontId="40" fillId="10" borderId="1" xfId="0" applyFont="1" applyFill="1" applyBorder="1" applyAlignment="1">
      <alignment horizontal="center" vertical="center"/>
    </xf>
    <xf numFmtId="0" fontId="53" fillId="10" borderId="1" xfId="0" applyFont="1" applyFill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/>
    </xf>
    <xf numFmtId="165" fontId="7" fillId="0" borderId="8" xfId="0" applyNumberFormat="1" applyFont="1" applyBorder="1" applyAlignment="1">
      <alignment horizontal="center"/>
    </xf>
    <xf numFmtId="0" fontId="41" fillId="14" borderId="18" xfId="0" applyFont="1" applyFill="1" applyBorder="1" applyAlignment="1">
      <alignment horizontal="center" vertical="center"/>
    </xf>
    <xf numFmtId="0" fontId="40" fillId="14" borderId="37" xfId="1" applyFont="1" applyFill="1" applyBorder="1" applyAlignment="1">
      <alignment horizontal="center" vertical="center" wrapText="1"/>
    </xf>
    <xf numFmtId="0" fontId="40" fillId="14" borderId="9" xfId="1" applyFont="1" applyFill="1" applyBorder="1" applyAlignment="1">
      <alignment horizontal="center" vertical="center" wrapText="1"/>
    </xf>
    <xf numFmtId="0" fontId="40" fillId="14" borderId="2" xfId="1" applyFont="1" applyFill="1" applyBorder="1" applyAlignment="1">
      <alignment horizontal="center" vertical="center" wrapText="1"/>
    </xf>
    <xf numFmtId="165" fontId="40" fillId="14" borderId="2" xfId="0" applyNumberFormat="1" applyFont="1" applyFill="1" applyBorder="1" applyAlignment="1">
      <alignment horizontal="center" vertical="center"/>
    </xf>
    <xf numFmtId="165" fontId="40" fillId="14" borderId="15" xfId="0" applyNumberFormat="1" applyFont="1" applyFill="1" applyBorder="1" applyAlignment="1">
      <alignment horizontal="center" vertical="center"/>
    </xf>
    <xf numFmtId="2" fontId="42" fillId="14" borderId="12" xfId="1" applyNumberFormat="1" applyFont="1" applyFill="1" applyBorder="1" applyAlignment="1">
      <alignment horizontal="center" vertical="center" wrapText="1"/>
    </xf>
    <xf numFmtId="2" fontId="42" fillId="14" borderId="2" xfId="0" applyNumberFormat="1" applyFont="1" applyFill="1" applyBorder="1" applyAlignment="1">
      <alignment horizontal="center" vertical="center"/>
    </xf>
    <xf numFmtId="0" fontId="42" fillId="14" borderId="2" xfId="0" applyFont="1" applyFill="1" applyBorder="1" applyAlignment="1">
      <alignment horizontal="center" vertical="center"/>
    </xf>
    <xf numFmtId="0" fontId="42" fillId="14" borderId="13" xfId="0" applyFont="1" applyFill="1" applyBorder="1" applyAlignment="1">
      <alignment horizontal="center" vertical="center"/>
    </xf>
    <xf numFmtId="2" fontId="40" fillId="14" borderId="19" xfId="0" applyNumberFormat="1" applyFont="1" applyFill="1" applyBorder="1" applyAlignment="1">
      <alignment horizontal="center" vertical="center"/>
    </xf>
    <xf numFmtId="2" fontId="40" fillId="14" borderId="31" xfId="0" applyNumberFormat="1" applyFont="1" applyFill="1" applyBorder="1" applyAlignment="1">
      <alignment horizontal="center" vertical="center"/>
    </xf>
    <xf numFmtId="2" fontId="40" fillId="14" borderId="31" xfId="0" applyNumberFormat="1" applyFont="1" applyFill="1" applyBorder="1" applyAlignment="1">
      <alignment horizontal="center" vertical="center" wrapText="1"/>
    </xf>
    <xf numFmtId="1" fontId="40" fillId="14" borderId="31" xfId="0" applyNumberFormat="1" applyFont="1" applyFill="1" applyBorder="1" applyAlignment="1">
      <alignment horizontal="center" vertical="center"/>
    </xf>
    <xf numFmtId="1" fontId="40" fillId="14" borderId="32" xfId="0" applyNumberFormat="1" applyFont="1" applyFill="1" applyBorder="1" applyAlignment="1">
      <alignment horizontal="center" vertical="center"/>
    </xf>
    <xf numFmtId="0" fontId="40" fillId="14" borderId="19" xfId="0" applyFont="1" applyFill="1" applyBorder="1" applyAlignment="1">
      <alignment horizontal="center" vertical="center"/>
    </xf>
    <xf numFmtId="0" fontId="40" fillId="14" borderId="31" xfId="0" applyFont="1" applyFill="1" applyBorder="1" applyAlignment="1">
      <alignment horizontal="center" vertical="center"/>
    </xf>
    <xf numFmtId="2" fontId="40" fillId="14" borderId="20" xfId="0" applyNumberFormat="1" applyFont="1" applyFill="1" applyBorder="1" applyAlignment="1">
      <alignment horizontal="center" vertical="center"/>
    </xf>
    <xf numFmtId="2" fontId="40" fillId="14" borderId="30" xfId="0" applyNumberFormat="1" applyFont="1" applyFill="1" applyBorder="1" applyAlignment="1">
      <alignment horizontal="center" vertical="center"/>
    </xf>
    <xf numFmtId="165" fontId="40" fillId="14" borderId="12" xfId="0" applyNumberFormat="1" applyFont="1" applyFill="1" applyBorder="1" applyAlignment="1">
      <alignment horizontal="center" vertical="center"/>
    </xf>
    <xf numFmtId="165" fontId="40" fillId="14" borderId="13" xfId="0" applyNumberFormat="1" applyFont="1" applyFill="1" applyBorder="1" applyAlignment="1">
      <alignment horizontal="center" vertical="center"/>
    </xf>
    <xf numFmtId="1" fontId="40" fillId="14" borderId="4" xfId="0" applyNumberFormat="1" applyFont="1" applyFill="1" applyBorder="1" applyAlignment="1">
      <alignment horizontal="center" vertical="center"/>
    </xf>
    <xf numFmtId="1" fontId="40" fillId="14" borderId="2" xfId="0" applyNumberFormat="1" applyFont="1" applyFill="1" applyBorder="1" applyAlignment="1">
      <alignment horizontal="center" vertical="center"/>
    </xf>
    <xf numFmtId="1" fontId="40" fillId="14" borderId="15" xfId="0" applyNumberFormat="1" applyFont="1" applyFill="1" applyBorder="1" applyAlignment="1">
      <alignment horizontal="center" vertical="center"/>
    </xf>
    <xf numFmtId="1" fontId="40" fillId="14" borderId="13" xfId="0" applyNumberFormat="1" applyFont="1" applyFill="1" applyBorder="1" applyAlignment="1">
      <alignment horizontal="center" vertical="center"/>
    </xf>
    <xf numFmtId="0" fontId="40" fillId="14" borderId="0" xfId="0" applyFont="1" applyFill="1" applyAlignment="1">
      <alignment vertical="center"/>
    </xf>
    <xf numFmtId="0" fontId="41" fillId="14" borderId="21" xfId="0" applyFont="1" applyFill="1" applyBorder="1" applyAlignment="1">
      <alignment horizontal="center" vertical="center"/>
    </xf>
    <xf numFmtId="0" fontId="40" fillId="14" borderId="22" xfId="1" applyFont="1" applyFill="1" applyBorder="1" applyAlignment="1">
      <alignment horizontal="center" vertical="center" wrapText="1"/>
    </xf>
    <xf numFmtId="0" fontId="40" fillId="14" borderId="4" xfId="1" applyFont="1" applyFill="1" applyBorder="1" applyAlignment="1">
      <alignment horizontal="center" vertical="center" wrapText="1"/>
    </xf>
    <xf numFmtId="0" fontId="40" fillId="14" borderId="1" xfId="1" applyFont="1" applyFill="1" applyBorder="1" applyAlignment="1">
      <alignment horizontal="center" vertical="center" wrapText="1"/>
    </xf>
    <xf numFmtId="2" fontId="42" fillId="14" borderId="10" xfId="1" applyNumberFormat="1" applyFont="1" applyFill="1" applyBorder="1" applyAlignment="1">
      <alignment horizontal="center" vertical="center" wrapText="1"/>
    </xf>
    <xf numFmtId="2" fontId="42" fillId="14" borderId="1" xfId="0" applyNumberFormat="1" applyFont="1" applyFill="1" applyBorder="1" applyAlignment="1">
      <alignment horizontal="center" vertical="center"/>
    </xf>
    <xf numFmtId="0" fontId="42" fillId="14" borderId="1" xfId="0" applyFont="1" applyFill="1" applyBorder="1" applyAlignment="1">
      <alignment horizontal="center" vertical="center"/>
    </xf>
    <xf numFmtId="0" fontId="42" fillId="14" borderId="6" xfId="0" applyFont="1" applyFill="1" applyBorder="1" applyAlignment="1">
      <alignment horizontal="center" vertical="center"/>
    </xf>
    <xf numFmtId="0" fontId="40" fillId="14" borderId="10" xfId="0" applyFont="1" applyFill="1" applyBorder="1" applyAlignment="1">
      <alignment horizontal="center" vertical="center"/>
    </xf>
    <xf numFmtId="0" fontId="40" fillId="14" borderId="1" xfId="0" applyFont="1" applyFill="1" applyBorder="1" applyAlignment="1">
      <alignment horizontal="center" vertical="center"/>
    </xf>
    <xf numFmtId="2" fontId="40" fillId="14" borderId="6" xfId="0" applyNumberFormat="1" applyFont="1" applyFill="1" applyBorder="1" applyAlignment="1">
      <alignment horizontal="center" vertical="center"/>
    </xf>
    <xf numFmtId="2" fontId="40" fillId="14" borderId="4" xfId="0" applyNumberFormat="1" applyFont="1" applyFill="1" applyBorder="1" applyAlignment="1">
      <alignment horizontal="center" vertical="center"/>
    </xf>
    <xf numFmtId="0" fontId="40" fillId="14" borderId="8" xfId="0" applyFont="1" applyFill="1" applyBorder="1" applyAlignment="1">
      <alignment horizontal="center" vertical="center"/>
    </xf>
    <xf numFmtId="2" fontId="40" fillId="14" borderId="12" xfId="1" applyNumberFormat="1" applyFont="1" applyFill="1" applyBorder="1" applyAlignment="1">
      <alignment horizontal="center" vertical="center" wrapText="1"/>
    </xf>
    <xf numFmtId="2" fontId="40" fillId="14" borderId="2" xfId="0" applyNumberFormat="1" applyFont="1" applyFill="1" applyBorder="1" applyAlignment="1">
      <alignment horizontal="center" vertical="center"/>
    </xf>
    <xf numFmtId="0" fontId="40" fillId="14" borderId="2" xfId="0" applyFont="1" applyFill="1" applyBorder="1" applyAlignment="1">
      <alignment horizontal="center" vertical="center"/>
    </xf>
    <xf numFmtId="0" fontId="40" fillId="14" borderId="13" xfId="0" applyFont="1" applyFill="1" applyBorder="1" applyAlignment="1">
      <alignment horizontal="center" vertical="center"/>
    </xf>
    <xf numFmtId="2" fontId="40" fillId="14" borderId="12" xfId="0" applyNumberFormat="1" applyFont="1" applyFill="1" applyBorder="1" applyAlignment="1">
      <alignment horizontal="center" vertical="center"/>
    </xf>
    <xf numFmtId="0" fontId="40" fillId="14" borderId="12" xfId="0" applyFont="1" applyFill="1" applyBorder="1" applyAlignment="1">
      <alignment horizontal="center" vertical="center"/>
    </xf>
    <xf numFmtId="0" fontId="40" fillId="14" borderId="15" xfId="0" applyFont="1" applyFill="1" applyBorder="1" applyAlignment="1">
      <alignment horizontal="center" vertical="center"/>
    </xf>
    <xf numFmtId="165" fontId="40" fillId="14" borderId="10" xfId="0" applyNumberFormat="1" applyFont="1" applyFill="1" applyBorder="1" applyAlignment="1">
      <alignment horizontal="center" vertical="center"/>
    </xf>
    <xf numFmtId="165" fontId="40" fillId="14" borderId="6" xfId="0" applyNumberFormat="1" applyFont="1" applyFill="1" applyBorder="1" applyAlignment="1">
      <alignment horizontal="center" vertical="center"/>
    </xf>
    <xf numFmtId="0" fontId="43" fillId="14" borderId="4" xfId="1" applyFont="1" applyFill="1" applyBorder="1" applyAlignment="1">
      <alignment horizontal="center" vertical="center" wrapText="1"/>
    </xf>
    <xf numFmtId="2" fontId="40" fillId="14" borderId="10" xfId="1" applyNumberFormat="1" applyFont="1" applyFill="1" applyBorder="1" applyAlignment="1">
      <alignment horizontal="center" vertical="center" wrapText="1"/>
    </xf>
    <xf numFmtId="0" fontId="40" fillId="14" borderId="6" xfId="0" applyFont="1" applyFill="1" applyBorder="1" applyAlignment="1">
      <alignment horizontal="center" vertical="center"/>
    </xf>
    <xf numFmtId="2" fontId="40" fillId="14" borderId="1" xfId="0" applyNumberFormat="1" applyFont="1" applyFill="1" applyBorder="1" applyAlignment="1">
      <alignment horizontal="center" vertical="center" wrapText="1"/>
    </xf>
    <xf numFmtId="1" fontId="40" fillId="15" borderId="4" xfId="0" applyNumberFormat="1" applyFont="1" applyFill="1" applyBorder="1" applyAlignment="1">
      <alignment horizontal="center" vertical="center"/>
    </xf>
    <xf numFmtId="1" fontId="40" fillId="6" borderId="4" xfId="0" applyNumberFormat="1" applyFont="1" applyFill="1" applyBorder="1" applyAlignment="1">
      <alignment horizontal="center" vertical="center"/>
    </xf>
    <xf numFmtId="1" fontId="40" fillId="6" borderId="1" xfId="0" applyNumberFormat="1" applyFont="1" applyFill="1" applyBorder="1" applyAlignment="1">
      <alignment horizontal="center" vertical="center"/>
    </xf>
    <xf numFmtId="0" fontId="34" fillId="0" borderId="39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23" fillId="0" borderId="10" xfId="1" applyFont="1" applyBorder="1" applyAlignment="1">
      <alignment horizontal="center" vertical="center" wrapText="1"/>
    </xf>
    <xf numFmtId="0" fontId="23" fillId="0" borderId="6" xfId="1" applyFont="1" applyBorder="1" applyAlignment="1">
      <alignment horizontal="center" vertical="center" wrapText="1"/>
    </xf>
    <xf numFmtId="2" fontId="27" fillId="0" borderId="10" xfId="1" applyNumberFormat="1" applyFont="1" applyBorder="1" applyAlignment="1">
      <alignment horizontal="center" vertical="center" textRotation="90" wrapText="1"/>
    </xf>
    <xf numFmtId="2" fontId="27" fillId="0" borderId="1" xfId="0" applyNumberFormat="1" applyFont="1" applyBorder="1" applyAlignment="1">
      <alignment horizontal="center" vertical="center" textRotation="90" wrapText="1"/>
    </xf>
    <xf numFmtId="0" fontId="27" fillId="0" borderId="6" xfId="0" applyFont="1" applyBorder="1" applyAlignment="1">
      <alignment horizontal="center" vertical="center" textRotation="90" wrapText="1"/>
    </xf>
    <xf numFmtId="1" fontId="23" fillId="0" borderId="1" xfId="0" applyNumberFormat="1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3" fillId="3" borderId="10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1" fontId="23" fillId="0" borderId="10" xfId="0" applyNumberFormat="1" applyFont="1" applyBorder="1" applyAlignment="1">
      <alignment horizontal="center" vertical="center" wrapText="1"/>
    </xf>
    <xf numFmtId="1" fontId="23" fillId="0" borderId="6" xfId="0" applyNumberFormat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23" fillId="0" borderId="23" xfId="1" applyFont="1" applyBorder="1" applyAlignment="1">
      <alignment horizontal="center" vertical="center" wrapText="1"/>
    </xf>
    <xf numFmtId="2" fontId="23" fillId="0" borderId="11" xfId="1" applyNumberFormat="1" applyFont="1" applyBorder="1" applyAlignment="1">
      <alignment horizontal="center" vertical="center" wrapText="1"/>
    </xf>
    <xf numFmtId="2" fontId="23" fillId="0" borderId="3" xfId="0" applyNumberFormat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1" fontId="23" fillId="0" borderId="11" xfId="0" applyNumberFormat="1" applyFont="1" applyBorder="1" applyAlignment="1">
      <alignment horizontal="center" vertical="center" wrapText="1"/>
    </xf>
    <xf numFmtId="1" fontId="23" fillId="0" borderId="3" xfId="0" applyNumberFormat="1" applyFont="1" applyBorder="1" applyAlignment="1">
      <alignment horizontal="center" vertical="center" wrapText="1"/>
    </xf>
    <xf numFmtId="1" fontId="23" fillId="0" borderId="14" xfId="0" applyNumberFormat="1" applyFont="1" applyBorder="1" applyAlignment="1">
      <alignment horizontal="center" vertical="center" wrapText="1"/>
    </xf>
    <xf numFmtId="1" fontId="23" fillId="0" borderId="7" xfId="0" applyNumberFormat="1" applyFont="1" applyBorder="1" applyAlignment="1">
      <alignment horizontal="center" vertical="center" wrapText="1"/>
    </xf>
    <xf numFmtId="0" fontId="23" fillId="0" borderId="37" xfId="1" applyFont="1" applyBorder="1" applyAlignment="1">
      <alignment horizontal="center" vertical="center" wrapText="1"/>
    </xf>
    <xf numFmtId="0" fontId="10" fillId="0" borderId="40" xfId="1" applyFont="1" applyBorder="1" applyAlignment="1">
      <alignment horizontal="center" vertical="center" wrapText="1"/>
    </xf>
    <xf numFmtId="2" fontId="71" fillId="0" borderId="31" xfId="0" applyNumberFormat="1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2" fontId="10" fillId="0" borderId="31" xfId="0" applyNumberFormat="1" applyFont="1" applyBorder="1" applyAlignment="1">
      <alignment horizontal="center" vertical="center" wrapText="1"/>
    </xf>
    <xf numFmtId="2" fontId="10" fillId="0" borderId="31" xfId="0" applyNumberFormat="1" applyFont="1" applyBorder="1" applyAlignment="1">
      <alignment horizontal="center" vertical="center"/>
    </xf>
    <xf numFmtId="1" fontId="10" fillId="0" borderId="31" xfId="0" applyNumberFormat="1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2" fontId="10" fillId="0" borderId="32" xfId="0" applyNumberFormat="1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1" fontId="10" fillId="0" borderId="15" xfId="0" applyNumberFormat="1" applyFont="1" applyBorder="1" applyAlignment="1">
      <alignment horizontal="center" vertical="center"/>
    </xf>
    <xf numFmtId="1" fontId="10" fillId="0" borderId="13" xfId="0" applyNumberFormat="1" applyFont="1" applyBorder="1" applyAlignment="1">
      <alignment horizontal="center" vertical="center"/>
    </xf>
    <xf numFmtId="0" fontId="23" fillId="0" borderId="22" xfId="1" applyFont="1" applyBorder="1" applyAlignment="1">
      <alignment horizontal="center" vertical="center" wrapText="1"/>
    </xf>
    <xf numFmtId="0" fontId="10" fillId="0" borderId="41" xfId="1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2" fontId="71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 wrapText="1"/>
    </xf>
    <xf numFmtId="2" fontId="10" fillId="0" borderId="8" xfId="0" applyNumberFormat="1" applyFont="1" applyBorder="1" applyAlignment="1">
      <alignment horizontal="center" vertical="center"/>
    </xf>
    <xf numFmtId="165" fontId="10" fillId="3" borderId="10" xfId="0" applyNumberFormat="1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" fontId="10" fillId="0" borderId="8" xfId="0" applyNumberFormat="1" applyFont="1" applyBorder="1" applyAlignment="1">
      <alignment horizontal="center" vertical="center"/>
    </xf>
    <xf numFmtId="1" fontId="10" fillId="0" borderId="6" xfId="0" applyNumberFormat="1" applyFont="1" applyBorder="1" applyAlignment="1">
      <alignment horizontal="center" vertical="center"/>
    </xf>
    <xf numFmtId="0" fontId="23" fillId="0" borderId="34" xfId="1" applyFont="1" applyBorder="1" applyAlignment="1">
      <alignment horizontal="center" vertical="center" wrapText="1"/>
    </xf>
    <xf numFmtId="0" fontId="10" fillId="0" borderId="65" xfId="1" applyFont="1" applyBorder="1" applyAlignment="1">
      <alignment horizontal="center" vertical="center" wrapText="1"/>
    </xf>
    <xf numFmtId="2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 wrapText="1"/>
    </xf>
    <xf numFmtId="2" fontId="10" fillId="0" borderId="15" xfId="0" applyNumberFormat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2" fontId="10" fillId="0" borderId="28" xfId="0" applyNumberFormat="1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2" fontId="10" fillId="0" borderId="28" xfId="0" applyNumberFormat="1" applyFont="1" applyBorder="1" applyAlignment="1">
      <alignment horizontal="center" vertical="center" wrapText="1"/>
    </xf>
    <xf numFmtId="1" fontId="10" fillId="0" borderId="36" xfId="0" applyNumberFormat="1" applyFont="1" applyBorder="1" applyAlignment="1">
      <alignment horizontal="center" vertical="center"/>
    </xf>
    <xf numFmtId="2" fontId="10" fillId="0" borderId="29" xfId="0" applyNumberFormat="1" applyFont="1" applyBorder="1" applyAlignment="1">
      <alignment horizontal="center" vertical="center"/>
    </xf>
    <xf numFmtId="1" fontId="10" fillId="0" borderId="28" xfId="0" applyNumberFormat="1" applyFont="1" applyBorder="1" applyAlignment="1">
      <alignment horizontal="center" vertical="center"/>
    </xf>
    <xf numFmtId="1" fontId="10" fillId="0" borderId="29" xfId="0" applyNumberFormat="1" applyFont="1" applyBorder="1" applyAlignment="1">
      <alignment horizontal="center" vertical="center"/>
    </xf>
    <xf numFmtId="1" fontId="10" fillId="0" borderId="45" xfId="0" applyNumberFormat="1" applyFont="1" applyBorder="1" applyAlignment="1">
      <alignment horizontal="center" vertical="center"/>
    </xf>
    <xf numFmtId="0" fontId="10" fillId="0" borderId="58" xfId="0" applyFont="1" applyBorder="1" applyAlignment="1">
      <alignment vertical="center"/>
    </xf>
    <xf numFmtId="0" fontId="35" fillId="0" borderId="55" xfId="0" applyFont="1" applyBorder="1" applyAlignment="1">
      <alignment vertical="center"/>
    </xf>
    <xf numFmtId="0" fontId="23" fillId="0" borderId="19" xfId="0" applyFont="1" applyBorder="1" applyAlignment="1">
      <alignment horizontal="center" vertical="center"/>
    </xf>
    <xf numFmtId="0" fontId="10" fillId="0" borderId="30" xfId="1" applyFont="1" applyBorder="1" applyAlignment="1">
      <alignment horizontal="center" vertical="center" wrapText="1"/>
    </xf>
    <xf numFmtId="0" fontId="10" fillId="0" borderId="31" xfId="1" applyFont="1" applyBorder="1" applyAlignment="1">
      <alignment horizontal="center" vertical="center" wrapText="1"/>
    </xf>
    <xf numFmtId="2" fontId="10" fillId="0" borderId="31" xfId="1" applyNumberFormat="1" applyFont="1" applyBorder="1" applyAlignment="1">
      <alignment horizontal="center" vertical="center" wrapText="1"/>
    </xf>
    <xf numFmtId="2" fontId="10" fillId="27" borderId="31" xfId="0" applyNumberFormat="1" applyFont="1" applyFill="1" applyBorder="1" applyAlignment="1">
      <alignment horizontal="center" vertical="center" wrapText="1"/>
    </xf>
    <xf numFmtId="2" fontId="10" fillId="27" borderId="31" xfId="0" applyNumberFormat="1" applyFont="1" applyFill="1" applyBorder="1" applyAlignment="1">
      <alignment horizontal="center" vertical="center"/>
    </xf>
    <xf numFmtId="1" fontId="10" fillId="0" borderId="33" xfId="0" applyNumberFormat="1" applyFont="1" applyBorder="1" applyAlignment="1">
      <alignment horizontal="center" vertical="center"/>
    </xf>
    <xf numFmtId="165" fontId="10" fillId="3" borderId="24" xfId="0" applyNumberFormat="1" applyFont="1" applyFill="1" applyBorder="1" applyAlignment="1">
      <alignment horizontal="center" vertical="center"/>
    </xf>
    <xf numFmtId="165" fontId="10" fillId="3" borderId="25" xfId="0" applyNumberFormat="1" applyFont="1" applyFill="1" applyBorder="1" applyAlignment="1">
      <alignment horizontal="center" vertical="center"/>
    </xf>
    <xf numFmtId="0" fontId="10" fillId="0" borderId="30" xfId="0" applyFont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20" xfId="0" applyFont="1" applyBorder="1" applyAlignment="1">
      <alignment vertical="center"/>
    </xf>
    <xf numFmtId="0" fontId="23" fillId="0" borderId="10" xfId="0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 wrapText="1"/>
    </xf>
    <xf numFmtId="2" fontId="10" fillId="27" borderId="1" xfId="0" applyNumberFormat="1" applyFont="1" applyFill="1" applyBorder="1" applyAlignment="1">
      <alignment horizontal="center" vertical="center" wrapText="1"/>
    </xf>
    <xf numFmtId="2" fontId="10" fillId="27" borderId="1" xfId="0" applyNumberFormat="1" applyFont="1" applyFill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23" fillId="0" borderId="11" xfId="0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 wrapText="1"/>
    </xf>
    <xf numFmtId="0" fontId="10" fillId="0" borderId="3" xfId="1" applyFont="1" applyBorder="1" applyAlignment="1">
      <alignment horizontal="center" vertical="center" wrapText="1"/>
    </xf>
    <xf numFmtId="2" fontId="10" fillId="0" borderId="3" xfId="1" applyNumberFormat="1" applyFont="1" applyBorder="1" applyAlignment="1">
      <alignment horizontal="center" vertical="center" wrapText="1"/>
    </xf>
    <xf numFmtId="2" fontId="71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2" fontId="10" fillId="0" borderId="3" xfId="0" applyNumberFormat="1" applyFont="1" applyBorder="1" applyAlignment="1">
      <alignment horizontal="center" vertical="center"/>
    </xf>
    <xf numFmtId="2" fontId="10" fillId="27" borderId="3" xfId="0" applyNumberFormat="1" applyFont="1" applyFill="1" applyBorder="1" applyAlignment="1">
      <alignment horizontal="center" vertical="center" wrapText="1"/>
    </xf>
    <xf numFmtId="2" fontId="10" fillId="27" borderId="3" xfId="0" applyNumberFormat="1" applyFont="1" applyFill="1" applyBorder="1" applyAlignment="1">
      <alignment horizontal="center" vertical="center"/>
    </xf>
    <xf numFmtId="1" fontId="10" fillId="0" borderId="3" xfId="0" applyNumberFormat="1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1" fontId="10" fillId="0" borderId="38" xfId="0" applyNumberFormat="1" applyFont="1" applyBorder="1" applyAlignment="1">
      <alignment horizontal="center" vertical="center"/>
    </xf>
    <xf numFmtId="2" fontId="10" fillId="0" borderId="14" xfId="0" applyNumberFormat="1" applyFont="1" applyBorder="1" applyAlignment="1">
      <alignment horizontal="center" vertical="center"/>
    </xf>
    <xf numFmtId="165" fontId="10" fillId="3" borderId="11" xfId="0" applyNumberFormat="1" applyFont="1" applyFill="1" applyBorder="1" applyAlignment="1">
      <alignment horizontal="center" vertical="center"/>
    </xf>
    <xf numFmtId="165" fontId="10" fillId="3" borderId="7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2" fontId="10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vertical="center"/>
    </xf>
    <xf numFmtId="0" fontId="41" fillId="0" borderId="1" xfId="0" applyFont="1" applyBorder="1" applyAlignment="1">
      <alignment horizontal="center" vertical="center"/>
    </xf>
    <xf numFmtId="0" fontId="41" fillId="3" borderId="1" xfId="0" applyFont="1" applyFill="1" applyBorder="1" applyAlignment="1">
      <alignment horizontal="center" vertical="center" wrapText="1"/>
    </xf>
    <xf numFmtId="2" fontId="41" fillId="0" borderId="1" xfId="1" applyNumberFormat="1" applyFont="1" applyBorder="1" applyAlignment="1">
      <alignment horizontal="center" vertical="center" wrapText="1"/>
    </xf>
    <xf numFmtId="165" fontId="72" fillId="0" borderId="31" xfId="0" applyNumberFormat="1" applyFont="1" applyBorder="1" applyAlignment="1">
      <alignment horizontal="center" vertical="center"/>
    </xf>
    <xf numFmtId="165" fontId="72" fillId="0" borderId="1" xfId="0" applyNumberFormat="1" applyFont="1" applyBorder="1" applyAlignment="1">
      <alignment horizontal="center" vertical="center"/>
    </xf>
    <xf numFmtId="165" fontId="72" fillId="0" borderId="3" xfId="0" applyNumberFormat="1" applyFont="1" applyBorder="1" applyAlignment="1">
      <alignment horizontal="center" vertical="center"/>
    </xf>
    <xf numFmtId="165" fontId="72" fillId="0" borderId="19" xfId="0" applyNumberFormat="1" applyFont="1" applyBorder="1" applyAlignment="1">
      <alignment horizontal="center" vertical="center"/>
    </xf>
    <xf numFmtId="165" fontId="72" fillId="0" borderId="20" xfId="0" applyNumberFormat="1" applyFont="1" applyBorder="1" applyAlignment="1">
      <alignment horizontal="center" vertical="center"/>
    </xf>
    <xf numFmtId="165" fontId="72" fillId="0" borderId="10" xfId="0" applyNumberFormat="1" applyFont="1" applyBorder="1" applyAlignment="1">
      <alignment horizontal="center" vertical="center"/>
    </xf>
    <xf numFmtId="165" fontId="72" fillId="0" borderId="6" xfId="0" applyNumberFormat="1" applyFont="1" applyBorder="1" applyAlignment="1">
      <alignment horizontal="center" vertical="center"/>
    </xf>
    <xf numFmtId="165" fontId="72" fillId="0" borderId="11" xfId="0" applyNumberFormat="1" applyFont="1" applyBorder="1" applyAlignment="1">
      <alignment horizontal="center" vertical="center"/>
    </xf>
    <xf numFmtId="165" fontId="72" fillId="0" borderId="7" xfId="0" applyNumberFormat="1" applyFont="1" applyBorder="1" applyAlignment="1">
      <alignment horizontal="center" vertical="center"/>
    </xf>
    <xf numFmtId="0" fontId="23" fillId="0" borderId="0" xfId="1" applyFont="1" applyAlignment="1">
      <alignment horizontal="center" vertical="center" wrapText="1"/>
    </xf>
    <xf numFmtId="0" fontId="23" fillId="0" borderId="18" xfId="1" applyFont="1" applyBorder="1" applyAlignment="1">
      <alignment horizontal="center" vertical="center" wrapText="1"/>
    </xf>
    <xf numFmtId="0" fontId="10" fillId="0" borderId="22" xfId="1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10" fillId="0" borderId="20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10" fillId="0" borderId="16" xfId="1" applyFont="1" applyBorder="1" applyAlignment="1">
      <alignment horizontal="center" vertical="center" wrapText="1"/>
    </xf>
    <xf numFmtId="0" fontId="10" fillId="0" borderId="45" xfId="1" applyFont="1" applyBorder="1" applyAlignment="1">
      <alignment horizontal="center" vertical="center" wrapText="1"/>
    </xf>
    <xf numFmtId="165" fontId="72" fillId="0" borderId="16" xfId="0" applyNumberFormat="1" applyFont="1" applyBorder="1" applyAlignment="1">
      <alignment horizontal="center" vertical="center"/>
    </xf>
    <xf numFmtId="0" fontId="10" fillId="0" borderId="55" xfId="0" applyFont="1" applyBorder="1" applyAlignment="1">
      <alignment vertical="center"/>
    </xf>
    <xf numFmtId="0" fontId="23" fillId="0" borderId="37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 wrapText="1"/>
    </xf>
    <xf numFmtId="0" fontId="10" fillId="0" borderId="7" xfId="1" applyFont="1" applyBorder="1" applyAlignment="1">
      <alignment horizontal="center" vertical="center" wrapText="1"/>
    </xf>
    <xf numFmtId="0" fontId="10" fillId="0" borderId="37" xfId="1" applyFont="1" applyBorder="1" applyAlignment="1">
      <alignment horizontal="center" vertical="center" wrapText="1"/>
    </xf>
    <xf numFmtId="0" fontId="10" fillId="0" borderId="34" xfId="1" applyFont="1" applyBorder="1" applyAlignment="1">
      <alignment horizontal="center" vertical="center" wrapText="1"/>
    </xf>
    <xf numFmtId="0" fontId="10" fillId="0" borderId="21" xfId="1" applyFont="1" applyBorder="1" applyAlignment="1">
      <alignment horizontal="center" vertical="center" wrapText="1"/>
    </xf>
    <xf numFmtId="0" fontId="10" fillId="0" borderId="26" xfId="1" applyFont="1" applyBorder="1" applyAlignment="1">
      <alignment horizontal="center" vertical="center" wrapText="1"/>
    </xf>
    <xf numFmtId="165" fontId="72" fillId="0" borderId="23" xfId="0" applyNumberFormat="1" applyFont="1" applyBorder="1" applyAlignment="1">
      <alignment horizontal="center" vertical="center"/>
    </xf>
    <xf numFmtId="2" fontId="10" fillId="0" borderId="19" xfId="1" applyNumberFormat="1" applyFont="1" applyBorder="1" applyAlignment="1">
      <alignment horizontal="center" vertical="center" wrapText="1"/>
    </xf>
    <xf numFmtId="2" fontId="10" fillId="0" borderId="10" xfId="1" applyNumberFormat="1" applyFont="1" applyBorder="1" applyAlignment="1">
      <alignment horizontal="center" vertical="center" wrapText="1"/>
    </xf>
    <xf numFmtId="2" fontId="10" fillId="0" borderId="12" xfId="1" applyNumberFormat="1" applyFont="1" applyBorder="1" applyAlignment="1">
      <alignment horizontal="center" vertical="center" wrapText="1"/>
    </xf>
    <xf numFmtId="2" fontId="10" fillId="0" borderId="16" xfId="1" applyNumberFormat="1" applyFont="1" applyBorder="1" applyAlignment="1">
      <alignment horizontal="center" vertical="center" wrapText="1"/>
    </xf>
    <xf numFmtId="1" fontId="10" fillId="0" borderId="32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2" fontId="10" fillId="0" borderId="3" xfId="0" applyNumberFormat="1" applyFont="1" applyBorder="1" applyAlignment="1">
      <alignment horizontal="center" vertical="center" wrapText="1"/>
    </xf>
    <xf numFmtId="1" fontId="10" fillId="0" borderId="7" xfId="0" applyNumberFormat="1" applyFont="1" applyBorder="1" applyAlignment="1">
      <alignment horizontal="center" vertical="center"/>
    </xf>
    <xf numFmtId="1" fontId="10" fillId="0" borderId="30" xfId="0" applyNumberFormat="1" applyFont="1" applyBorder="1" applyAlignment="1">
      <alignment horizontal="center" vertical="center"/>
    </xf>
    <xf numFmtId="1" fontId="10" fillId="0" borderId="4" xfId="0" applyNumberFormat="1" applyFont="1" applyBorder="1" applyAlignment="1">
      <alignment horizontal="center" vertical="center"/>
    </xf>
    <xf numFmtId="1" fontId="10" fillId="0" borderId="9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 wrapText="1"/>
    </xf>
    <xf numFmtId="2" fontId="10" fillId="15" borderId="31" xfId="0" applyNumberFormat="1" applyFont="1" applyFill="1" applyBorder="1" applyAlignment="1">
      <alignment horizontal="center" vertical="center"/>
    </xf>
    <xf numFmtId="2" fontId="10" fillId="0" borderId="30" xfId="0" applyNumberFormat="1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2" fontId="10" fillId="0" borderId="9" xfId="0" applyNumberFormat="1" applyFont="1" applyBorder="1" applyAlignment="1">
      <alignment horizontal="center" vertical="center"/>
    </xf>
    <xf numFmtId="2" fontId="10" fillId="0" borderId="27" xfId="0" applyNumberFormat="1" applyFont="1" applyBorder="1" applyAlignment="1">
      <alignment horizontal="center" vertical="center"/>
    </xf>
    <xf numFmtId="2" fontId="10" fillId="0" borderId="5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41" fillId="20" borderId="22" xfId="0" applyFont="1" applyFill="1" applyBorder="1" applyAlignment="1">
      <alignment horizontal="center" vertical="center"/>
    </xf>
    <xf numFmtId="0" fontId="40" fillId="20" borderId="22" xfId="1" applyFont="1" applyFill="1" applyBorder="1" applyAlignment="1">
      <alignment horizontal="center" vertical="center" wrapText="1"/>
    </xf>
    <xf numFmtId="0" fontId="43" fillId="20" borderId="4" xfId="1" applyFont="1" applyFill="1" applyBorder="1" applyAlignment="1">
      <alignment horizontal="center" vertical="center" wrapText="1"/>
    </xf>
    <xf numFmtId="0" fontId="40" fillId="20" borderId="1" xfId="1" applyFont="1" applyFill="1" applyBorder="1" applyAlignment="1">
      <alignment horizontal="center" vertical="center" wrapText="1"/>
    </xf>
    <xf numFmtId="165" fontId="40" fillId="20" borderId="1" xfId="0" applyNumberFormat="1" applyFont="1" applyFill="1" applyBorder="1" applyAlignment="1">
      <alignment horizontal="center" vertical="center"/>
    </xf>
    <xf numFmtId="165" fontId="40" fillId="20" borderId="8" xfId="0" applyNumberFormat="1" applyFont="1" applyFill="1" applyBorder="1" applyAlignment="1">
      <alignment horizontal="center" vertical="center"/>
    </xf>
    <xf numFmtId="2" fontId="42" fillId="20" borderId="10" xfId="1" applyNumberFormat="1" applyFont="1" applyFill="1" applyBorder="1" applyAlignment="1">
      <alignment horizontal="center" vertical="center" wrapText="1"/>
    </xf>
    <xf numFmtId="2" fontId="42" fillId="20" borderId="1" xfId="0" applyNumberFormat="1" applyFont="1" applyFill="1" applyBorder="1" applyAlignment="1">
      <alignment horizontal="center" vertical="center"/>
    </xf>
    <xf numFmtId="0" fontId="42" fillId="20" borderId="1" xfId="0" applyFont="1" applyFill="1" applyBorder="1" applyAlignment="1">
      <alignment horizontal="center" vertical="center"/>
    </xf>
    <xf numFmtId="0" fontId="42" fillId="20" borderId="6" xfId="1" applyFont="1" applyFill="1" applyBorder="1" applyAlignment="1">
      <alignment horizontal="center" vertical="center" wrapText="1"/>
    </xf>
    <xf numFmtId="2" fontId="40" fillId="20" borderId="10" xfId="0" applyNumberFormat="1" applyFont="1" applyFill="1" applyBorder="1" applyAlignment="1">
      <alignment horizontal="center" vertical="center"/>
    </xf>
    <xf numFmtId="2" fontId="40" fillId="20" borderId="1" xfId="0" applyNumberFormat="1" applyFont="1" applyFill="1" applyBorder="1" applyAlignment="1">
      <alignment horizontal="center" vertical="center"/>
    </xf>
    <xf numFmtId="2" fontId="40" fillId="20" borderId="1" xfId="0" applyNumberFormat="1" applyFont="1" applyFill="1" applyBorder="1" applyAlignment="1">
      <alignment horizontal="center" vertical="center" wrapText="1"/>
    </xf>
    <xf numFmtId="1" fontId="40" fillId="20" borderId="1" xfId="0" applyNumberFormat="1" applyFont="1" applyFill="1" applyBorder="1" applyAlignment="1">
      <alignment horizontal="center" vertical="center"/>
    </xf>
    <xf numFmtId="1" fontId="40" fillId="20" borderId="8" xfId="0" applyNumberFormat="1" applyFont="1" applyFill="1" applyBorder="1" applyAlignment="1">
      <alignment horizontal="center" vertical="center"/>
    </xf>
    <xf numFmtId="0" fontId="40" fillId="20" borderId="10" xfId="0" applyFont="1" applyFill="1" applyBorder="1" applyAlignment="1">
      <alignment horizontal="center" vertical="center" wrapText="1"/>
    </xf>
    <xf numFmtId="0" fontId="40" fillId="20" borderId="1" xfId="0" applyFont="1" applyFill="1" applyBorder="1" applyAlignment="1">
      <alignment horizontal="center" vertical="center" wrapText="1"/>
    </xf>
    <xf numFmtId="0" fontId="40" fillId="20" borderId="1" xfId="0" applyFont="1" applyFill="1" applyBorder="1" applyAlignment="1">
      <alignment horizontal="center" vertical="center"/>
    </xf>
    <xf numFmtId="2" fontId="40" fillId="20" borderId="6" xfId="0" applyNumberFormat="1" applyFont="1" applyFill="1" applyBorder="1" applyAlignment="1">
      <alignment horizontal="center" vertical="center"/>
    </xf>
    <xf numFmtId="2" fontId="40" fillId="20" borderId="4" xfId="0" applyNumberFormat="1" applyFont="1" applyFill="1" applyBorder="1" applyAlignment="1">
      <alignment horizontal="center" vertical="center"/>
    </xf>
    <xf numFmtId="2" fontId="40" fillId="20" borderId="8" xfId="0" applyNumberFormat="1" applyFont="1" applyFill="1" applyBorder="1" applyAlignment="1">
      <alignment horizontal="center" vertical="center"/>
    </xf>
    <xf numFmtId="165" fontId="40" fillId="20" borderId="10" xfId="0" applyNumberFormat="1" applyFont="1" applyFill="1" applyBorder="1" applyAlignment="1">
      <alignment horizontal="center" vertical="center"/>
    </xf>
    <xf numFmtId="165" fontId="40" fillId="20" borderId="6" xfId="0" applyNumberFormat="1" applyFont="1" applyFill="1" applyBorder="1" applyAlignment="1">
      <alignment horizontal="center" vertical="center"/>
    </xf>
    <xf numFmtId="1" fontId="40" fillId="20" borderId="4" xfId="0" applyNumberFormat="1" applyFont="1" applyFill="1" applyBorder="1" applyAlignment="1">
      <alignment horizontal="center" vertical="center"/>
    </xf>
    <xf numFmtId="1" fontId="40" fillId="20" borderId="13" xfId="0" applyNumberFormat="1" applyFont="1" applyFill="1" applyBorder="1" applyAlignment="1">
      <alignment horizontal="center" vertical="center"/>
    </xf>
    <xf numFmtId="0" fontId="40" fillId="20" borderId="22" xfId="0" applyFont="1" applyFill="1" applyBorder="1" applyAlignment="1">
      <alignment horizontal="center" vertical="center"/>
    </xf>
    <xf numFmtId="0" fontId="40" fillId="20" borderId="4" xfId="1" applyFont="1" applyFill="1" applyBorder="1" applyAlignment="1">
      <alignment horizontal="center" vertical="center" wrapText="1"/>
    </xf>
    <xf numFmtId="0" fontId="40" fillId="20" borderId="8" xfId="0" applyFont="1" applyFill="1" applyBorder="1" applyAlignment="1">
      <alignment horizontal="center" vertical="center"/>
    </xf>
    <xf numFmtId="0" fontId="42" fillId="20" borderId="6" xfId="0" applyFont="1" applyFill="1" applyBorder="1" applyAlignment="1">
      <alignment horizontal="center" vertical="center"/>
    </xf>
    <xf numFmtId="2" fontId="42" fillId="15" borderId="4" xfId="1" applyNumberFormat="1" applyFont="1" applyFill="1" applyBorder="1" applyAlignment="1">
      <alignment horizontal="center" vertical="center" wrapText="1"/>
    </xf>
    <xf numFmtId="2" fontId="42" fillId="15" borderId="9" xfId="1" applyNumberFormat="1" applyFont="1" applyFill="1" applyBorder="1" applyAlignment="1">
      <alignment horizontal="center" vertical="center" wrapText="1"/>
    </xf>
    <xf numFmtId="2" fontId="42" fillId="15" borderId="27" xfId="1" applyNumberFormat="1" applyFont="1" applyFill="1" applyBorder="1" applyAlignment="1">
      <alignment horizontal="center" vertical="center" wrapText="1"/>
    </xf>
    <xf numFmtId="165" fontId="40" fillId="15" borderId="1" xfId="0" applyNumberFormat="1" applyFont="1" applyFill="1" applyBorder="1" applyAlignment="1">
      <alignment horizontal="center" vertical="center"/>
    </xf>
    <xf numFmtId="0" fontId="42" fillId="15" borderId="19" xfId="1" applyFont="1" applyFill="1" applyBorder="1" applyAlignment="1">
      <alignment horizontal="center" vertical="center" wrapText="1"/>
    </xf>
    <xf numFmtId="0" fontId="43" fillId="15" borderId="11" xfId="1" applyFont="1" applyFill="1" applyBorder="1" applyAlignment="1">
      <alignment horizontal="center" vertical="center" wrapText="1"/>
    </xf>
    <xf numFmtId="0" fontId="40" fillId="15" borderId="3" xfId="1" applyFont="1" applyFill="1" applyBorder="1" applyAlignment="1">
      <alignment horizontal="center" vertical="center" wrapText="1"/>
    </xf>
    <xf numFmtId="165" fontId="40" fillId="15" borderId="16" xfId="0" applyNumberFormat="1" applyFont="1" applyFill="1" applyBorder="1" applyAlignment="1">
      <alignment horizontal="center" vertical="center"/>
    </xf>
    <xf numFmtId="165" fontId="40" fillId="15" borderId="23" xfId="0" applyNumberFormat="1" applyFont="1" applyFill="1" applyBorder="1" applyAlignment="1">
      <alignment horizontal="center" vertical="center"/>
    </xf>
    <xf numFmtId="165" fontId="40" fillId="28" borderId="12" xfId="0" applyNumberFormat="1" applyFont="1" applyFill="1" applyBorder="1" applyAlignment="1">
      <alignment horizontal="center" vertical="center"/>
    </xf>
    <xf numFmtId="165" fontId="40" fillId="28" borderId="13" xfId="0" applyNumberFormat="1" applyFont="1" applyFill="1" applyBorder="1" applyAlignment="1">
      <alignment horizontal="center" vertical="center"/>
    </xf>
    <xf numFmtId="165" fontId="40" fillId="28" borderId="10" xfId="0" applyNumberFormat="1" applyFont="1" applyFill="1" applyBorder="1" applyAlignment="1">
      <alignment horizontal="center" vertical="center"/>
    </xf>
    <xf numFmtId="165" fontId="40" fillId="28" borderId="6" xfId="0" applyNumberFormat="1" applyFont="1" applyFill="1" applyBorder="1" applyAlignment="1">
      <alignment horizontal="center" vertical="center"/>
    </xf>
    <xf numFmtId="0" fontId="40" fillId="7" borderId="5" xfId="1" applyFont="1" applyFill="1" applyBorder="1" applyAlignment="1">
      <alignment horizontal="center" vertical="center" wrapText="1"/>
    </xf>
    <xf numFmtId="0" fontId="40" fillId="12" borderId="8" xfId="0" applyFont="1" applyFill="1" applyBorder="1" applyAlignment="1">
      <alignment horizontal="center" vertical="center"/>
    </xf>
    <xf numFmtId="1" fontId="40" fillId="29" borderId="4" xfId="0" applyNumberFormat="1" applyFont="1" applyFill="1" applyBorder="1" applyAlignment="1">
      <alignment horizontal="center" vertical="center"/>
    </xf>
    <xf numFmtId="1" fontId="40" fillId="29" borderId="1" xfId="0" applyNumberFormat="1" applyFont="1" applyFill="1" applyBorder="1" applyAlignment="1">
      <alignment horizontal="center" vertical="center"/>
    </xf>
    <xf numFmtId="1" fontId="40" fillId="29" borderId="6" xfId="0" applyNumberFormat="1" applyFont="1" applyFill="1" applyBorder="1" applyAlignment="1">
      <alignment horizontal="center" vertical="center"/>
    </xf>
    <xf numFmtId="1" fontId="40" fillId="30" borderId="1" xfId="0" applyNumberFormat="1" applyFont="1" applyFill="1" applyBorder="1" applyAlignment="1">
      <alignment horizontal="center" vertical="center"/>
    </xf>
    <xf numFmtId="1" fontId="40" fillId="30" borderId="6" xfId="0" applyNumberFormat="1" applyFont="1" applyFill="1" applyBorder="1" applyAlignment="1">
      <alignment horizontal="center" vertical="center"/>
    </xf>
    <xf numFmtId="1" fontId="40" fillId="29" borderId="9" xfId="0" applyNumberFormat="1" applyFont="1" applyFill="1" applyBorder="1" applyAlignment="1">
      <alignment horizontal="center" vertical="center"/>
    </xf>
    <xf numFmtId="1" fontId="40" fillId="29" borderId="2" xfId="0" applyNumberFormat="1" applyFont="1" applyFill="1" applyBorder="1" applyAlignment="1">
      <alignment horizontal="center" vertical="center"/>
    </xf>
    <xf numFmtId="1" fontId="40" fillId="29" borderId="13" xfId="0" applyNumberFormat="1" applyFont="1" applyFill="1" applyBorder="1" applyAlignment="1">
      <alignment horizontal="center" vertical="center"/>
    </xf>
    <xf numFmtId="0" fontId="40" fillId="29" borderId="0" xfId="0" applyFont="1" applyFill="1" applyAlignment="1">
      <alignment vertical="center"/>
    </xf>
    <xf numFmtId="166" fontId="40" fillId="30" borderId="4" xfId="0" applyNumberFormat="1" applyFont="1" applyFill="1" applyBorder="1" applyAlignment="1">
      <alignment horizontal="center" vertical="center"/>
    </xf>
    <xf numFmtId="166" fontId="40" fillId="30" borderId="1" xfId="0" applyNumberFormat="1" applyFont="1" applyFill="1" applyBorder="1" applyAlignment="1">
      <alignment horizontal="center" vertical="center"/>
    </xf>
    <xf numFmtId="0" fontId="40" fillId="14" borderId="34" xfId="1" applyFont="1" applyFill="1" applyBorder="1" applyAlignment="1">
      <alignment horizontal="center" vertical="center" wrapText="1"/>
    </xf>
    <xf numFmtId="0" fontId="41" fillId="14" borderId="35" xfId="0" applyFont="1" applyFill="1" applyBorder="1" applyAlignment="1">
      <alignment horizontal="center" vertical="center"/>
    </xf>
    <xf numFmtId="0" fontId="43" fillId="14" borderId="30" xfId="1" applyFont="1" applyFill="1" applyBorder="1" applyAlignment="1">
      <alignment horizontal="center" vertical="center" wrapText="1"/>
    </xf>
    <xf numFmtId="0" fontId="40" fillId="14" borderId="31" xfId="1" applyFont="1" applyFill="1" applyBorder="1" applyAlignment="1">
      <alignment horizontal="center" vertical="center" wrapText="1"/>
    </xf>
    <xf numFmtId="0" fontId="40" fillId="14" borderId="32" xfId="0" applyFont="1" applyFill="1" applyBorder="1" applyAlignment="1">
      <alignment horizontal="center" vertical="center"/>
    </xf>
    <xf numFmtId="2" fontId="40" fillId="14" borderId="19" xfId="1" applyNumberFormat="1" applyFont="1" applyFill="1" applyBorder="1" applyAlignment="1">
      <alignment horizontal="center" vertical="center" wrapText="1"/>
    </xf>
    <xf numFmtId="0" fontId="40" fillId="14" borderId="20" xfId="0" applyFont="1" applyFill="1" applyBorder="1" applyAlignment="1">
      <alignment horizontal="center" vertical="center"/>
    </xf>
    <xf numFmtId="165" fontId="40" fillId="14" borderId="19" xfId="0" applyNumberFormat="1" applyFont="1" applyFill="1" applyBorder="1" applyAlignment="1">
      <alignment horizontal="center" vertical="center"/>
    </xf>
    <xf numFmtId="165" fontId="40" fillId="14" borderId="20" xfId="0" applyNumberFormat="1" applyFont="1" applyFill="1" applyBorder="1" applyAlignment="1">
      <alignment horizontal="center" vertical="center"/>
    </xf>
    <xf numFmtId="1" fontId="40" fillId="29" borderId="30" xfId="0" applyNumberFormat="1" applyFont="1" applyFill="1" applyBorder="1" applyAlignment="1">
      <alignment horizontal="center" vertical="center"/>
    </xf>
    <xf numFmtId="1" fontId="40" fillId="29" borderId="31" xfId="0" applyNumberFormat="1" applyFont="1" applyFill="1" applyBorder="1" applyAlignment="1">
      <alignment horizontal="center" vertical="center"/>
    </xf>
    <xf numFmtId="1" fontId="40" fillId="29" borderId="20" xfId="0" applyNumberFormat="1" applyFont="1" applyFill="1" applyBorder="1" applyAlignment="1">
      <alignment horizontal="center" vertical="center"/>
    </xf>
    <xf numFmtId="0" fontId="41" fillId="14" borderId="26" xfId="0" applyFont="1" applyFill="1" applyBorder="1" applyAlignment="1">
      <alignment horizontal="center" vertical="center"/>
    </xf>
    <xf numFmtId="0" fontId="40" fillId="14" borderId="67" xfId="1" applyFont="1" applyFill="1" applyBorder="1" applyAlignment="1">
      <alignment horizontal="center" vertical="center" wrapText="1"/>
    </xf>
    <xf numFmtId="0" fontId="43" fillId="14" borderId="5" xfId="1" applyFont="1" applyFill="1" applyBorder="1" applyAlignment="1">
      <alignment horizontal="center" vertical="center" wrapText="1"/>
    </xf>
    <xf numFmtId="0" fontId="40" fillId="14" borderId="3" xfId="1" applyFont="1" applyFill="1" applyBorder="1" applyAlignment="1">
      <alignment horizontal="center" vertical="center" wrapText="1"/>
    </xf>
    <xf numFmtId="0" fontId="40" fillId="14" borderId="38" xfId="0" applyFont="1" applyFill="1" applyBorder="1" applyAlignment="1">
      <alignment horizontal="center" vertical="center"/>
    </xf>
    <xf numFmtId="0" fontId="40" fillId="14" borderId="54" xfId="0" applyFont="1" applyFill="1" applyBorder="1" applyAlignment="1">
      <alignment horizontal="center" vertical="center"/>
    </xf>
    <xf numFmtId="2" fontId="40" fillId="14" borderId="46" xfId="1" applyNumberFormat="1" applyFont="1" applyFill="1" applyBorder="1" applyAlignment="1">
      <alignment horizontal="center" vertical="center" wrapText="1"/>
    </xf>
    <xf numFmtId="0" fontId="40" fillId="14" borderId="3" xfId="0" applyFont="1" applyFill="1" applyBorder="1" applyAlignment="1">
      <alignment horizontal="center" vertical="center"/>
    </xf>
    <xf numFmtId="0" fontId="40" fillId="14" borderId="7" xfId="0" applyFont="1" applyFill="1" applyBorder="1" applyAlignment="1">
      <alignment horizontal="center" vertical="center"/>
    </xf>
    <xf numFmtId="2" fontId="40" fillId="14" borderId="3" xfId="0" applyNumberFormat="1" applyFont="1" applyFill="1" applyBorder="1" applyAlignment="1">
      <alignment horizontal="center" vertical="center" wrapText="1"/>
    </xf>
    <xf numFmtId="1" fontId="40" fillId="14" borderId="38" xfId="0" applyNumberFormat="1" applyFont="1" applyFill="1" applyBorder="1" applyAlignment="1">
      <alignment horizontal="center" vertical="center"/>
    </xf>
    <xf numFmtId="1" fontId="40" fillId="14" borderId="54" xfId="0" applyNumberFormat="1" applyFont="1" applyFill="1" applyBorder="1" applyAlignment="1">
      <alignment horizontal="center" vertical="center"/>
    </xf>
    <xf numFmtId="0" fontId="40" fillId="14" borderId="11" xfId="0" applyFont="1" applyFill="1" applyBorder="1" applyAlignment="1">
      <alignment horizontal="center" vertical="center"/>
    </xf>
    <xf numFmtId="0" fontId="40" fillId="14" borderId="14" xfId="0" applyFont="1" applyFill="1" applyBorder="1" applyAlignment="1">
      <alignment horizontal="center" vertical="center"/>
    </xf>
    <xf numFmtId="2" fontId="40" fillId="14" borderId="7" xfId="0" applyNumberFormat="1" applyFont="1" applyFill="1" applyBorder="1" applyAlignment="1">
      <alignment horizontal="center" vertical="center"/>
    </xf>
    <xf numFmtId="2" fontId="40" fillId="14" borderId="5" xfId="0" applyNumberFormat="1" applyFont="1" applyFill="1" applyBorder="1" applyAlignment="1">
      <alignment horizontal="center" vertical="center"/>
    </xf>
    <xf numFmtId="165" fontId="40" fillId="14" borderId="11" xfId="0" applyNumberFormat="1" applyFont="1" applyFill="1" applyBorder="1" applyAlignment="1">
      <alignment horizontal="center" vertical="center"/>
    </xf>
    <xf numFmtId="165" fontId="40" fillId="14" borderId="7" xfId="0" applyNumberFormat="1" applyFont="1" applyFill="1" applyBorder="1" applyAlignment="1">
      <alignment horizontal="center" vertical="center"/>
    </xf>
    <xf numFmtId="166" fontId="40" fillId="30" borderId="5" xfId="0" applyNumberFormat="1" applyFont="1" applyFill="1" applyBorder="1" applyAlignment="1">
      <alignment horizontal="center" vertical="center"/>
    </xf>
    <xf numFmtId="166" fontId="40" fillId="30" borderId="3" xfId="0" applyNumberFormat="1" applyFont="1" applyFill="1" applyBorder="1" applyAlignment="1">
      <alignment horizontal="center" vertical="center"/>
    </xf>
    <xf numFmtId="1" fontId="40" fillId="30" borderId="3" xfId="0" applyNumberFormat="1" applyFont="1" applyFill="1" applyBorder="1" applyAlignment="1">
      <alignment horizontal="center" vertical="center"/>
    </xf>
    <xf numFmtId="1" fontId="40" fillId="30" borderId="7" xfId="0" applyNumberFormat="1" applyFont="1" applyFill="1" applyBorder="1" applyAlignment="1">
      <alignment horizontal="center" vertical="center"/>
    </xf>
    <xf numFmtId="165" fontId="40" fillId="19" borderId="10" xfId="0" applyNumberFormat="1" applyFont="1" applyFill="1" applyBorder="1" applyAlignment="1">
      <alignment horizontal="center" vertical="center"/>
    </xf>
    <xf numFmtId="165" fontId="40" fillId="19" borderId="6" xfId="0" applyNumberFormat="1" applyFont="1" applyFill="1" applyBorder="1" applyAlignment="1">
      <alignment horizontal="center" vertical="center"/>
    </xf>
    <xf numFmtId="165" fontId="40" fillId="12" borderId="1" xfId="0" applyNumberFormat="1" applyFont="1" applyFill="1" applyBorder="1" applyAlignment="1">
      <alignment horizontal="center" vertical="center"/>
    </xf>
    <xf numFmtId="0" fontId="40" fillId="31" borderId="1" xfId="0" applyFont="1" applyFill="1" applyBorder="1" applyAlignment="1">
      <alignment horizontal="center" vertical="center"/>
    </xf>
    <xf numFmtId="165" fontId="40" fillId="31" borderId="6" xfId="0" applyNumberFormat="1" applyFont="1" applyFill="1" applyBorder="1" applyAlignment="1">
      <alignment horizontal="center" vertical="center"/>
    </xf>
    <xf numFmtId="165" fontId="40" fillId="31" borderId="2" xfId="0" applyNumberFormat="1" applyFont="1" applyFill="1" applyBorder="1" applyAlignment="1">
      <alignment horizontal="center" vertical="center"/>
    </xf>
    <xf numFmtId="165" fontId="40" fillId="31" borderId="15" xfId="0" applyNumberFormat="1" applyFont="1" applyFill="1" applyBorder="1" applyAlignment="1">
      <alignment horizontal="center" vertical="center"/>
    </xf>
    <xf numFmtId="165" fontId="40" fillId="31" borderId="3" xfId="0" applyNumberFormat="1" applyFont="1" applyFill="1" applyBorder="1" applyAlignment="1">
      <alignment horizontal="center" vertical="center"/>
    </xf>
    <xf numFmtId="165" fontId="40" fillId="31" borderId="14" xfId="0" applyNumberFormat="1" applyFont="1" applyFill="1" applyBorder="1" applyAlignment="1">
      <alignment horizontal="center" vertical="center"/>
    </xf>
    <xf numFmtId="165" fontId="40" fillId="31" borderId="31" xfId="0" applyNumberFormat="1" applyFont="1" applyFill="1" applyBorder="1" applyAlignment="1">
      <alignment horizontal="center" vertical="center"/>
    </xf>
    <xf numFmtId="165" fontId="40" fillId="31" borderId="20" xfId="0" applyNumberFormat="1" applyFont="1" applyFill="1" applyBorder="1" applyAlignment="1">
      <alignment horizontal="center" vertical="center"/>
    </xf>
    <xf numFmtId="165" fontId="40" fillId="31" borderId="28" xfId="0" applyNumberFormat="1" applyFont="1" applyFill="1" applyBorder="1" applyAlignment="1">
      <alignment horizontal="center" vertical="center"/>
    </xf>
    <xf numFmtId="165" fontId="40" fillId="31" borderId="23" xfId="0" applyNumberFormat="1" applyFont="1" applyFill="1" applyBorder="1" applyAlignment="1">
      <alignment horizontal="center" vertical="center"/>
    </xf>
    <xf numFmtId="165" fontId="40" fillId="31" borderId="1" xfId="0" applyNumberFormat="1" applyFont="1" applyFill="1" applyBorder="1" applyAlignment="1">
      <alignment horizontal="center" vertical="center"/>
    </xf>
    <xf numFmtId="165" fontId="40" fillId="31" borderId="7" xfId="0" applyNumberFormat="1" applyFont="1" applyFill="1" applyBorder="1" applyAlignment="1">
      <alignment horizontal="center" vertical="center"/>
    </xf>
    <xf numFmtId="0" fontId="40" fillId="32" borderId="1" xfId="0" applyFont="1" applyFill="1" applyBorder="1" applyAlignment="1">
      <alignment horizontal="center" vertical="center"/>
    </xf>
    <xf numFmtId="0" fontId="40" fillId="32" borderId="8" xfId="0" applyFont="1" applyFill="1" applyBorder="1" applyAlignment="1">
      <alignment horizontal="center" vertical="center"/>
    </xf>
    <xf numFmtId="0" fontId="40" fillId="31" borderId="8" xfId="0" applyFont="1" applyFill="1" applyBorder="1" applyAlignment="1">
      <alignment horizontal="center" vertical="center"/>
    </xf>
    <xf numFmtId="165" fontId="40" fillId="32" borderId="1" xfId="0" applyNumberFormat="1" applyFont="1" applyFill="1" applyBorder="1" applyAlignment="1">
      <alignment horizontal="center" vertical="center"/>
    </xf>
    <xf numFmtId="165" fontId="40" fillId="32" borderId="8" xfId="0" applyNumberFormat="1" applyFont="1" applyFill="1" applyBorder="1" applyAlignment="1">
      <alignment horizontal="center" vertical="center"/>
    </xf>
    <xf numFmtId="165" fontId="40" fillId="31" borderId="8" xfId="0" applyNumberFormat="1" applyFont="1" applyFill="1" applyBorder="1" applyAlignment="1">
      <alignment horizontal="center" vertical="center"/>
    </xf>
    <xf numFmtId="0" fontId="40" fillId="7" borderId="23" xfId="0" applyFont="1" applyFill="1" applyBorder="1" applyAlignment="1">
      <alignment horizontal="center" vertical="center"/>
    </xf>
    <xf numFmtId="165" fontId="40" fillId="33" borderId="1" xfId="0" applyNumberFormat="1" applyFont="1" applyFill="1" applyBorder="1" applyAlignment="1">
      <alignment horizontal="center" vertical="center"/>
    </xf>
    <xf numFmtId="0" fontId="40" fillId="16" borderId="2" xfId="1" applyFont="1" applyFill="1" applyBorder="1" applyAlignment="1">
      <alignment horizontal="center" vertical="center" wrapText="1"/>
    </xf>
    <xf numFmtId="0" fontId="40" fillId="16" borderId="13" xfId="1" applyFont="1" applyFill="1" applyBorder="1" applyAlignment="1">
      <alignment horizontal="center" vertical="center" wrapText="1"/>
    </xf>
    <xf numFmtId="0" fontId="40" fillId="16" borderId="1" xfId="1" applyFont="1" applyFill="1" applyBorder="1" applyAlignment="1">
      <alignment horizontal="center" vertical="center" wrapText="1"/>
    </xf>
    <xf numFmtId="0" fontId="40" fillId="16" borderId="6" xfId="1" applyFont="1" applyFill="1" applyBorder="1" applyAlignment="1">
      <alignment horizontal="center" vertical="center" wrapText="1"/>
    </xf>
    <xf numFmtId="165" fontId="40" fillId="16" borderId="59" xfId="0" applyNumberFormat="1" applyFont="1" applyFill="1" applyBorder="1" applyAlignment="1">
      <alignment horizontal="center" vertical="center"/>
    </xf>
    <xf numFmtId="165" fontId="40" fillId="16" borderId="15" xfId="0" applyNumberFormat="1" applyFont="1" applyFill="1" applyBorder="1" applyAlignment="1">
      <alignment horizontal="center" vertical="center"/>
    </xf>
    <xf numFmtId="165" fontId="40" fillId="31" borderId="59" xfId="0" applyNumberFormat="1" applyFont="1" applyFill="1" applyBorder="1" applyAlignment="1">
      <alignment horizontal="center" vertical="center"/>
    </xf>
    <xf numFmtId="2" fontId="50" fillId="15" borderId="31" xfId="0" applyNumberFormat="1" applyFont="1" applyFill="1" applyBorder="1" applyAlignment="1">
      <alignment horizontal="center" vertical="center"/>
    </xf>
    <xf numFmtId="2" fontId="50" fillId="15" borderId="3" xfId="0" applyNumberFormat="1" applyFont="1" applyFill="1" applyBorder="1" applyAlignment="1">
      <alignment horizontal="center" vertical="center"/>
    </xf>
    <xf numFmtId="0" fontId="40" fillId="15" borderId="3" xfId="0" applyFont="1" applyFill="1" applyBorder="1" applyAlignment="1">
      <alignment horizontal="center" vertical="center"/>
    </xf>
    <xf numFmtId="165" fontId="73" fillId="0" borderId="19" xfId="0" applyNumberFormat="1" applyFont="1" applyBorder="1" applyAlignment="1">
      <alignment horizontal="center" vertical="center"/>
    </xf>
    <xf numFmtId="165" fontId="73" fillId="0" borderId="20" xfId="0" applyNumberFormat="1" applyFont="1" applyBorder="1" applyAlignment="1">
      <alignment horizontal="center" vertical="center"/>
    </xf>
    <xf numFmtId="165" fontId="73" fillId="0" borderId="11" xfId="0" applyNumberFormat="1" applyFont="1" applyBorder="1" applyAlignment="1">
      <alignment horizontal="center" vertical="center"/>
    </xf>
    <xf numFmtId="165" fontId="73" fillId="0" borderId="7" xfId="0" applyNumberFormat="1" applyFont="1" applyBorder="1" applyAlignment="1">
      <alignment horizontal="center" vertical="center"/>
    </xf>
    <xf numFmtId="0" fontId="52" fillId="34" borderId="19" xfId="0" applyFont="1" applyFill="1" applyBorder="1" applyAlignment="1">
      <alignment horizontal="center" vertical="center"/>
    </xf>
    <xf numFmtId="0" fontId="52" fillId="34" borderId="31" xfId="1" applyFont="1" applyFill="1" applyBorder="1" applyAlignment="1">
      <alignment horizontal="center" vertical="center" wrapText="1"/>
    </xf>
    <xf numFmtId="0" fontId="50" fillId="34" borderId="31" xfId="1" applyFont="1" applyFill="1" applyBorder="1" applyAlignment="1">
      <alignment horizontal="center" vertical="center" wrapText="1"/>
    </xf>
    <xf numFmtId="0" fontId="40" fillId="34" borderId="31" xfId="1" applyFont="1" applyFill="1" applyBorder="1" applyAlignment="1">
      <alignment horizontal="center" vertical="center" wrapText="1"/>
    </xf>
    <xf numFmtId="2" fontId="42" fillId="34" borderId="31" xfId="1" applyNumberFormat="1" applyFont="1" applyFill="1" applyBorder="1" applyAlignment="1">
      <alignment horizontal="center" vertical="center" wrapText="1"/>
    </xf>
    <xf numFmtId="2" fontId="42" fillId="34" borderId="31" xfId="0" applyNumberFormat="1" applyFont="1" applyFill="1" applyBorder="1" applyAlignment="1">
      <alignment horizontal="center" vertical="center"/>
    </xf>
    <xf numFmtId="0" fontId="42" fillId="34" borderId="31" xfId="0" applyFont="1" applyFill="1" applyBorder="1" applyAlignment="1">
      <alignment horizontal="center" vertical="center"/>
    </xf>
    <xf numFmtId="0" fontId="50" fillId="34" borderId="31" xfId="0" applyFont="1" applyFill="1" applyBorder="1" applyAlignment="1">
      <alignment horizontal="center" vertical="center"/>
    </xf>
    <xf numFmtId="0" fontId="40" fillId="34" borderId="31" xfId="0" applyFont="1" applyFill="1" applyBorder="1" applyAlignment="1">
      <alignment horizontal="center" vertical="center"/>
    </xf>
    <xf numFmtId="2" fontId="50" fillId="34" borderId="31" xfId="0" applyNumberFormat="1" applyFont="1" applyFill="1" applyBorder="1" applyAlignment="1">
      <alignment horizontal="center" vertical="center"/>
    </xf>
    <xf numFmtId="165" fontId="50" fillId="34" borderId="31" xfId="0" applyNumberFormat="1" applyFont="1" applyFill="1" applyBorder="1" applyAlignment="1">
      <alignment horizontal="center" vertical="center"/>
    </xf>
    <xf numFmtId="1" fontId="50" fillId="34" borderId="31" xfId="0" applyNumberFormat="1" applyFont="1" applyFill="1" applyBorder="1" applyAlignment="1">
      <alignment horizontal="center" vertical="center"/>
    </xf>
    <xf numFmtId="1" fontId="40" fillId="34" borderId="31" xfId="0" applyNumberFormat="1" applyFont="1" applyFill="1" applyBorder="1" applyAlignment="1">
      <alignment horizontal="center" vertical="center"/>
    </xf>
    <xf numFmtId="1" fontId="40" fillId="34" borderId="20" xfId="0" applyNumberFormat="1" applyFont="1" applyFill="1" applyBorder="1" applyAlignment="1">
      <alignment horizontal="center" vertical="center"/>
    </xf>
    <xf numFmtId="0" fontId="52" fillId="5" borderId="10" xfId="0" applyFont="1" applyFill="1" applyBorder="1" applyAlignment="1">
      <alignment horizontal="center" vertical="center"/>
    </xf>
    <xf numFmtId="165" fontId="50" fillId="0" borderId="1" xfId="0" applyNumberFormat="1" applyFont="1" applyBorder="1" applyAlignment="1">
      <alignment horizontal="center" vertical="center" wrapText="1"/>
    </xf>
    <xf numFmtId="165" fontId="50" fillId="0" borderId="1" xfId="0" applyNumberFormat="1" applyFont="1" applyBorder="1" applyAlignment="1">
      <alignment horizontal="center" vertical="center"/>
    </xf>
    <xf numFmtId="1" fontId="50" fillId="5" borderId="1" xfId="0" applyNumberFormat="1" applyFont="1" applyFill="1" applyBorder="1" applyAlignment="1">
      <alignment horizontal="center" vertical="center"/>
    </xf>
    <xf numFmtId="0" fontId="50" fillId="5" borderId="1" xfId="0" applyFont="1" applyFill="1" applyBorder="1" applyAlignment="1">
      <alignment horizontal="center" vertical="center"/>
    </xf>
    <xf numFmtId="0" fontId="50" fillId="15" borderId="1" xfId="0" applyFont="1" applyFill="1" applyBorder="1" applyAlignment="1">
      <alignment horizontal="center" vertical="center"/>
    </xf>
    <xf numFmtId="2" fontId="50" fillId="5" borderId="1" xfId="0" applyNumberFormat="1" applyFont="1" applyFill="1" applyBorder="1" applyAlignment="1">
      <alignment horizontal="center" vertical="center"/>
    </xf>
    <xf numFmtId="2" fontId="50" fillId="15" borderId="1" xfId="0" applyNumberFormat="1" applyFont="1" applyFill="1" applyBorder="1" applyAlignment="1">
      <alignment horizontal="center" vertical="center"/>
    </xf>
    <xf numFmtId="165" fontId="50" fillId="5" borderId="1" xfId="0" applyNumberFormat="1" applyFont="1" applyFill="1" applyBorder="1" applyAlignment="1">
      <alignment horizontal="center" vertical="center"/>
    </xf>
    <xf numFmtId="167" fontId="40" fillId="5" borderId="1" xfId="0" applyNumberFormat="1" applyFont="1" applyFill="1" applyBorder="1" applyAlignment="1">
      <alignment horizontal="center" vertical="center"/>
    </xf>
    <xf numFmtId="167" fontId="40" fillId="5" borderId="6" xfId="0" applyNumberFormat="1" applyFont="1" applyFill="1" applyBorder="1" applyAlignment="1">
      <alignment horizontal="center" vertical="center"/>
    </xf>
    <xf numFmtId="0" fontId="52" fillId="5" borderId="11" xfId="0" applyFont="1" applyFill="1" applyBorder="1" applyAlignment="1">
      <alignment horizontal="center" vertical="center"/>
    </xf>
    <xf numFmtId="0" fontId="52" fillId="5" borderId="3" xfId="1" applyFont="1" applyFill="1" applyBorder="1" applyAlignment="1">
      <alignment vertical="center" wrapText="1"/>
    </xf>
    <xf numFmtId="0" fontId="50" fillId="5" borderId="3" xfId="1" applyFont="1" applyFill="1" applyBorder="1" applyAlignment="1">
      <alignment horizontal="center" vertical="center" wrapText="1"/>
    </xf>
    <xf numFmtId="2" fontId="42" fillId="5" borderId="3" xfId="1" applyNumberFormat="1" applyFont="1" applyFill="1" applyBorder="1" applyAlignment="1">
      <alignment horizontal="center" vertical="center" wrapText="1"/>
    </xf>
    <xf numFmtId="165" fontId="50" fillId="0" borderId="3" xfId="0" applyNumberFormat="1" applyFont="1" applyBorder="1" applyAlignment="1">
      <alignment horizontal="center" vertical="center" wrapText="1"/>
    </xf>
    <xf numFmtId="165" fontId="50" fillId="0" borderId="3" xfId="0" applyNumberFormat="1" applyFont="1" applyBorder="1" applyAlignment="1">
      <alignment horizontal="center" vertical="center"/>
    </xf>
    <xf numFmtId="0" fontId="50" fillId="15" borderId="3" xfId="0" applyFont="1" applyFill="1" applyBorder="1" applyAlignment="1">
      <alignment horizontal="center" vertical="center"/>
    </xf>
    <xf numFmtId="167" fontId="40" fillId="5" borderId="3" xfId="0" applyNumberFormat="1" applyFont="1" applyFill="1" applyBorder="1" applyAlignment="1">
      <alignment horizontal="center" vertical="center"/>
    </xf>
    <xf numFmtId="167" fontId="40" fillId="5" borderId="7" xfId="0" applyNumberFormat="1" applyFont="1" applyFill="1" applyBorder="1" applyAlignment="1">
      <alignment horizontal="center" vertical="center"/>
    </xf>
    <xf numFmtId="2" fontId="50" fillId="15" borderId="20" xfId="0" applyNumberFormat="1" applyFont="1" applyFill="1" applyBorder="1" applyAlignment="1">
      <alignment horizontal="center" vertical="center"/>
    </xf>
    <xf numFmtId="165" fontId="50" fillId="15" borderId="9" xfId="0" applyNumberFormat="1" applyFont="1" applyFill="1" applyBorder="1" applyAlignment="1">
      <alignment horizontal="center" vertical="center"/>
    </xf>
    <xf numFmtId="165" fontId="50" fillId="15" borderId="13" xfId="0" applyNumberFormat="1" applyFont="1" applyFill="1" applyBorder="1" applyAlignment="1">
      <alignment horizontal="center" vertical="center"/>
    </xf>
    <xf numFmtId="2" fontId="50" fillId="15" borderId="7" xfId="0" applyNumberFormat="1" applyFont="1" applyFill="1" applyBorder="1" applyAlignment="1">
      <alignment horizontal="center" vertical="center"/>
    </xf>
    <xf numFmtId="165" fontId="50" fillId="15" borderId="53" xfId="0" applyNumberFormat="1" applyFont="1" applyFill="1" applyBorder="1" applyAlignment="1">
      <alignment horizontal="center" vertical="center"/>
    </xf>
    <xf numFmtId="165" fontId="50" fillId="15" borderId="47" xfId="0" applyNumberFormat="1" applyFont="1" applyFill="1" applyBorder="1" applyAlignment="1">
      <alignment horizontal="center" vertical="center"/>
    </xf>
    <xf numFmtId="0" fontId="50" fillId="12" borderId="18" xfId="1" applyFont="1" applyFill="1" applyBorder="1" applyAlignment="1">
      <alignment horizontal="center" vertical="center" wrapText="1"/>
    </xf>
    <xf numFmtId="165" fontId="50" fillId="15" borderId="19" xfId="0" applyNumberFormat="1" applyFont="1" applyFill="1" applyBorder="1" applyAlignment="1">
      <alignment horizontal="center" vertical="center"/>
    </xf>
    <xf numFmtId="165" fontId="50" fillId="15" borderId="20" xfId="0" applyNumberFormat="1" applyFont="1" applyFill="1" applyBorder="1" applyAlignment="1">
      <alignment horizontal="center" vertical="center"/>
    </xf>
    <xf numFmtId="1" fontId="50" fillId="5" borderId="19" xfId="0" applyNumberFormat="1" applyFont="1" applyFill="1" applyBorder="1" applyAlignment="1">
      <alignment horizontal="center" vertical="center"/>
    </xf>
    <xf numFmtId="2" fontId="50" fillId="15" borderId="28" xfId="0" applyNumberFormat="1" applyFont="1" applyFill="1" applyBorder="1" applyAlignment="1">
      <alignment horizontal="center" vertical="center"/>
    </xf>
    <xf numFmtId="2" fontId="50" fillId="15" borderId="23" xfId="0" applyNumberFormat="1" applyFont="1" applyFill="1" applyBorder="1" applyAlignment="1">
      <alignment horizontal="center" vertical="center"/>
    </xf>
    <xf numFmtId="165" fontId="50" fillId="15" borderId="17" xfId="0" applyNumberFormat="1" applyFont="1" applyFill="1" applyBorder="1" applyAlignment="1">
      <alignment horizontal="center" vertical="center"/>
    </xf>
    <xf numFmtId="165" fontId="50" fillId="15" borderId="45" xfId="0" applyNumberFormat="1" applyFont="1" applyFill="1" applyBorder="1" applyAlignment="1">
      <alignment horizontal="center" vertical="center"/>
    </xf>
    <xf numFmtId="1" fontId="50" fillId="5" borderId="17" xfId="0" applyNumberFormat="1" applyFont="1" applyFill="1" applyBorder="1" applyAlignment="1">
      <alignment horizontal="center" vertical="center"/>
    </xf>
    <xf numFmtId="0" fontId="52" fillId="5" borderId="22" xfId="0" applyFont="1" applyFill="1" applyBorder="1" applyAlignment="1">
      <alignment horizontal="center" vertical="center"/>
    </xf>
    <xf numFmtId="0" fontId="52" fillId="5" borderId="22" xfId="1" applyFont="1" applyFill="1" applyBorder="1" applyAlignment="1">
      <alignment vertical="center" wrapText="1"/>
    </xf>
    <xf numFmtId="2" fontId="10" fillId="15" borderId="6" xfId="0" applyNumberFormat="1" applyFont="1" applyFill="1" applyBorder="1" applyAlignment="1">
      <alignment horizontal="center" vertical="center"/>
    </xf>
    <xf numFmtId="0" fontId="52" fillId="5" borderId="26" xfId="1" applyFont="1" applyFill="1" applyBorder="1" applyAlignment="1">
      <alignment vertical="center" wrapText="1"/>
    </xf>
    <xf numFmtId="2" fontId="10" fillId="15" borderId="3" xfId="0" applyNumberFormat="1" applyFont="1" applyFill="1" applyBorder="1" applyAlignment="1">
      <alignment horizontal="center" vertical="center"/>
    </xf>
    <xf numFmtId="2" fontId="10" fillId="15" borderId="7" xfId="0" applyNumberFormat="1" applyFont="1" applyFill="1" applyBorder="1" applyAlignment="1">
      <alignment horizontal="center" vertical="center"/>
    </xf>
    <xf numFmtId="2" fontId="40" fillId="15" borderId="3" xfId="0" applyNumberFormat="1" applyFont="1" applyFill="1" applyBorder="1" applyAlignment="1">
      <alignment horizontal="center" vertical="center"/>
    </xf>
    <xf numFmtId="0" fontId="0" fillId="35" borderId="1" xfId="0" applyFill="1" applyBorder="1" applyAlignment="1">
      <alignment horizontal="center" vertical="center"/>
    </xf>
    <xf numFmtId="0" fontId="0" fillId="35" borderId="3" xfId="0" applyFill="1" applyBorder="1" applyAlignment="1">
      <alignment horizontal="center" vertical="center"/>
    </xf>
    <xf numFmtId="0" fontId="40" fillId="36" borderId="31" xfId="0" applyFont="1" applyFill="1" applyBorder="1" applyAlignment="1">
      <alignment horizontal="center" vertical="center"/>
    </xf>
    <xf numFmtId="0" fontId="40" fillId="36" borderId="3" xfId="0" applyFont="1" applyFill="1" applyBorder="1" applyAlignment="1">
      <alignment horizontal="center" vertical="center"/>
    </xf>
    <xf numFmtId="2" fontId="50" fillId="36" borderId="31" xfId="0" applyNumberFormat="1" applyFont="1" applyFill="1" applyBorder="1" applyAlignment="1">
      <alignment horizontal="center" vertical="center"/>
    </xf>
    <xf numFmtId="2" fontId="50" fillId="36" borderId="3" xfId="0" applyNumberFormat="1" applyFont="1" applyFill="1" applyBorder="1" applyAlignment="1">
      <alignment horizontal="center" vertical="center"/>
    </xf>
    <xf numFmtId="165" fontId="40" fillId="25" borderId="10" xfId="0" applyNumberFormat="1" applyFont="1" applyFill="1" applyBorder="1" applyAlignment="1">
      <alignment horizontal="center" vertical="center"/>
    </xf>
    <xf numFmtId="165" fontId="40" fillId="25" borderId="8" xfId="0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2" fontId="10" fillId="0" borderId="20" xfId="0" applyNumberFormat="1" applyFont="1" applyBorder="1" applyAlignment="1">
      <alignment horizontal="center" vertical="center"/>
    </xf>
    <xf numFmtId="2" fontId="10" fillId="0" borderId="6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" fontId="10" fillId="19" borderId="31" xfId="0" applyNumberFormat="1" applyFont="1" applyFill="1" applyBorder="1" applyAlignment="1">
      <alignment horizontal="center" vertical="center"/>
    </xf>
    <xf numFmtId="1" fontId="10" fillId="19" borderId="4" xfId="0" applyNumberFormat="1" applyFont="1" applyFill="1" applyBorder="1" applyAlignment="1">
      <alignment horizontal="center" vertical="center"/>
    </xf>
    <xf numFmtId="1" fontId="10" fillId="19" borderId="1" xfId="0" applyNumberFormat="1" applyFont="1" applyFill="1" applyBorder="1" applyAlignment="1">
      <alignment horizontal="center" vertical="center"/>
    </xf>
    <xf numFmtId="1" fontId="10" fillId="19" borderId="3" xfId="0" applyNumberFormat="1" applyFont="1" applyFill="1" applyBorder="1" applyAlignment="1">
      <alignment horizontal="center" vertical="center"/>
    </xf>
    <xf numFmtId="165" fontId="40" fillId="37" borderId="1" xfId="0" applyNumberFormat="1" applyFont="1" applyFill="1" applyBorder="1" applyAlignment="1">
      <alignment horizontal="center" vertical="center"/>
    </xf>
    <xf numFmtId="2" fontId="40" fillId="36" borderId="33" xfId="0" applyNumberFormat="1" applyFont="1" applyFill="1" applyBorder="1" applyAlignment="1">
      <alignment horizontal="center" vertical="center"/>
    </xf>
    <xf numFmtId="2" fontId="40" fillId="36" borderId="43" xfId="0" applyNumberFormat="1" applyFont="1" applyFill="1" applyBorder="1" applyAlignment="1">
      <alignment horizontal="center" vertical="center"/>
    </xf>
    <xf numFmtId="2" fontId="40" fillId="36" borderId="1" xfId="0" applyNumberFormat="1" applyFont="1" applyFill="1" applyBorder="1" applyAlignment="1">
      <alignment horizontal="center" vertical="center"/>
    </xf>
    <xf numFmtId="2" fontId="40" fillId="31" borderId="1" xfId="0" applyNumberFormat="1" applyFont="1" applyFill="1" applyBorder="1" applyAlignment="1">
      <alignment horizontal="center" vertical="center"/>
    </xf>
    <xf numFmtId="2" fontId="40" fillId="31" borderId="8" xfId="0" applyNumberFormat="1" applyFont="1" applyFill="1" applyBorder="1" applyAlignment="1">
      <alignment horizontal="center" vertical="center"/>
    </xf>
    <xf numFmtId="2" fontId="40" fillId="31" borderId="2" xfId="0" applyNumberFormat="1" applyFont="1" applyFill="1" applyBorder="1" applyAlignment="1">
      <alignment horizontal="center" vertical="center"/>
    </xf>
    <xf numFmtId="2" fontId="40" fillId="31" borderId="15" xfId="0" applyNumberFormat="1" applyFont="1" applyFill="1" applyBorder="1" applyAlignment="1">
      <alignment horizontal="center" vertical="center"/>
    </xf>
    <xf numFmtId="2" fontId="40" fillId="31" borderId="6" xfId="0" applyNumberFormat="1" applyFont="1" applyFill="1" applyBorder="1" applyAlignment="1">
      <alignment horizontal="center" vertical="center"/>
    </xf>
    <xf numFmtId="2" fontId="40" fillId="31" borderId="33" xfId="0" applyNumberFormat="1" applyFont="1" applyFill="1" applyBorder="1" applyAlignment="1">
      <alignment horizontal="center" vertical="center"/>
    </xf>
    <xf numFmtId="2" fontId="40" fillId="31" borderId="25" xfId="0" applyNumberFormat="1" applyFont="1" applyFill="1" applyBorder="1" applyAlignment="1">
      <alignment horizontal="center" vertical="center"/>
    </xf>
    <xf numFmtId="2" fontId="40" fillId="31" borderId="3" xfId="0" applyNumberFormat="1" applyFont="1" applyFill="1" applyBorder="1" applyAlignment="1">
      <alignment horizontal="center" vertical="center"/>
    </xf>
    <xf numFmtId="2" fontId="40" fillId="31" borderId="7" xfId="0" applyNumberFormat="1" applyFont="1" applyFill="1" applyBorder="1" applyAlignment="1">
      <alignment horizontal="center" vertical="center"/>
    </xf>
    <xf numFmtId="165" fontId="10" fillId="35" borderId="24" xfId="0" applyNumberFormat="1" applyFont="1" applyFill="1" applyBorder="1" applyAlignment="1">
      <alignment horizontal="center" vertical="center"/>
    </xf>
    <xf numFmtId="165" fontId="10" fillId="35" borderId="25" xfId="0" applyNumberFormat="1" applyFont="1" applyFill="1" applyBorder="1" applyAlignment="1">
      <alignment horizontal="center" vertical="center"/>
    </xf>
    <xf numFmtId="165" fontId="10" fillId="35" borderId="10" xfId="0" applyNumberFormat="1" applyFont="1" applyFill="1" applyBorder="1" applyAlignment="1">
      <alignment horizontal="center" vertical="center"/>
    </xf>
    <xf numFmtId="165" fontId="10" fillId="35" borderId="6" xfId="0" applyNumberFormat="1" applyFont="1" applyFill="1" applyBorder="1" applyAlignment="1">
      <alignment horizontal="center" vertical="center"/>
    </xf>
    <xf numFmtId="165" fontId="10" fillId="35" borderId="11" xfId="0" applyNumberFormat="1" applyFont="1" applyFill="1" applyBorder="1" applyAlignment="1">
      <alignment horizontal="center" vertical="center"/>
    </xf>
    <xf numFmtId="165" fontId="10" fillId="35" borderId="7" xfId="0" applyNumberFormat="1" applyFont="1" applyFill="1" applyBorder="1" applyAlignment="1">
      <alignment horizontal="center" vertical="center"/>
    </xf>
    <xf numFmtId="2" fontId="10" fillId="35" borderId="33" xfId="0" applyNumberFormat="1" applyFont="1" applyFill="1" applyBorder="1" applyAlignment="1">
      <alignment horizontal="center" vertical="center" wrapText="1"/>
    </xf>
    <xf numFmtId="2" fontId="10" fillId="35" borderId="33" xfId="0" applyNumberFormat="1" applyFont="1" applyFill="1" applyBorder="1" applyAlignment="1">
      <alignment horizontal="center" vertical="center"/>
    </xf>
    <xf numFmtId="2" fontId="10" fillId="35" borderId="1" xfId="0" applyNumberFormat="1" applyFont="1" applyFill="1" applyBorder="1" applyAlignment="1">
      <alignment horizontal="center" vertical="center" wrapText="1"/>
    </xf>
    <xf numFmtId="2" fontId="10" fillId="35" borderId="1" xfId="0" applyNumberFormat="1" applyFont="1" applyFill="1" applyBorder="1" applyAlignment="1">
      <alignment horizontal="center" vertical="center"/>
    </xf>
    <xf numFmtId="2" fontId="10" fillId="35" borderId="38" xfId="0" applyNumberFormat="1" applyFont="1" applyFill="1" applyBorder="1" applyAlignment="1">
      <alignment horizontal="center" vertical="center" wrapText="1"/>
    </xf>
    <xf numFmtId="2" fontId="10" fillId="35" borderId="38" xfId="0" applyNumberFormat="1" applyFont="1" applyFill="1" applyBorder="1" applyAlignment="1">
      <alignment horizontal="center" vertical="center"/>
    </xf>
    <xf numFmtId="165" fontId="10" fillId="35" borderId="19" xfId="0" applyNumberFormat="1" applyFont="1" applyFill="1" applyBorder="1" applyAlignment="1">
      <alignment horizontal="center" vertical="center"/>
    </xf>
    <xf numFmtId="165" fontId="10" fillId="35" borderId="20" xfId="0" applyNumberFormat="1" applyFont="1" applyFill="1" applyBorder="1" applyAlignment="1">
      <alignment horizontal="center" vertical="center"/>
    </xf>
    <xf numFmtId="165" fontId="10" fillId="35" borderId="12" xfId="0" applyNumberFormat="1" applyFont="1" applyFill="1" applyBorder="1" applyAlignment="1">
      <alignment horizontal="center" vertical="center"/>
    </xf>
    <xf numFmtId="165" fontId="10" fillId="35" borderId="13" xfId="0" applyNumberFormat="1" applyFont="1" applyFill="1" applyBorder="1" applyAlignment="1">
      <alignment horizontal="center" vertical="center"/>
    </xf>
    <xf numFmtId="165" fontId="10" fillId="35" borderId="16" xfId="0" applyNumberFormat="1" applyFont="1" applyFill="1" applyBorder="1" applyAlignment="1">
      <alignment horizontal="center" vertical="center"/>
    </xf>
    <xf numFmtId="165" fontId="10" fillId="35" borderId="23" xfId="0" applyNumberFormat="1" applyFont="1" applyFill="1" applyBorder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left"/>
    </xf>
    <xf numFmtId="0" fontId="58" fillId="0" borderId="1" xfId="1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textRotation="90" wrapText="1"/>
    </xf>
    <xf numFmtId="0" fontId="58" fillId="15" borderId="1" xfId="0" applyFont="1" applyFill="1" applyBorder="1" applyAlignment="1">
      <alignment horizontal="center" vertical="center" wrapText="1"/>
    </xf>
    <xf numFmtId="0" fontId="58" fillId="0" borderId="1" xfId="1" applyFont="1" applyBorder="1" applyAlignment="1">
      <alignment horizontal="center" vertical="center" textRotation="90" wrapText="1"/>
    </xf>
    <xf numFmtId="0" fontId="60" fillId="0" borderId="1" xfId="1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2" fontId="57" fillId="17" borderId="1" xfId="0" applyNumberFormat="1" applyFont="1" applyFill="1" applyBorder="1" applyAlignment="1">
      <alignment horizontal="center" vertical="center"/>
    </xf>
    <xf numFmtId="2" fontId="57" fillId="17" borderId="1" xfId="0" applyNumberFormat="1" applyFont="1" applyFill="1" applyBorder="1" applyAlignment="1">
      <alignment horizontal="center" vertical="center" wrapText="1"/>
    </xf>
    <xf numFmtId="2" fontId="57" fillId="17" borderId="8" xfId="0" applyNumberFormat="1" applyFont="1" applyFill="1" applyBorder="1" applyAlignment="1">
      <alignment horizontal="center" vertical="center" wrapText="1"/>
    </xf>
    <xf numFmtId="2" fontId="57" fillId="17" borderId="4" xfId="0" applyNumberFormat="1" applyFont="1" applyFill="1" applyBorder="1" applyAlignment="1">
      <alignment horizontal="center" vertical="center" wrapText="1"/>
    </xf>
    <xf numFmtId="2" fontId="58" fillId="0" borderId="1" xfId="0" applyNumberFormat="1" applyFont="1" applyBorder="1" applyAlignment="1">
      <alignment horizontal="center" vertical="center"/>
    </xf>
    <xf numFmtId="0" fontId="61" fillId="0" borderId="1" xfId="1" applyFont="1" applyBorder="1" applyAlignment="1">
      <alignment horizontal="center" vertical="center" textRotation="90" wrapText="1"/>
    </xf>
    <xf numFmtId="2" fontId="77" fillId="0" borderId="0" xfId="0" applyNumberFormat="1" applyFont="1" applyAlignment="1">
      <alignment horizontal="center" vertical="center"/>
    </xf>
    <xf numFmtId="2" fontId="57" fillId="0" borderId="1" xfId="0" applyNumberFormat="1" applyFont="1" applyBorder="1" applyAlignment="1">
      <alignment horizontal="center" vertical="center" wrapText="1"/>
    </xf>
    <xf numFmtId="0" fontId="58" fillId="17" borderId="1" xfId="1" applyFont="1" applyFill="1" applyBorder="1" applyAlignment="1">
      <alignment horizontal="center" vertical="center" wrapText="1"/>
    </xf>
    <xf numFmtId="0" fontId="74" fillId="0" borderId="28" xfId="1" applyFont="1" applyBorder="1" applyAlignment="1">
      <alignment horizontal="center" vertical="center" wrapText="1"/>
    </xf>
    <xf numFmtId="0" fontId="74" fillId="0" borderId="2" xfId="1" applyFont="1" applyBorder="1" applyAlignment="1">
      <alignment horizontal="center" vertical="center" wrapText="1"/>
    </xf>
    <xf numFmtId="0" fontId="61" fillId="0" borderId="28" xfId="1" applyFont="1" applyBorder="1" applyAlignment="1">
      <alignment horizontal="center" vertical="center" textRotation="90" wrapText="1"/>
    </xf>
    <xf numFmtId="0" fontId="61" fillId="0" borderId="2" xfId="1" applyFont="1" applyBorder="1" applyAlignment="1">
      <alignment horizontal="center" vertical="center" textRotation="90" wrapText="1"/>
    </xf>
    <xf numFmtId="0" fontId="60" fillId="0" borderId="28" xfId="1" applyFont="1" applyBorder="1" applyAlignment="1">
      <alignment horizontal="center" vertical="center" wrapText="1"/>
    </xf>
    <xf numFmtId="0" fontId="60" fillId="0" borderId="2" xfId="1" applyFont="1" applyBorder="1" applyAlignment="1">
      <alignment horizontal="center" vertical="center" wrapText="1"/>
    </xf>
    <xf numFmtId="0" fontId="61" fillId="0" borderId="36" xfId="1" applyFont="1" applyBorder="1" applyAlignment="1">
      <alignment horizontal="center" vertical="center" textRotation="90" wrapText="1"/>
    </xf>
    <xf numFmtId="0" fontId="58" fillId="20" borderId="1" xfId="0" applyFont="1" applyFill="1" applyBorder="1" applyAlignment="1">
      <alignment horizontal="center" vertical="center" wrapText="1"/>
    </xf>
    <xf numFmtId="0" fontId="58" fillId="20" borderId="1" xfId="0" applyFont="1" applyFill="1" applyBorder="1" applyAlignment="1">
      <alignment horizontal="center" vertical="center" textRotation="90" wrapText="1"/>
    </xf>
    <xf numFmtId="2" fontId="57" fillId="20" borderId="1" xfId="0" applyNumberFormat="1" applyFont="1" applyFill="1" applyBorder="1" applyAlignment="1">
      <alignment horizontal="center" vertical="center"/>
    </xf>
    <xf numFmtId="2" fontId="57" fillId="20" borderId="1" xfId="0" applyNumberFormat="1" applyFont="1" applyFill="1" applyBorder="1" applyAlignment="1">
      <alignment horizontal="center" vertical="center" wrapText="1"/>
    </xf>
    <xf numFmtId="0" fontId="74" fillId="0" borderId="39" xfId="0" applyFont="1" applyBorder="1" applyAlignment="1">
      <alignment horizontal="center" vertical="center"/>
    </xf>
    <xf numFmtId="0" fontId="41" fillId="0" borderId="35" xfId="0" applyFont="1" applyBorder="1" applyAlignment="1">
      <alignment horizontal="center" vertical="center" textRotation="90" wrapText="1"/>
    </xf>
    <xf numFmtId="0" fontId="41" fillId="0" borderId="18" xfId="0" applyFont="1" applyBorder="1" applyAlignment="1">
      <alignment horizontal="center" vertical="center" textRotation="90" wrapText="1"/>
    </xf>
    <xf numFmtId="0" fontId="41" fillId="0" borderId="67" xfId="0" applyFont="1" applyBorder="1" applyAlignment="1">
      <alignment horizontal="center" vertical="center" textRotation="90" wrapText="1"/>
    </xf>
    <xf numFmtId="0" fontId="41" fillId="0" borderId="35" xfId="1" applyFont="1" applyBorder="1" applyAlignment="1">
      <alignment horizontal="center" vertical="center" wrapText="1"/>
    </xf>
    <xf numFmtId="0" fontId="41" fillId="0" borderId="18" xfId="1" applyFont="1" applyBorder="1" applyAlignment="1">
      <alignment horizontal="center" vertical="center" wrapText="1"/>
    </xf>
    <xf numFmtId="0" fontId="41" fillId="0" borderId="67" xfId="1" applyFont="1" applyBorder="1" applyAlignment="1">
      <alignment horizontal="center" vertical="center" wrapText="1"/>
    </xf>
    <xf numFmtId="0" fontId="41" fillId="0" borderId="61" xfId="1" applyFont="1" applyBorder="1" applyAlignment="1">
      <alignment horizontal="center" vertical="center" wrapText="1"/>
    </xf>
    <xf numFmtId="0" fontId="41" fillId="0" borderId="58" xfId="1" applyFont="1" applyBorder="1" applyAlignment="1">
      <alignment horizontal="center" vertical="center" wrapText="1"/>
    </xf>
    <xf numFmtId="0" fontId="41" fillId="0" borderId="74" xfId="1" applyFont="1" applyBorder="1" applyAlignment="1">
      <alignment horizontal="center" vertical="center" wrapText="1"/>
    </xf>
    <xf numFmtId="0" fontId="41" fillId="0" borderId="63" xfId="1" applyFont="1" applyBorder="1" applyAlignment="1">
      <alignment horizontal="center" vertical="center" textRotation="90" wrapText="1"/>
    </xf>
    <xf numFmtId="0" fontId="41" fillId="0" borderId="50" xfId="1" applyFont="1" applyBorder="1" applyAlignment="1">
      <alignment horizontal="center" vertical="center" textRotation="90" wrapText="1"/>
    </xf>
    <xf numFmtId="0" fontId="41" fillId="0" borderId="53" xfId="1" applyFont="1" applyBorder="1" applyAlignment="1">
      <alignment horizontal="center" vertical="center" textRotation="90" wrapText="1"/>
    </xf>
    <xf numFmtId="0" fontId="41" fillId="0" borderId="33" xfId="1" applyFont="1" applyBorder="1" applyAlignment="1">
      <alignment horizontal="center" vertical="center" wrapText="1"/>
    </xf>
    <xf numFmtId="0" fontId="41" fillId="0" borderId="36" xfId="1" applyFont="1" applyBorder="1" applyAlignment="1">
      <alignment horizontal="center" vertical="center" wrapText="1"/>
    </xf>
    <xf numFmtId="0" fontId="41" fillId="0" borderId="38" xfId="1" applyFont="1" applyBorder="1" applyAlignment="1">
      <alignment horizontal="center" vertical="center" wrapText="1"/>
    </xf>
    <xf numFmtId="0" fontId="41" fillId="0" borderId="32" xfId="1" applyFont="1" applyBorder="1" applyAlignment="1">
      <alignment horizontal="center" vertical="center" wrapText="1"/>
    </xf>
    <xf numFmtId="0" fontId="41" fillId="0" borderId="57" xfId="1" applyFont="1" applyBorder="1" applyAlignment="1">
      <alignment horizontal="center" vertical="center" wrapText="1"/>
    </xf>
    <xf numFmtId="0" fontId="41" fillId="0" borderId="40" xfId="0" applyFont="1" applyBorder="1" applyAlignment="1">
      <alignment horizontal="center" vertical="center" wrapText="1"/>
    </xf>
    <xf numFmtId="0" fontId="41" fillId="0" borderId="57" xfId="0" applyFont="1" applyBorder="1" applyAlignment="1">
      <alignment horizontal="center" vertical="center" wrapText="1"/>
    </xf>
    <xf numFmtId="0" fontId="41" fillId="0" borderId="48" xfId="0" applyFont="1" applyBorder="1" applyAlignment="1">
      <alignment horizontal="center" vertical="center" wrapText="1"/>
    </xf>
    <xf numFmtId="0" fontId="41" fillId="0" borderId="62" xfId="0" applyFont="1" applyBorder="1" applyAlignment="1">
      <alignment horizontal="center" vertical="center" wrapText="1"/>
    </xf>
    <xf numFmtId="0" fontId="41" fillId="0" borderId="63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9" xfId="0" applyFont="1" applyBorder="1" applyAlignment="1">
      <alignment horizontal="center" vertical="center" wrapText="1"/>
    </xf>
    <xf numFmtId="0" fontId="41" fillId="0" borderId="31" xfId="0" applyFont="1" applyBorder="1" applyAlignment="1">
      <alignment horizontal="center" vertical="center" wrapText="1"/>
    </xf>
    <xf numFmtId="1" fontId="41" fillId="0" borderId="31" xfId="0" applyNumberFormat="1" applyFont="1" applyBorder="1" applyAlignment="1">
      <alignment horizontal="center" vertical="center" wrapText="1"/>
    </xf>
    <xf numFmtId="1" fontId="41" fillId="0" borderId="32" xfId="0" applyNumberFormat="1" applyFont="1" applyBorder="1" applyAlignment="1">
      <alignment horizontal="center" vertical="center" wrapText="1"/>
    </xf>
    <xf numFmtId="0" fontId="41" fillId="0" borderId="24" xfId="0" applyFont="1" applyBorder="1" applyAlignment="1">
      <alignment horizontal="center" vertical="center" textRotation="90" wrapText="1"/>
    </xf>
    <xf numFmtId="0" fontId="41" fillId="0" borderId="17" xfId="0" applyFont="1" applyBorder="1" applyAlignment="1">
      <alignment horizontal="center" vertical="center" textRotation="90" wrapText="1"/>
    </xf>
    <xf numFmtId="0" fontId="41" fillId="0" borderId="46" xfId="0" applyFont="1" applyBorder="1" applyAlignment="1">
      <alignment horizontal="center" vertical="center" textRotation="90" wrapText="1"/>
    </xf>
    <xf numFmtId="0" fontId="48" fillId="0" borderId="31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0" borderId="3" xfId="0" applyFont="1" applyBorder="1" applyAlignment="1">
      <alignment horizontal="center" vertical="center"/>
    </xf>
    <xf numFmtId="0" fontId="41" fillId="19" borderId="31" xfId="0" applyFont="1" applyFill="1" applyBorder="1" applyAlignment="1">
      <alignment horizontal="center" vertical="center"/>
    </xf>
    <xf numFmtId="0" fontId="41" fillId="19" borderId="1" xfId="0" applyFont="1" applyFill="1" applyBorder="1" applyAlignment="1">
      <alignment horizontal="center" vertical="center"/>
    </xf>
    <xf numFmtId="0" fontId="41" fillId="0" borderId="33" xfId="0" applyFont="1" applyBorder="1" applyAlignment="1">
      <alignment horizontal="center" vertical="center" wrapText="1"/>
    </xf>
    <xf numFmtId="0" fontId="41" fillId="0" borderId="36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1" fillId="0" borderId="3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2" fontId="41" fillId="19" borderId="31" xfId="0" applyNumberFormat="1" applyFont="1" applyFill="1" applyBorder="1" applyAlignment="1">
      <alignment horizontal="center" vertical="center"/>
    </xf>
    <xf numFmtId="2" fontId="41" fillId="19" borderId="1" xfId="0" applyNumberFormat="1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 textRotation="90"/>
    </xf>
    <xf numFmtId="0" fontId="41" fillId="0" borderId="13" xfId="0" applyFont="1" applyBorder="1" applyAlignment="1">
      <alignment horizontal="center" vertical="center" textRotation="90"/>
    </xf>
    <xf numFmtId="0" fontId="41" fillId="3" borderId="19" xfId="0" applyFont="1" applyFill="1" applyBorder="1" applyAlignment="1">
      <alignment horizontal="center" vertical="center" wrapText="1"/>
    </xf>
    <xf numFmtId="0" fontId="41" fillId="3" borderId="20" xfId="0" applyFont="1" applyFill="1" applyBorder="1" applyAlignment="1">
      <alignment horizontal="center" vertical="center" wrapText="1"/>
    </xf>
    <xf numFmtId="1" fontId="48" fillId="0" borderId="31" xfId="0" applyNumberFormat="1" applyFont="1" applyBorder="1" applyAlignment="1">
      <alignment horizontal="center" vertical="center" wrapText="1"/>
    </xf>
    <xf numFmtId="1" fontId="48" fillId="0" borderId="32" xfId="0" applyNumberFormat="1" applyFont="1" applyBorder="1" applyAlignment="1">
      <alignment horizontal="center" vertical="center" wrapText="1"/>
    </xf>
    <xf numFmtId="1" fontId="41" fillId="0" borderId="31" xfId="0" applyNumberFormat="1" applyFont="1" applyBorder="1" applyAlignment="1">
      <alignment horizontal="center" vertical="center" textRotation="90" wrapText="1"/>
    </xf>
    <xf numFmtId="1" fontId="41" fillId="0" borderId="1" xfId="0" applyNumberFormat="1" applyFont="1" applyBorder="1" applyAlignment="1">
      <alignment horizontal="center" vertical="center" textRotation="90" wrapText="1"/>
    </xf>
    <xf numFmtId="1" fontId="48" fillId="0" borderId="20" xfId="0" applyNumberFormat="1" applyFont="1" applyBorder="1" applyAlignment="1">
      <alignment horizontal="center" vertical="center" wrapText="1"/>
    </xf>
    <xf numFmtId="0" fontId="41" fillId="14" borderId="35" xfId="1" applyFont="1" applyFill="1" applyBorder="1" applyAlignment="1">
      <alignment horizontal="center" vertical="center" wrapText="1"/>
    </xf>
    <xf numFmtId="0" fontId="41" fillId="14" borderId="34" xfId="1" applyFont="1" applyFill="1" applyBorder="1" applyAlignment="1">
      <alignment horizontal="center" vertical="center" wrapText="1"/>
    </xf>
    <xf numFmtId="0" fontId="40" fillId="14" borderId="35" xfId="0" applyFont="1" applyFill="1" applyBorder="1" applyAlignment="1">
      <alignment horizontal="center" vertical="center"/>
    </xf>
    <xf numFmtId="0" fontId="40" fillId="14" borderId="34" xfId="0" applyFont="1" applyFill="1" applyBorder="1" applyAlignment="1">
      <alignment horizontal="center" vertical="center"/>
    </xf>
    <xf numFmtId="0" fontId="41" fillId="0" borderId="21" xfId="1" applyFont="1" applyBorder="1" applyAlignment="1">
      <alignment horizontal="center" vertical="center" wrapText="1"/>
    </xf>
    <xf numFmtId="0" fontId="41" fillId="0" borderId="34" xfId="1" applyFont="1" applyBorder="1" applyAlignment="1">
      <alignment horizontal="center" vertical="center" wrapText="1"/>
    </xf>
    <xf numFmtId="0" fontId="40" fillId="0" borderId="21" xfId="0" applyFont="1" applyBorder="1" applyAlignment="1">
      <alignment horizontal="center" vertical="center"/>
    </xf>
    <xf numFmtId="0" fontId="40" fillId="0" borderId="34" xfId="0" applyFont="1" applyBorder="1" applyAlignment="1">
      <alignment horizontal="center" vertical="center"/>
    </xf>
    <xf numFmtId="0" fontId="40" fillId="0" borderId="21" xfId="1" applyFont="1" applyBorder="1" applyAlignment="1">
      <alignment horizontal="center" vertical="center" wrapText="1"/>
    </xf>
    <xf numFmtId="0" fontId="40" fillId="0" borderId="34" xfId="1" applyFont="1" applyBorder="1" applyAlignment="1">
      <alignment horizontal="center" vertical="center" wrapText="1"/>
    </xf>
    <xf numFmtId="0" fontId="40" fillId="0" borderId="67" xfId="1" applyFont="1" applyBorder="1" applyAlignment="1">
      <alignment horizontal="center" vertical="center" wrapText="1"/>
    </xf>
    <xf numFmtId="0" fontId="41" fillId="5" borderId="18" xfId="1" applyFont="1" applyFill="1" applyBorder="1" applyAlignment="1">
      <alignment horizontal="center" vertical="center" wrapText="1"/>
    </xf>
    <xf numFmtId="0" fontId="41" fillId="5" borderId="34" xfId="1" applyFont="1" applyFill="1" applyBorder="1" applyAlignment="1">
      <alignment horizontal="center" vertical="center" wrapText="1"/>
    </xf>
    <xf numFmtId="0" fontId="40" fillId="5" borderId="35" xfId="0" applyFont="1" applyFill="1" applyBorder="1" applyAlignment="1">
      <alignment horizontal="center" vertical="center"/>
    </xf>
    <xf numFmtId="0" fontId="40" fillId="5" borderId="34" xfId="0" applyFont="1" applyFill="1" applyBorder="1" applyAlignment="1">
      <alignment horizontal="center" vertical="center"/>
    </xf>
    <xf numFmtId="0" fontId="41" fillId="5" borderId="21" xfId="1" applyFont="1" applyFill="1" applyBorder="1" applyAlignment="1">
      <alignment horizontal="center" vertical="center" wrapText="1"/>
    </xf>
    <xf numFmtId="0" fontId="40" fillId="5" borderId="21" xfId="0" applyFont="1" applyFill="1" applyBorder="1" applyAlignment="1">
      <alignment horizontal="center" vertical="center"/>
    </xf>
    <xf numFmtId="0" fontId="40" fillId="5" borderId="21" xfId="1" applyFont="1" applyFill="1" applyBorder="1" applyAlignment="1">
      <alignment horizontal="center" vertical="center" wrapText="1"/>
    </xf>
    <xf numFmtId="0" fontId="40" fillId="5" borderId="34" xfId="1" applyFont="1" applyFill="1" applyBorder="1" applyAlignment="1">
      <alignment horizontal="center" vertical="center" wrapText="1"/>
    </xf>
    <xf numFmtId="0" fontId="40" fillId="5" borderId="18" xfId="1" applyFont="1" applyFill="1" applyBorder="1" applyAlignment="1">
      <alignment horizontal="center" vertical="center" wrapText="1"/>
    </xf>
    <xf numFmtId="0" fontId="41" fillId="8" borderId="35" xfId="1" applyFont="1" applyFill="1" applyBorder="1" applyAlignment="1">
      <alignment horizontal="center" vertical="center" wrapText="1"/>
    </xf>
    <xf numFmtId="0" fontId="41" fillId="8" borderId="67" xfId="1" applyFont="1" applyFill="1" applyBorder="1" applyAlignment="1">
      <alignment horizontal="center" vertical="center" wrapText="1"/>
    </xf>
    <xf numFmtId="0" fontId="40" fillId="8" borderId="18" xfId="0" applyFont="1" applyFill="1" applyBorder="1" applyAlignment="1">
      <alignment horizontal="center" vertical="center"/>
    </xf>
    <xf numFmtId="0" fontId="40" fillId="8" borderId="67" xfId="0" applyFont="1" applyFill="1" applyBorder="1" applyAlignment="1">
      <alignment horizontal="center" vertical="center"/>
    </xf>
    <xf numFmtId="14" fontId="44" fillId="0" borderId="0" xfId="0" applyNumberFormat="1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41" fillId="5" borderId="67" xfId="1" applyFont="1" applyFill="1" applyBorder="1" applyAlignment="1">
      <alignment horizontal="center" vertical="center" wrapText="1"/>
    </xf>
    <xf numFmtId="0" fontId="40" fillId="5" borderId="67" xfId="1" applyFont="1" applyFill="1" applyBorder="1" applyAlignment="1">
      <alignment horizontal="center" vertical="center" wrapText="1"/>
    </xf>
    <xf numFmtId="0" fontId="41" fillId="7" borderId="35" xfId="1" applyFont="1" applyFill="1" applyBorder="1" applyAlignment="1">
      <alignment horizontal="center" vertical="center" wrapText="1"/>
    </xf>
    <xf numFmtId="0" fontId="41" fillId="7" borderId="67" xfId="1" applyFont="1" applyFill="1" applyBorder="1" applyAlignment="1">
      <alignment horizontal="center" vertical="center" wrapText="1"/>
    </xf>
    <xf numFmtId="0" fontId="40" fillId="7" borderId="35" xfId="0" applyFont="1" applyFill="1" applyBorder="1" applyAlignment="1">
      <alignment horizontal="center" vertical="center"/>
    </xf>
    <xf numFmtId="0" fontId="40" fillId="7" borderId="67" xfId="0" applyFont="1" applyFill="1" applyBorder="1" applyAlignment="1">
      <alignment horizontal="center" vertical="center"/>
    </xf>
    <xf numFmtId="0" fontId="40" fillId="0" borderId="35" xfId="0" applyFont="1" applyBorder="1" applyAlignment="1">
      <alignment horizontal="center" vertical="center"/>
    </xf>
    <xf numFmtId="0" fontId="23" fillId="0" borderId="1" xfId="1" applyFont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textRotation="90" wrapText="1"/>
    </xf>
    <xf numFmtId="0" fontId="2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textRotation="90"/>
    </xf>
    <xf numFmtId="0" fontId="74" fillId="38" borderId="39" xfId="0" applyFont="1" applyFill="1" applyBorder="1" applyAlignment="1">
      <alignment horizontal="center" vertical="center"/>
    </xf>
    <xf numFmtId="0" fontId="75" fillId="38" borderId="39" xfId="0" applyFont="1" applyFill="1" applyBorder="1" applyAlignment="1">
      <alignment horizontal="center" vertical="center"/>
    </xf>
    <xf numFmtId="0" fontId="41" fillId="21" borderId="57" xfId="0" applyFont="1" applyFill="1" applyBorder="1" applyAlignment="1">
      <alignment horizontal="center" vertical="center" wrapText="1"/>
    </xf>
    <xf numFmtId="0" fontId="41" fillId="21" borderId="19" xfId="0" applyFont="1" applyFill="1" applyBorder="1" applyAlignment="1">
      <alignment horizontal="center" vertical="center" wrapText="1"/>
    </xf>
    <xf numFmtId="0" fontId="41" fillId="21" borderId="20" xfId="0" applyFont="1" applyFill="1" applyBorder="1" applyAlignment="1">
      <alignment horizontal="center" vertical="center" wrapText="1"/>
    </xf>
    <xf numFmtId="1" fontId="48" fillId="21" borderId="31" xfId="0" applyNumberFormat="1" applyFont="1" applyFill="1" applyBorder="1" applyAlignment="1">
      <alignment horizontal="center" vertical="center" wrapText="1"/>
    </xf>
    <xf numFmtId="1" fontId="48" fillId="21" borderId="32" xfId="0" applyNumberFormat="1" applyFont="1" applyFill="1" applyBorder="1" applyAlignment="1">
      <alignment horizontal="center" vertical="center" wrapText="1"/>
    </xf>
    <xf numFmtId="1" fontId="41" fillId="21" borderId="31" xfId="0" applyNumberFormat="1" applyFont="1" applyFill="1" applyBorder="1" applyAlignment="1">
      <alignment horizontal="center" vertical="center" textRotation="90" wrapText="1"/>
    </xf>
    <xf numFmtId="1" fontId="41" fillId="21" borderId="1" xfId="0" applyNumberFormat="1" applyFont="1" applyFill="1" applyBorder="1" applyAlignment="1">
      <alignment horizontal="center" vertical="center" textRotation="90" wrapText="1"/>
    </xf>
    <xf numFmtId="0" fontId="41" fillId="21" borderId="31" xfId="0" applyFont="1" applyFill="1" applyBorder="1" applyAlignment="1">
      <alignment horizontal="center" vertical="center" wrapText="1"/>
    </xf>
    <xf numFmtId="1" fontId="41" fillId="21" borderId="31" xfId="0" applyNumberFormat="1" applyFont="1" applyFill="1" applyBorder="1" applyAlignment="1">
      <alignment horizontal="center" vertical="center" wrapText="1"/>
    </xf>
    <xf numFmtId="1" fontId="41" fillId="21" borderId="32" xfId="0" applyNumberFormat="1" applyFont="1" applyFill="1" applyBorder="1" applyAlignment="1">
      <alignment horizontal="center" vertical="center" wrapText="1"/>
    </xf>
    <xf numFmtId="0" fontId="41" fillId="21" borderId="24" xfId="0" applyFont="1" applyFill="1" applyBorder="1" applyAlignment="1">
      <alignment horizontal="center" vertical="center" textRotation="90" wrapText="1"/>
    </xf>
    <xf numFmtId="0" fontId="41" fillId="21" borderId="17" xfId="0" applyFont="1" applyFill="1" applyBorder="1" applyAlignment="1">
      <alignment horizontal="center" vertical="center" textRotation="90" wrapText="1"/>
    </xf>
    <xf numFmtId="0" fontId="41" fillId="21" borderId="46" xfId="0" applyFont="1" applyFill="1" applyBorder="1" applyAlignment="1">
      <alignment horizontal="center" vertical="center" textRotation="90" wrapText="1"/>
    </xf>
    <xf numFmtId="0" fontId="48" fillId="21" borderId="31" xfId="0" applyFont="1" applyFill="1" applyBorder="1" applyAlignment="1">
      <alignment horizontal="center" vertical="center"/>
    </xf>
    <xf numFmtId="0" fontId="48" fillId="21" borderId="1" xfId="0" applyFont="1" applyFill="1" applyBorder="1" applyAlignment="1">
      <alignment horizontal="center" vertical="center"/>
    </xf>
    <xf numFmtId="0" fontId="48" fillId="21" borderId="3" xfId="0" applyFont="1" applyFill="1" applyBorder="1" applyAlignment="1">
      <alignment horizontal="center" vertical="center"/>
    </xf>
    <xf numFmtId="1" fontId="48" fillId="21" borderId="20" xfId="0" applyNumberFormat="1" applyFont="1" applyFill="1" applyBorder="1" applyAlignment="1">
      <alignment horizontal="center" vertical="center" wrapText="1"/>
    </xf>
    <xf numFmtId="0" fontId="41" fillId="21" borderId="31" xfId="0" applyFont="1" applyFill="1" applyBorder="1" applyAlignment="1">
      <alignment horizontal="center" vertical="center"/>
    </xf>
    <xf numFmtId="0" fontId="41" fillId="21" borderId="1" xfId="0" applyFont="1" applyFill="1" applyBorder="1" applyAlignment="1">
      <alignment horizontal="center" vertical="center"/>
    </xf>
    <xf numFmtId="2" fontId="41" fillId="21" borderId="31" xfId="0" applyNumberFormat="1" applyFont="1" applyFill="1" applyBorder="1" applyAlignment="1">
      <alignment horizontal="center" vertical="center"/>
    </xf>
    <xf numFmtId="2" fontId="41" fillId="21" borderId="1" xfId="0" applyNumberFormat="1" applyFont="1" applyFill="1" applyBorder="1" applyAlignment="1">
      <alignment horizontal="center" vertical="center"/>
    </xf>
    <xf numFmtId="0" fontId="41" fillId="21" borderId="25" xfId="0" applyFont="1" applyFill="1" applyBorder="1" applyAlignment="1">
      <alignment horizontal="center" vertical="center" textRotation="90"/>
    </xf>
    <xf numFmtId="0" fontId="41" fillId="21" borderId="13" xfId="0" applyFont="1" applyFill="1" applyBorder="1" applyAlignment="1">
      <alignment horizontal="center" vertical="center" textRotation="90"/>
    </xf>
    <xf numFmtId="0" fontId="41" fillId="21" borderId="33" xfId="0" applyFont="1" applyFill="1" applyBorder="1" applyAlignment="1">
      <alignment horizontal="center" vertical="center" wrapText="1"/>
    </xf>
    <xf numFmtId="0" fontId="41" fillId="21" borderId="36" xfId="0" applyFont="1" applyFill="1" applyBorder="1" applyAlignment="1">
      <alignment horizontal="center" vertical="center" wrapText="1"/>
    </xf>
    <xf numFmtId="0" fontId="41" fillId="21" borderId="38" xfId="0" applyFont="1" applyFill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 wrapText="1"/>
    </xf>
    <xf numFmtId="0" fontId="76" fillId="5" borderId="34" xfId="1" applyFont="1" applyFill="1" applyBorder="1" applyAlignment="1">
      <alignment horizontal="center" vertical="center" wrapText="1"/>
    </xf>
    <xf numFmtId="0" fontId="76" fillId="25" borderId="21" xfId="1" applyFont="1" applyFill="1" applyBorder="1" applyAlignment="1">
      <alignment horizontal="center" vertical="center" wrapText="1"/>
    </xf>
    <xf numFmtId="0" fontId="76" fillId="25" borderId="34" xfId="1" applyFont="1" applyFill="1" applyBorder="1" applyAlignment="1">
      <alignment horizontal="center" vertical="center" wrapText="1"/>
    </xf>
    <xf numFmtId="0" fontId="40" fillId="25" borderId="21" xfId="0" applyFont="1" applyFill="1" applyBorder="1" applyAlignment="1">
      <alignment horizontal="center" vertical="center"/>
    </xf>
    <xf numFmtId="0" fontId="40" fillId="25" borderId="34" xfId="0" applyFont="1" applyFill="1" applyBorder="1" applyAlignment="1">
      <alignment horizontal="center" vertical="center"/>
    </xf>
    <xf numFmtId="0" fontId="41" fillId="21" borderId="35" xfId="1" applyFont="1" applyFill="1" applyBorder="1" applyAlignment="1">
      <alignment horizontal="center" vertical="center" wrapText="1"/>
    </xf>
    <xf numFmtId="0" fontId="41" fillId="21" borderId="18" xfId="1" applyFont="1" applyFill="1" applyBorder="1" applyAlignment="1">
      <alignment horizontal="center" vertical="center" wrapText="1"/>
    </xf>
    <xf numFmtId="0" fontId="41" fillId="21" borderId="67" xfId="1" applyFont="1" applyFill="1" applyBorder="1" applyAlignment="1">
      <alignment horizontal="center" vertical="center" wrapText="1"/>
    </xf>
    <xf numFmtId="0" fontId="41" fillId="21" borderId="63" xfId="1" applyFont="1" applyFill="1" applyBorder="1" applyAlignment="1">
      <alignment horizontal="center" vertical="center" textRotation="90" wrapText="1"/>
    </xf>
    <xf numFmtId="0" fontId="41" fillId="21" borderId="50" xfId="1" applyFont="1" applyFill="1" applyBorder="1" applyAlignment="1">
      <alignment horizontal="center" vertical="center" textRotation="90" wrapText="1"/>
    </xf>
    <xf numFmtId="0" fontId="41" fillId="21" borderId="53" xfId="1" applyFont="1" applyFill="1" applyBorder="1" applyAlignment="1">
      <alignment horizontal="center" vertical="center" textRotation="90" wrapText="1"/>
    </xf>
    <xf numFmtId="0" fontId="76" fillId="5" borderId="67" xfId="1" applyFont="1" applyFill="1" applyBorder="1" applyAlignment="1">
      <alignment horizontal="center" vertical="center" wrapText="1"/>
    </xf>
    <xf numFmtId="0" fontId="40" fillId="5" borderId="67" xfId="0" applyFont="1" applyFill="1" applyBorder="1" applyAlignment="1">
      <alignment horizontal="center" vertical="center"/>
    </xf>
    <xf numFmtId="1" fontId="41" fillId="21" borderId="70" xfId="0" applyNumberFormat="1" applyFont="1" applyFill="1" applyBorder="1" applyAlignment="1">
      <alignment horizontal="center" vertical="center" wrapText="1"/>
    </xf>
    <xf numFmtId="1" fontId="41" fillId="21" borderId="73" xfId="0" applyNumberFormat="1" applyFont="1" applyFill="1" applyBorder="1" applyAlignment="1">
      <alignment horizontal="center" vertical="center" wrapText="1"/>
    </xf>
    <xf numFmtId="0" fontId="41" fillId="21" borderId="70" xfId="0" applyFont="1" applyFill="1" applyBorder="1" applyAlignment="1">
      <alignment horizontal="center" vertical="center" wrapText="1"/>
    </xf>
    <xf numFmtId="0" fontId="41" fillId="21" borderId="73" xfId="0" applyFont="1" applyFill="1" applyBorder="1" applyAlignment="1">
      <alignment horizontal="center" vertical="center" wrapText="1"/>
    </xf>
    <xf numFmtId="0" fontId="76" fillId="5" borderId="35" xfId="1" applyFont="1" applyFill="1" applyBorder="1" applyAlignment="1">
      <alignment horizontal="center" vertical="center" wrapText="1"/>
    </xf>
    <xf numFmtId="0" fontId="40" fillId="25" borderId="21" xfId="1" applyFont="1" applyFill="1" applyBorder="1" applyAlignment="1">
      <alignment horizontal="center" vertical="center" wrapText="1"/>
    </xf>
    <xf numFmtId="0" fontId="40" fillId="25" borderId="34" xfId="1" applyFont="1" applyFill="1" applyBorder="1" applyAlignment="1">
      <alignment horizontal="center" vertical="center" wrapText="1"/>
    </xf>
    <xf numFmtId="0" fontId="41" fillId="21" borderId="61" xfId="1" applyFont="1" applyFill="1" applyBorder="1" applyAlignment="1">
      <alignment horizontal="center" vertical="center" wrapText="1"/>
    </xf>
    <xf numFmtId="0" fontId="41" fillId="21" borderId="58" xfId="1" applyFont="1" applyFill="1" applyBorder="1" applyAlignment="1">
      <alignment horizontal="center" vertical="center" wrapText="1"/>
    </xf>
    <xf numFmtId="0" fontId="41" fillId="21" borderId="74" xfId="1" applyFont="1" applyFill="1" applyBorder="1" applyAlignment="1">
      <alignment horizontal="center" vertical="center" wrapText="1"/>
    </xf>
    <xf numFmtId="0" fontId="40" fillId="22" borderId="18" xfId="0" applyFont="1" applyFill="1" applyBorder="1" applyAlignment="1">
      <alignment horizontal="center" vertical="center"/>
    </xf>
    <xf numFmtId="0" fontId="40" fillId="22" borderId="67" xfId="0" applyFont="1" applyFill="1" applyBorder="1" applyAlignment="1">
      <alignment horizontal="center" vertical="center"/>
    </xf>
    <xf numFmtId="0" fontId="41" fillId="21" borderId="75" xfId="0" applyFont="1" applyFill="1" applyBorder="1" applyAlignment="1">
      <alignment horizontal="center" vertical="center" wrapText="1"/>
    </xf>
    <xf numFmtId="0" fontId="41" fillId="21" borderId="76" xfId="0" applyFont="1" applyFill="1" applyBorder="1" applyAlignment="1">
      <alignment horizontal="center" vertical="center" wrapText="1"/>
    </xf>
    <xf numFmtId="0" fontId="41" fillId="24" borderId="35" xfId="1" applyFont="1" applyFill="1" applyBorder="1" applyAlignment="1">
      <alignment horizontal="center" vertical="center" wrapText="1"/>
    </xf>
    <xf numFmtId="0" fontId="41" fillId="24" borderId="67" xfId="1" applyFont="1" applyFill="1" applyBorder="1" applyAlignment="1">
      <alignment horizontal="center" vertical="center" wrapText="1"/>
    </xf>
    <xf numFmtId="0" fontId="40" fillId="24" borderId="35" xfId="0" applyFont="1" applyFill="1" applyBorder="1" applyAlignment="1">
      <alignment horizontal="center" vertical="center"/>
    </xf>
    <xf numFmtId="0" fontId="40" fillId="24" borderId="67" xfId="0" applyFont="1" applyFill="1" applyBorder="1" applyAlignment="1">
      <alignment horizontal="center" vertical="center"/>
    </xf>
    <xf numFmtId="0" fontId="41" fillId="21" borderId="70" xfId="0" applyFont="1" applyFill="1" applyBorder="1" applyAlignment="1">
      <alignment horizontal="center" vertical="center"/>
    </xf>
    <xf numFmtId="0" fontId="41" fillId="21" borderId="73" xfId="0" applyFont="1" applyFill="1" applyBorder="1" applyAlignment="1">
      <alignment horizontal="center" vertical="center"/>
    </xf>
    <xf numFmtId="0" fontId="49" fillId="21" borderId="70" xfId="0" applyFont="1" applyFill="1" applyBorder="1" applyAlignment="1">
      <alignment horizontal="center" vertical="center" wrapText="1"/>
    </xf>
    <xf numFmtId="0" fontId="49" fillId="21" borderId="73" xfId="0" applyFont="1" applyFill="1" applyBorder="1" applyAlignment="1">
      <alignment horizontal="center" vertical="center" wrapText="1"/>
    </xf>
    <xf numFmtId="2" fontId="41" fillId="0" borderId="31" xfId="0" applyNumberFormat="1" applyFont="1" applyBorder="1" applyAlignment="1">
      <alignment horizontal="center" vertical="center"/>
    </xf>
    <xf numFmtId="2" fontId="41" fillId="0" borderId="1" xfId="0" applyNumberFormat="1" applyFont="1" applyBorder="1" applyAlignment="1">
      <alignment horizontal="center" vertical="center"/>
    </xf>
    <xf numFmtId="0" fontId="41" fillId="21" borderId="35" xfId="0" applyFont="1" applyFill="1" applyBorder="1" applyAlignment="1">
      <alignment horizontal="center" vertical="center" textRotation="90" wrapText="1"/>
    </xf>
    <xf numFmtId="0" fontId="41" fillId="21" borderId="18" xfId="0" applyFont="1" applyFill="1" applyBorder="1" applyAlignment="1">
      <alignment horizontal="center" vertical="center" textRotation="90" wrapText="1"/>
    </xf>
    <xf numFmtId="0" fontId="41" fillId="21" borderId="67" xfId="0" applyFont="1" applyFill="1" applyBorder="1" applyAlignment="1">
      <alignment horizontal="center" vertical="center" textRotation="90" wrapText="1"/>
    </xf>
    <xf numFmtId="0" fontId="41" fillId="21" borderId="33" xfId="1" applyFont="1" applyFill="1" applyBorder="1" applyAlignment="1">
      <alignment horizontal="center" vertical="center" wrapText="1"/>
    </xf>
    <xf numFmtId="0" fontId="41" fillId="21" borderId="36" xfId="1" applyFont="1" applyFill="1" applyBorder="1" applyAlignment="1">
      <alignment horizontal="center" vertical="center" wrapText="1"/>
    </xf>
    <xf numFmtId="0" fontId="41" fillId="21" borderId="38" xfId="1" applyFont="1" applyFill="1" applyBorder="1" applyAlignment="1">
      <alignment horizontal="center" vertical="center" wrapText="1"/>
    </xf>
    <xf numFmtId="0" fontId="41" fillId="21" borderId="32" xfId="1" applyFont="1" applyFill="1" applyBorder="1" applyAlignment="1">
      <alignment horizontal="center" vertical="center" wrapText="1"/>
    </xf>
    <xf numFmtId="0" fontId="41" fillId="21" borderId="57" xfId="1" applyFont="1" applyFill="1" applyBorder="1" applyAlignment="1">
      <alignment horizontal="center" vertical="center" wrapText="1"/>
    </xf>
    <xf numFmtId="0" fontId="41" fillId="21" borderId="40" xfId="0" applyFont="1" applyFill="1" applyBorder="1" applyAlignment="1">
      <alignment horizontal="center" vertical="center" wrapText="1"/>
    </xf>
    <xf numFmtId="0" fontId="41" fillId="21" borderId="48" xfId="0" applyFont="1" applyFill="1" applyBorder="1" applyAlignment="1">
      <alignment horizontal="center" vertical="center" wrapText="1"/>
    </xf>
    <xf numFmtId="0" fontId="41" fillId="21" borderId="62" xfId="0" applyFont="1" applyFill="1" applyBorder="1" applyAlignment="1">
      <alignment horizontal="center" vertical="center" wrapText="1"/>
    </xf>
    <xf numFmtId="0" fontId="41" fillId="21" borderId="63" xfId="0" applyFont="1" applyFill="1" applyBorder="1" applyAlignment="1">
      <alignment horizontal="center" vertical="center" wrapText="1"/>
    </xf>
    <xf numFmtId="0" fontId="41" fillId="21" borderId="59" xfId="0" applyFont="1" applyFill="1" applyBorder="1" applyAlignment="1">
      <alignment horizontal="center" vertical="center" wrapText="1"/>
    </xf>
    <xf numFmtId="0" fontId="41" fillId="21" borderId="9" xfId="0" applyFont="1" applyFill="1" applyBorder="1" applyAlignment="1">
      <alignment horizontal="center" vertical="center" wrapText="1"/>
    </xf>
    <xf numFmtId="0" fontId="41" fillId="22" borderId="18" xfId="1" applyFont="1" applyFill="1" applyBorder="1" applyAlignment="1">
      <alignment horizontal="center" vertical="center" wrapText="1"/>
    </xf>
    <xf numFmtId="0" fontId="41" fillId="22" borderId="67" xfId="1" applyFont="1" applyFill="1" applyBorder="1" applyAlignment="1">
      <alignment horizontal="center" vertical="center" wrapText="1"/>
    </xf>
    <xf numFmtId="0" fontId="41" fillId="5" borderId="35" xfId="1" applyFont="1" applyFill="1" applyBorder="1" applyAlignment="1">
      <alignment horizontal="center" vertical="center" wrapText="1"/>
    </xf>
    <xf numFmtId="0" fontId="40" fillId="0" borderId="67" xfId="0" applyFont="1" applyBorder="1" applyAlignment="1">
      <alignment horizontal="center" vertical="center"/>
    </xf>
    <xf numFmtId="0" fontId="41" fillId="7" borderId="34" xfId="1" applyFont="1" applyFill="1" applyBorder="1" applyAlignment="1">
      <alignment horizontal="center" vertical="center" wrapText="1"/>
    </xf>
    <xf numFmtId="0" fontId="41" fillId="7" borderId="21" xfId="1" applyFont="1" applyFill="1" applyBorder="1" applyAlignment="1">
      <alignment horizontal="center" vertical="center" wrapText="1"/>
    </xf>
    <xf numFmtId="0" fontId="40" fillId="0" borderId="35" xfId="1" applyFont="1" applyBorder="1" applyAlignment="1">
      <alignment horizontal="center" vertical="center" wrapText="1"/>
    </xf>
    <xf numFmtId="0" fontId="40" fillId="0" borderId="18" xfId="1" applyFont="1" applyBorder="1" applyAlignment="1">
      <alignment horizontal="center" vertical="center" wrapText="1"/>
    </xf>
    <xf numFmtId="0" fontId="40" fillId="5" borderId="35" xfId="1" applyFont="1" applyFill="1" applyBorder="1" applyAlignment="1">
      <alignment horizontal="center" vertical="center" wrapText="1"/>
    </xf>
    <xf numFmtId="0" fontId="41" fillId="8" borderId="34" xfId="1" applyFont="1" applyFill="1" applyBorder="1" applyAlignment="1">
      <alignment horizontal="center" vertical="center" wrapText="1"/>
    </xf>
    <xf numFmtId="0" fontId="40" fillId="8" borderId="35" xfId="1" applyFont="1" applyFill="1" applyBorder="1" applyAlignment="1">
      <alignment horizontal="center" vertical="center" wrapText="1"/>
    </xf>
    <xf numFmtId="0" fontId="40" fillId="8" borderId="18" xfId="1" applyFont="1" applyFill="1" applyBorder="1" applyAlignment="1">
      <alignment horizontal="center" vertical="center" wrapText="1"/>
    </xf>
    <xf numFmtId="0" fontId="41" fillId="8" borderId="21" xfId="1" applyFont="1" applyFill="1" applyBorder="1" applyAlignment="1">
      <alignment horizontal="center" vertical="center" wrapText="1"/>
    </xf>
    <xf numFmtId="0" fontId="40" fillId="8" borderId="21" xfId="1" applyFont="1" applyFill="1" applyBorder="1" applyAlignment="1">
      <alignment horizontal="center" vertical="center" wrapText="1"/>
    </xf>
    <xf numFmtId="0" fontId="40" fillId="8" borderId="34" xfId="1" applyFont="1" applyFill="1" applyBorder="1" applyAlignment="1">
      <alignment horizontal="center" vertical="center" wrapText="1"/>
    </xf>
    <xf numFmtId="0" fontId="40" fillId="8" borderId="67" xfId="1" applyFont="1" applyFill="1" applyBorder="1" applyAlignment="1">
      <alignment horizontal="center" vertical="center" wrapText="1"/>
    </xf>
    <xf numFmtId="0" fontId="40" fillId="7" borderId="35" xfId="1" applyFont="1" applyFill="1" applyBorder="1" applyAlignment="1">
      <alignment horizontal="center" vertical="center" wrapText="1"/>
    </xf>
    <xf numFmtId="0" fontId="40" fillId="7" borderId="18" xfId="1" applyFont="1" applyFill="1" applyBorder="1" applyAlignment="1">
      <alignment horizontal="center" vertical="center" wrapText="1"/>
    </xf>
    <xf numFmtId="0" fontId="40" fillId="7" borderId="21" xfId="1" applyFont="1" applyFill="1" applyBorder="1" applyAlignment="1">
      <alignment horizontal="center" vertical="center" wrapText="1"/>
    </xf>
    <xf numFmtId="0" fontId="40" fillId="7" borderId="34" xfId="1" applyFont="1" applyFill="1" applyBorder="1" applyAlignment="1">
      <alignment horizontal="center" vertical="center" wrapText="1"/>
    </xf>
    <xf numFmtId="0" fontId="40" fillId="7" borderId="67" xfId="1" applyFont="1" applyFill="1" applyBorder="1" applyAlignment="1">
      <alignment horizontal="center" vertical="center" wrapText="1"/>
    </xf>
    <xf numFmtId="0" fontId="41" fillId="14" borderId="21" xfId="1" applyFont="1" applyFill="1" applyBorder="1" applyAlignment="1">
      <alignment horizontal="center" vertical="center" wrapText="1"/>
    </xf>
    <xf numFmtId="0" fontId="40" fillId="14" borderId="21" xfId="0" applyFont="1" applyFill="1" applyBorder="1" applyAlignment="1">
      <alignment horizontal="center" vertical="center"/>
    </xf>
    <xf numFmtId="0" fontId="40" fillId="14" borderId="21" xfId="1" applyFont="1" applyFill="1" applyBorder="1" applyAlignment="1">
      <alignment horizontal="center" vertical="center" wrapText="1"/>
    </xf>
    <xf numFmtId="0" fontId="40" fillId="14" borderId="34" xfId="1" applyFont="1" applyFill="1" applyBorder="1" applyAlignment="1">
      <alignment horizontal="center" vertical="center" wrapText="1"/>
    </xf>
    <xf numFmtId="0" fontId="40" fillId="14" borderId="67" xfId="0" applyFont="1" applyFill="1" applyBorder="1" applyAlignment="1">
      <alignment horizontal="center" vertical="center"/>
    </xf>
    <xf numFmtId="0" fontId="40" fillId="7" borderId="21" xfId="0" applyFont="1" applyFill="1" applyBorder="1" applyAlignment="1">
      <alignment horizontal="center" vertical="center"/>
    </xf>
    <xf numFmtId="0" fontId="40" fillId="7" borderId="34" xfId="0" applyFont="1" applyFill="1" applyBorder="1" applyAlignment="1">
      <alignment horizontal="center" vertical="center"/>
    </xf>
    <xf numFmtId="0" fontId="40" fillId="5" borderId="18" xfId="0" applyFont="1" applyFill="1" applyBorder="1" applyAlignment="1">
      <alignment horizontal="center" vertical="center"/>
    </xf>
    <xf numFmtId="0" fontId="41" fillId="14" borderId="67" xfId="1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/>
    </xf>
    <xf numFmtId="0" fontId="41" fillId="0" borderId="8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textRotation="90" wrapText="1"/>
    </xf>
    <xf numFmtId="0" fontId="41" fillId="0" borderId="22" xfId="0" applyFont="1" applyBorder="1" applyAlignment="1">
      <alignment horizontal="center" vertical="center" textRotation="90" wrapText="1"/>
    </xf>
    <xf numFmtId="0" fontId="41" fillId="0" borderId="26" xfId="0" applyFont="1" applyBorder="1" applyAlignment="1">
      <alignment horizontal="center" vertical="center" textRotation="90" wrapText="1"/>
    </xf>
    <xf numFmtId="1" fontId="48" fillId="0" borderId="30" xfId="0" applyNumberFormat="1" applyFont="1" applyBorder="1" applyAlignment="1">
      <alignment horizontal="center" vertical="center" wrapText="1"/>
    </xf>
    <xf numFmtId="0" fontId="41" fillId="0" borderId="21" xfId="0" applyFont="1" applyBorder="1" applyAlignment="1">
      <alignment horizontal="center" vertical="center" wrapText="1"/>
    </xf>
    <xf numFmtId="0" fontId="41" fillId="0" borderId="34" xfId="0" applyFont="1" applyBorder="1" applyAlignment="1">
      <alignment horizontal="center" vertical="center" wrapText="1"/>
    </xf>
    <xf numFmtId="0" fontId="41" fillId="20" borderId="21" xfId="1" applyFont="1" applyFill="1" applyBorder="1" applyAlignment="1">
      <alignment horizontal="center" vertical="center" wrapText="1"/>
    </xf>
    <xf numFmtId="0" fontId="41" fillId="20" borderId="34" xfId="1" applyFont="1" applyFill="1" applyBorder="1" applyAlignment="1">
      <alignment horizontal="center" vertical="center" wrapText="1"/>
    </xf>
    <xf numFmtId="0" fontId="40" fillId="20" borderId="21" xfId="1" applyFont="1" applyFill="1" applyBorder="1" applyAlignment="1">
      <alignment horizontal="center" vertical="center" wrapText="1"/>
    </xf>
    <xf numFmtId="0" fontId="40" fillId="20" borderId="34" xfId="1" applyFont="1" applyFill="1" applyBorder="1" applyAlignment="1">
      <alignment horizontal="center" vertical="center" wrapText="1"/>
    </xf>
    <xf numFmtId="0" fontId="41" fillId="26" borderId="21" xfId="1" applyFont="1" applyFill="1" applyBorder="1" applyAlignment="1">
      <alignment horizontal="center" vertical="center" wrapText="1"/>
    </xf>
    <xf numFmtId="0" fontId="41" fillId="26" borderId="34" xfId="1" applyFont="1" applyFill="1" applyBorder="1" applyAlignment="1">
      <alignment horizontal="center" vertical="center" wrapText="1"/>
    </xf>
    <xf numFmtId="0" fontId="40" fillId="26" borderId="21" xfId="1" applyFont="1" applyFill="1" applyBorder="1" applyAlignment="1">
      <alignment horizontal="center" vertical="center" wrapText="1"/>
    </xf>
    <xf numFmtId="0" fontId="40" fillId="26" borderId="34" xfId="1" applyFont="1" applyFill="1" applyBorder="1" applyAlignment="1">
      <alignment horizontal="center" vertical="center" wrapText="1"/>
    </xf>
    <xf numFmtId="0" fontId="41" fillId="7" borderId="18" xfId="1" applyFont="1" applyFill="1" applyBorder="1" applyAlignment="1">
      <alignment horizontal="center" vertical="center" wrapText="1"/>
    </xf>
    <xf numFmtId="0" fontId="41" fillId="8" borderId="18" xfId="1" applyFont="1" applyFill="1" applyBorder="1" applyAlignment="1">
      <alignment horizontal="center" vertical="center" wrapText="1"/>
    </xf>
    <xf numFmtId="0" fontId="41" fillId="15" borderId="21" xfId="1" applyFont="1" applyFill="1" applyBorder="1" applyAlignment="1">
      <alignment horizontal="center" vertical="center" wrapText="1"/>
    </xf>
    <xf numFmtId="0" fontId="41" fillId="15" borderId="18" xfId="1" applyFont="1" applyFill="1" applyBorder="1" applyAlignment="1">
      <alignment horizontal="center" vertical="center" wrapText="1"/>
    </xf>
    <xf numFmtId="0" fontId="40" fillId="15" borderId="21" xfId="1" applyFont="1" applyFill="1" applyBorder="1" applyAlignment="1">
      <alignment horizontal="center" vertical="center" wrapText="1"/>
    </xf>
    <xf numFmtId="0" fontId="40" fillId="15" borderId="67" xfId="1" applyFont="1" applyFill="1" applyBorder="1" applyAlignment="1">
      <alignment horizontal="center" vertical="center" wrapText="1"/>
    </xf>
    <xf numFmtId="0" fontId="41" fillId="26" borderId="35" xfId="1" applyFont="1" applyFill="1" applyBorder="1" applyAlignment="1">
      <alignment horizontal="center" vertical="center" wrapText="1"/>
    </xf>
    <xf numFmtId="0" fontId="40" fillId="26" borderId="35" xfId="1" applyFont="1" applyFill="1" applyBorder="1" applyAlignment="1">
      <alignment horizontal="center" vertical="center" wrapText="1"/>
    </xf>
    <xf numFmtId="0" fontId="41" fillId="15" borderId="34" xfId="1" applyFont="1" applyFill="1" applyBorder="1" applyAlignment="1">
      <alignment horizontal="center" vertical="center" wrapText="1"/>
    </xf>
    <xf numFmtId="0" fontId="40" fillId="15" borderId="34" xfId="1" applyFont="1" applyFill="1" applyBorder="1" applyAlignment="1">
      <alignment horizontal="center" vertical="center" wrapText="1"/>
    </xf>
    <xf numFmtId="0" fontId="40" fillId="15" borderId="21" xfId="0" applyFont="1" applyFill="1" applyBorder="1" applyAlignment="1">
      <alignment horizontal="center" vertical="center"/>
    </xf>
    <xf numFmtId="0" fontId="40" fillId="15" borderId="34" xfId="0" applyFont="1" applyFill="1" applyBorder="1" applyAlignment="1">
      <alignment horizontal="center" vertical="center"/>
    </xf>
    <xf numFmtId="0" fontId="41" fillId="15" borderId="35" xfId="1" applyFont="1" applyFill="1" applyBorder="1" applyAlignment="1">
      <alignment horizontal="center" vertical="center" wrapText="1"/>
    </xf>
    <xf numFmtId="0" fontId="40" fillId="15" borderId="35" xfId="1" applyFont="1" applyFill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wrapText="1"/>
    </xf>
    <xf numFmtId="0" fontId="41" fillId="0" borderId="77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33" xfId="0" applyFont="1" applyBorder="1" applyAlignment="1">
      <alignment horizontal="center" vertical="center" textRotation="90"/>
    </xf>
    <xf numFmtId="0" fontId="41" fillId="0" borderId="2" xfId="0" applyFont="1" applyBorder="1" applyAlignment="1">
      <alignment horizontal="center" vertical="center" textRotation="90"/>
    </xf>
    <xf numFmtId="0" fontId="41" fillId="0" borderId="33" xfId="0" applyFont="1" applyBorder="1" applyAlignment="1">
      <alignment horizontal="center" vertical="center" textRotation="90" wrapText="1"/>
    </xf>
    <xf numFmtId="0" fontId="41" fillId="0" borderId="36" xfId="0" applyFont="1" applyBorder="1" applyAlignment="1">
      <alignment horizontal="center" vertical="center" textRotation="90" wrapText="1"/>
    </xf>
    <xf numFmtId="0" fontId="41" fillId="0" borderId="38" xfId="0" applyFont="1" applyBorder="1" applyAlignment="1">
      <alignment horizontal="center" vertical="center" textRotation="90" wrapText="1"/>
    </xf>
    <xf numFmtId="0" fontId="23" fillId="0" borderId="0" xfId="0" applyFont="1" applyAlignment="1">
      <alignment horizontal="center" vertical="center" wrapText="1"/>
    </xf>
    <xf numFmtId="1" fontId="23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3" fillId="5" borderId="20" xfId="1" applyFont="1" applyFill="1" applyBorder="1" applyAlignment="1">
      <alignment horizontal="center" vertical="center" wrapText="1"/>
    </xf>
    <xf numFmtId="0" fontId="23" fillId="5" borderId="6" xfId="1" applyFont="1" applyFill="1" applyBorder="1" applyAlignment="1">
      <alignment horizontal="center" vertical="center" wrapText="1"/>
    </xf>
    <xf numFmtId="0" fontId="11" fillId="5" borderId="31" xfId="1" applyFont="1" applyFill="1" applyBorder="1" applyAlignment="1">
      <alignment horizontal="center" vertical="center" wrapText="1"/>
    </xf>
    <xf numFmtId="0" fontId="11" fillId="5" borderId="1" xfId="1" applyFont="1" applyFill="1" applyBorder="1" applyAlignment="1">
      <alignment horizontal="center" vertical="center" wrapText="1"/>
    </xf>
    <xf numFmtId="0" fontId="23" fillId="5" borderId="7" xfId="1" applyFont="1" applyFill="1" applyBorder="1" applyAlignment="1">
      <alignment horizontal="center" vertical="center" wrapText="1"/>
    </xf>
    <xf numFmtId="0" fontId="11" fillId="5" borderId="3" xfId="1" applyFont="1" applyFill="1" applyBorder="1" applyAlignment="1">
      <alignment horizontal="center" vertical="center" wrapText="1"/>
    </xf>
    <xf numFmtId="0" fontId="23" fillId="0" borderId="0" xfId="1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40" fillId="0" borderId="56" xfId="1" applyFont="1" applyBorder="1" applyAlignment="1">
      <alignment horizontal="center" vertical="center" wrapText="1"/>
    </xf>
    <xf numFmtId="0" fontId="41" fillId="0" borderId="22" xfId="1" applyFont="1" applyBorder="1" applyAlignment="1">
      <alignment horizontal="center" vertical="center" wrapText="1"/>
    </xf>
    <xf numFmtId="0" fontId="41" fillId="0" borderId="26" xfId="1" applyFont="1" applyBorder="1" applyAlignment="1">
      <alignment horizontal="center" vertical="center" wrapText="1"/>
    </xf>
    <xf numFmtId="0" fontId="40" fillId="0" borderId="60" xfId="0" applyFont="1" applyBorder="1" applyAlignment="1">
      <alignment horizontal="center" vertical="center"/>
    </xf>
    <xf numFmtId="0" fontId="40" fillId="0" borderId="59" xfId="0" applyFont="1" applyBorder="1" applyAlignment="1">
      <alignment horizontal="center" vertical="center"/>
    </xf>
    <xf numFmtId="0" fontId="40" fillId="0" borderId="62" xfId="0" applyFont="1" applyBorder="1" applyAlignment="1">
      <alignment horizontal="center" vertical="center"/>
    </xf>
    <xf numFmtId="0" fontId="40" fillId="0" borderId="60" xfId="1" applyFont="1" applyBorder="1" applyAlignment="1">
      <alignment horizontal="center" vertical="center" wrapText="1"/>
    </xf>
    <xf numFmtId="0" fontId="40" fillId="0" borderId="59" xfId="1" applyFont="1" applyBorder="1" applyAlignment="1">
      <alignment horizontal="center" vertical="center" wrapText="1"/>
    </xf>
    <xf numFmtId="0" fontId="40" fillId="0" borderId="0" xfId="1" applyFont="1" applyAlignment="1">
      <alignment horizontal="center" vertical="center" wrapText="1"/>
    </xf>
    <xf numFmtId="0" fontId="41" fillId="0" borderId="21" xfId="1" applyFont="1" applyBorder="1" applyAlignment="1">
      <alignment horizontal="center" vertical="center"/>
    </xf>
    <xf numFmtId="0" fontId="41" fillId="0" borderId="67" xfId="1" applyFont="1" applyBorder="1" applyAlignment="1">
      <alignment horizontal="center" vertical="center"/>
    </xf>
    <xf numFmtId="0" fontId="40" fillId="5" borderId="60" xfId="0" applyFont="1" applyFill="1" applyBorder="1" applyAlignment="1">
      <alignment horizontal="center" vertical="center"/>
    </xf>
    <xf numFmtId="0" fontId="40" fillId="5" borderId="59" xfId="0" applyFont="1" applyFill="1" applyBorder="1" applyAlignment="1">
      <alignment horizontal="center" vertical="center"/>
    </xf>
    <xf numFmtId="0" fontId="40" fillId="5" borderId="60" xfId="1" applyFont="1" applyFill="1" applyBorder="1" applyAlignment="1">
      <alignment horizontal="center" vertical="center" wrapText="1"/>
    </xf>
    <xf numFmtId="0" fontId="40" fillId="5" borderId="59" xfId="1" applyFont="1" applyFill="1" applyBorder="1" applyAlignment="1">
      <alignment horizontal="center" vertical="center" wrapText="1"/>
    </xf>
    <xf numFmtId="0" fontId="40" fillId="5" borderId="0" xfId="0" applyFont="1" applyFill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5" borderId="62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textRotation="90" wrapText="1"/>
    </xf>
    <xf numFmtId="1" fontId="4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56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textRotation="90" wrapText="1"/>
    </xf>
    <xf numFmtId="0" fontId="1" fillId="0" borderId="36" xfId="0" applyFont="1" applyBorder="1" applyAlignment="1">
      <alignment horizontal="center" vertical="center" textRotation="90" wrapText="1"/>
    </xf>
    <xf numFmtId="0" fontId="1" fillId="0" borderId="2" xfId="0" applyFont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 vertical="center"/>
    </xf>
    <xf numFmtId="0" fontId="1" fillId="0" borderId="28" xfId="1" applyFont="1" applyBorder="1" applyAlignment="1">
      <alignment horizontal="center" vertical="center" wrapText="1"/>
    </xf>
    <xf numFmtId="0" fontId="1" fillId="0" borderId="36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28" xfId="1" applyFont="1" applyBorder="1" applyAlignment="1">
      <alignment horizontal="center" vertical="center" textRotation="90" wrapText="1"/>
    </xf>
    <xf numFmtId="0" fontId="1" fillId="0" borderId="36" xfId="1" applyFont="1" applyBorder="1" applyAlignment="1">
      <alignment horizontal="center" vertical="center" textRotation="90" wrapText="1"/>
    </xf>
    <xf numFmtId="0" fontId="1" fillId="0" borderId="2" xfId="1" applyFont="1" applyBorder="1" applyAlignment="1">
      <alignment horizontal="center" vertical="center" textRotation="90" wrapText="1"/>
    </xf>
    <xf numFmtId="0" fontId="1" fillId="0" borderId="8" xfId="1" applyFont="1" applyBorder="1" applyAlignment="1">
      <alignment horizontal="center" vertical="center" wrapText="1"/>
    </xf>
    <xf numFmtId="0" fontId="1" fillId="0" borderId="4" xfId="1" applyFont="1" applyBorder="1" applyAlignment="1">
      <alignment horizontal="center" vertical="center" wrapText="1"/>
    </xf>
    <xf numFmtId="0" fontId="41" fillId="0" borderId="2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2" xfId="0" applyFont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165" fontId="40" fillId="0" borderId="31" xfId="0" applyNumberFormat="1" applyFont="1" applyBorder="1" applyAlignment="1">
      <alignment horizontal="center" vertical="center"/>
    </xf>
    <xf numFmtId="165" fontId="40" fillId="0" borderId="1" xfId="0" applyNumberFormat="1" applyFont="1" applyBorder="1" applyAlignment="1">
      <alignment horizontal="center" vertical="center"/>
    </xf>
    <xf numFmtId="165" fontId="40" fillId="0" borderId="3" xfId="0" applyNumberFormat="1" applyFont="1" applyBorder="1" applyAlignment="1">
      <alignment horizontal="center" vertical="center"/>
    </xf>
    <xf numFmtId="1" fontId="40" fillId="0" borderId="10" xfId="0" applyNumberFormat="1" applyFont="1" applyBorder="1" applyAlignment="1">
      <alignment horizontal="center" vertical="center"/>
    </xf>
    <xf numFmtId="1" fontId="40" fillId="0" borderId="8" xfId="0" applyNumberFormat="1" applyFont="1" applyBorder="1" applyAlignment="1">
      <alignment horizontal="center" vertical="center"/>
    </xf>
    <xf numFmtId="0" fontId="68" fillId="0" borderId="0" xfId="0" applyFont="1" applyAlignment="1">
      <alignment horizontal="left" vertical="center"/>
    </xf>
    <xf numFmtId="0" fontId="68" fillId="0" borderId="39" xfId="0" applyFont="1" applyBorder="1" applyAlignment="1">
      <alignment horizontal="left" vertical="center"/>
    </xf>
    <xf numFmtId="0" fontId="41" fillId="0" borderId="37" xfId="0" applyFont="1" applyBorder="1" applyAlignment="1">
      <alignment horizontal="center" vertical="center" textRotation="90"/>
    </xf>
    <xf numFmtId="0" fontId="41" fillId="0" borderId="34" xfId="0" applyFont="1" applyBorder="1" applyAlignment="1">
      <alignment horizontal="center" vertical="center" textRotation="90"/>
    </xf>
    <xf numFmtId="0" fontId="41" fillId="0" borderId="22" xfId="0" applyFont="1" applyBorder="1" applyAlignment="1">
      <alignment horizontal="center" vertical="center" textRotation="90"/>
    </xf>
    <xf numFmtId="0" fontId="41" fillId="0" borderId="21" xfId="0" applyFont="1" applyBorder="1" applyAlignment="1">
      <alignment horizontal="center" vertical="center" textRotation="90"/>
    </xf>
    <xf numFmtId="0" fontId="41" fillId="0" borderId="37" xfId="0" applyFont="1" applyBorder="1" applyAlignment="1">
      <alignment horizontal="center" vertical="center"/>
    </xf>
    <xf numFmtId="0" fontId="41" fillId="0" borderId="34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11" xfId="0" applyFont="1" applyBorder="1" applyAlignment="1">
      <alignment horizontal="center" vertical="center" wrapText="1"/>
    </xf>
    <xf numFmtId="0" fontId="41" fillId="0" borderId="14" xfId="0" applyFont="1" applyBorder="1" applyAlignment="1">
      <alignment horizontal="center" vertical="center" wrapText="1"/>
    </xf>
    <xf numFmtId="0" fontId="50" fillId="5" borderId="1" xfId="1" applyFont="1" applyFill="1" applyBorder="1" applyAlignment="1">
      <alignment horizontal="center" vertical="center" wrapText="1"/>
    </xf>
    <xf numFmtId="0" fontId="50" fillId="5" borderId="3" xfId="1" applyFont="1" applyFill="1" applyBorder="1" applyAlignment="1">
      <alignment horizontal="center" vertical="center" wrapText="1"/>
    </xf>
    <xf numFmtId="2" fontId="40" fillId="0" borderId="1" xfId="0" applyNumberFormat="1" applyFont="1" applyBorder="1" applyAlignment="1">
      <alignment horizontal="center" vertical="center"/>
    </xf>
    <xf numFmtId="0" fontId="50" fillId="5" borderId="35" xfId="1" applyFont="1" applyFill="1" applyBorder="1" applyAlignment="1">
      <alignment horizontal="center" vertical="center" wrapText="1"/>
    </xf>
    <xf numFmtId="0" fontId="50" fillId="5" borderId="67" xfId="1" applyFont="1" applyFill="1" applyBorder="1" applyAlignment="1">
      <alignment horizontal="center" vertical="center" wrapText="1"/>
    </xf>
    <xf numFmtId="0" fontId="50" fillId="5" borderId="18" xfId="1" applyFont="1" applyFill="1" applyBorder="1" applyAlignment="1">
      <alignment horizontal="center" vertical="center" wrapText="1"/>
    </xf>
    <xf numFmtId="165" fontId="40" fillId="3" borderId="44" xfId="0" applyNumberFormat="1" applyFont="1" applyFill="1" applyBorder="1" applyAlignment="1">
      <alignment horizontal="center" vertical="center"/>
    </xf>
    <xf numFmtId="165" fontId="40" fillId="3" borderId="64" xfId="0" applyNumberFormat="1" applyFont="1" applyFill="1" applyBorder="1" applyAlignment="1">
      <alignment horizontal="center" vertical="center"/>
    </xf>
    <xf numFmtId="165" fontId="40" fillId="3" borderId="5" xfId="0" applyNumberFormat="1" applyFont="1" applyFill="1" applyBorder="1" applyAlignment="1">
      <alignment horizontal="center" vertical="center"/>
    </xf>
    <xf numFmtId="165" fontId="40" fillId="3" borderId="41" xfId="0" applyNumberFormat="1" applyFont="1" applyFill="1" applyBorder="1" applyAlignment="1">
      <alignment horizontal="center" vertical="center"/>
    </xf>
    <xf numFmtId="165" fontId="40" fillId="3" borderId="56" xfId="0" applyNumberFormat="1" applyFont="1" applyFill="1" applyBorder="1" applyAlignment="1">
      <alignment horizontal="center" vertical="center"/>
    </xf>
    <xf numFmtId="165" fontId="40" fillId="3" borderId="4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0" fontId="0" fillId="0" borderId="8" xfId="0" applyBorder="1"/>
    <xf numFmtId="2" fontId="41" fillId="3" borderId="61" xfId="0" applyNumberFormat="1" applyFont="1" applyFill="1" applyBorder="1" applyAlignment="1">
      <alignment horizontal="center" vertical="center" wrapText="1"/>
    </xf>
    <xf numFmtId="2" fontId="41" fillId="3" borderId="62" xfId="0" applyNumberFormat="1" applyFont="1" applyFill="1" applyBorder="1" applyAlignment="1">
      <alignment horizontal="center" vertical="center" wrapText="1"/>
    </xf>
    <xf numFmtId="2" fontId="41" fillId="3" borderId="77" xfId="0" applyNumberFormat="1" applyFont="1" applyFill="1" applyBorder="1" applyAlignment="1">
      <alignment horizontal="center" vertical="center" wrapText="1"/>
    </xf>
    <xf numFmtId="2" fontId="41" fillId="3" borderId="58" xfId="0" applyNumberFormat="1" applyFont="1" applyFill="1" applyBorder="1" applyAlignment="1">
      <alignment horizontal="center" vertical="center" wrapText="1"/>
    </xf>
    <xf numFmtId="2" fontId="41" fillId="3" borderId="0" xfId="0" applyNumberFormat="1" applyFont="1" applyFill="1" applyAlignment="1">
      <alignment horizontal="center" vertical="center" wrapText="1"/>
    </xf>
    <xf numFmtId="2" fontId="41" fillId="3" borderId="55" xfId="0" applyNumberFormat="1" applyFont="1" applyFill="1" applyBorder="1" applyAlignment="1">
      <alignment horizontal="center" vertical="center" wrapText="1"/>
    </xf>
    <xf numFmtId="2" fontId="41" fillId="3" borderId="65" xfId="0" applyNumberFormat="1" applyFont="1" applyFill="1" applyBorder="1" applyAlignment="1">
      <alignment horizontal="center" vertical="center" wrapText="1"/>
    </xf>
    <xf numFmtId="2" fontId="41" fillId="3" borderId="59" xfId="0" applyNumberFormat="1" applyFont="1" applyFill="1" applyBorder="1" applyAlignment="1">
      <alignment horizontal="center" vertical="center" wrapText="1"/>
    </xf>
    <xf numFmtId="2" fontId="41" fillId="3" borderId="49" xfId="0" applyNumberFormat="1" applyFont="1" applyFill="1" applyBorder="1" applyAlignment="1">
      <alignment horizontal="center" vertical="center" wrapText="1"/>
    </xf>
    <xf numFmtId="1" fontId="40" fillId="0" borderId="11" xfId="0" applyNumberFormat="1" applyFont="1" applyBorder="1" applyAlignment="1">
      <alignment horizontal="center" vertical="center"/>
    </xf>
    <xf numFmtId="1" fontId="40" fillId="0" borderId="14" xfId="0" applyNumberFormat="1" applyFont="1" applyBorder="1" applyAlignment="1">
      <alignment horizontal="center" vertical="center"/>
    </xf>
    <xf numFmtId="165" fontId="40" fillId="3" borderId="1" xfId="0" applyNumberFormat="1" applyFont="1" applyFill="1" applyBorder="1" applyAlignment="1">
      <alignment horizontal="center" vertical="center"/>
    </xf>
    <xf numFmtId="165" fontId="40" fillId="3" borderId="6" xfId="0" applyNumberFormat="1" applyFont="1" applyFill="1" applyBorder="1" applyAlignment="1">
      <alignment horizontal="center" vertical="center"/>
    </xf>
    <xf numFmtId="165" fontId="40" fillId="3" borderId="3" xfId="0" applyNumberFormat="1" applyFont="1" applyFill="1" applyBorder="1" applyAlignment="1">
      <alignment horizontal="center" vertical="center"/>
    </xf>
    <xf numFmtId="165" fontId="40" fillId="3" borderId="7" xfId="0" applyNumberFormat="1" applyFont="1" applyFill="1" applyBorder="1" applyAlignment="1">
      <alignment horizontal="center" vertical="center"/>
    </xf>
    <xf numFmtId="2" fontId="40" fillId="0" borderId="28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0" fillId="0" borderId="15" xfId="0" applyBorder="1"/>
    <xf numFmtId="2" fontId="41" fillId="3" borderId="1" xfId="0" applyNumberFormat="1" applyFont="1" applyFill="1" applyBorder="1" applyAlignment="1">
      <alignment horizontal="center" vertical="center"/>
    </xf>
    <xf numFmtId="2" fontId="41" fillId="3" borderId="6" xfId="0" applyNumberFormat="1" applyFont="1" applyFill="1" applyBorder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1" fillId="0" borderId="3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3" borderId="3" xfId="0" applyFont="1" applyFill="1" applyBorder="1" applyAlignment="1">
      <alignment horizontal="center" vertical="center"/>
    </xf>
    <xf numFmtId="0" fontId="41" fillId="3" borderId="7" xfId="0" applyFont="1" applyFill="1" applyBorder="1" applyAlignment="1">
      <alignment horizontal="center" vertical="center"/>
    </xf>
    <xf numFmtId="165" fontId="40" fillId="3" borderId="2" xfId="0" applyNumberFormat="1" applyFont="1" applyFill="1" applyBorder="1" applyAlignment="1">
      <alignment horizontal="center" vertical="center"/>
    </xf>
    <xf numFmtId="165" fontId="40" fillId="3" borderId="13" xfId="0" applyNumberFormat="1" applyFont="1" applyFill="1" applyBorder="1" applyAlignment="1">
      <alignment horizontal="center" vertical="center"/>
    </xf>
    <xf numFmtId="165" fontId="40" fillId="3" borderId="10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0" fontId="40" fillId="0" borderId="56" xfId="0" applyFont="1" applyBorder="1" applyAlignment="1">
      <alignment horizontal="center" vertical="center"/>
    </xf>
    <xf numFmtId="0" fontId="40" fillId="0" borderId="66" xfId="0" applyFont="1" applyBorder="1" applyAlignment="1">
      <alignment horizontal="center" vertical="center"/>
    </xf>
    <xf numFmtId="2" fontId="41" fillId="3" borderId="42" xfId="0" applyNumberFormat="1" applyFont="1" applyFill="1" applyBorder="1" applyAlignment="1">
      <alignment horizontal="center" vertical="center"/>
    </xf>
    <xf numFmtId="2" fontId="41" fillId="3" borderId="60" xfId="0" applyNumberFormat="1" applyFont="1" applyFill="1" applyBorder="1" applyAlignment="1">
      <alignment horizontal="center" vertical="center"/>
    </xf>
    <xf numFmtId="2" fontId="41" fillId="3" borderId="27" xfId="0" applyNumberFormat="1" applyFont="1" applyFill="1" applyBorder="1" applyAlignment="1">
      <alignment horizontal="center" vertical="center"/>
    </xf>
    <xf numFmtId="2" fontId="41" fillId="3" borderId="65" xfId="0" applyNumberFormat="1" applyFont="1" applyFill="1" applyBorder="1" applyAlignment="1">
      <alignment horizontal="center" vertical="center"/>
    </xf>
    <xf numFmtId="2" fontId="41" fillId="3" borderId="59" xfId="0" applyNumberFormat="1" applyFont="1" applyFill="1" applyBorder="1" applyAlignment="1">
      <alignment horizontal="center" vertical="center"/>
    </xf>
    <xf numFmtId="2" fontId="41" fillId="3" borderId="9" xfId="0" applyNumberFormat="1" applyFont="1" applyFill="1" applyBorder="1" applyAlignment="1">
      <alignment horizontal="center" vertical="center"/>
    </xf>
    <xf numFmtId="2" fontId="41" fillId="3" borderId="44" xfId="0" applyNumberFormat="1" applyFont="1" applyFill="1" applyBorder="1" applyAlignment="1">
      <alignment horizontal="center" vertical="center"/>
    </xf>
    <xf numFmtId="2" fontId="41" fillId="3" borderId="64" xfId="0" applyNumberFormat="1" applyFont="1" applyFill="1" applyBorder="1" applyAlignment="1">
      <alignment horizontal="center" vertical="center"/>
    </xf>
    <xf numFmtId="2" fontId="41" fillId="3" borderId="5" xfId="0" applyNumberFormat="1" applyFont="1" applyFill="1" applyBorder="1" applyAlignment="1">
      <alignment horizontal="center" vertical="center"/>
    </xf>
    <xf numFmtId="1" fontId="40" fillId="0" borderId="56" xfId="0" applyNumberFormat="1" applyFont="1" applyBorder="1" applyAlignment="1">
      <alignment horizontal="center" vertical="center"/>
    </xf>
    <xf numFmtId="1" fontId="40" fillId="0" borderId="66" xfId="0" applyNumberFormat="1" applyFont="1" applyBorder="1" applyAlignment="1">
      <alignment horizontal="center" vertical="center"/>
    </xf>
    <xf numFmtId="165" fontId="40" fillId="3" borderId="40" xfId="0" applyNumberFormat="1" applyFont="1" applyFill="1" applyBorder="1" applyAlignment="1">
      <alignment horizontal="center" vertical="center"/>
    </xf>
    <xf numFmtId="165" fontId="40" fillId="3" borderId="57" xfId="0" applyNumberFormat="1" applyFont="1" applyFill="1" applyBorder="1" applyAlignment="1">
      <alignment horizontal="center" vertical="center"/>
    </xf>
    <xf numFmtId="165" fontId="40" fillId="3" borderId="30" xfId="0" applyNumberFormat="1" applyFont="1" applyFill="1" applyBorder="1" applyAlignment="1">
      <alignment horizontal="center" vertical="center"/>
    </xf>
    <xf numFmtId="2" fontId="41" fillId="3" borderId="19" xfId="0" applyNumberFormat="1" applyFont="1" applyFill="1" applyBorder="1" applyAlignment="1">
      <alignment horizontal="center" vertical="center" wrapText="1"/>
    </xf>
    <xf numFmtId="2" fontId="41" fillId="3" borderId="20" xfId="0" applyNumberFormat="1" applyFont="1" applyFill="1" applyBorder="1" applyAlignment="1">
      <alignment horizontal="center" vertical="center" wrapText="1"/>
    </xf>
    <xf numFmtId="2" fontId="41" fillId="3" borderId="12" xfId="0" applyNumberFormat="1" applyFont="1" applyFill="1" applyBorder="1" applyAlignment="1">
      <alignment horizontal="center" vertical="center" wrapText="1"/>
    </xf>
    <xf numFmtId="2" fontId="41" fillId="3" borderId="13" xfId="0" applyNumberFormat="1" applyFont="1" applyFill="1" applyBorder="1" applyAlignment="1">
      <alignment horizontal="center" vertical="center" wrapText="1"/>
    </xf>
    <xf numFmtId="2" fontId="41" fillId="3" borderId="10" xfId="0" applyNumberFormat="1" applyFont="1" applyFill="1" applyBorder="1" applyAlignment="1">
      <alignment horizontal="center" vertical="center" wrapText="1"/>
    </xf>
    <xf numFmtId="2" fontId="41" fillId="3" borderId="6" xfId="0" applyNumberFormat="1" applyFont="1" applyFill="1" applyBorder="1" applyAlignment="1">
      <alignment horizontal="center" vertical="center" wrapText="1"/>
    </xf>
    <xf numFmtId="2" fontId="41" fillId="3" borderId="10" xfId="0" applyNumberFormat="1" applyFont="1" applyFill="1" applyBorder="1" applyAlignment="1">
      <alignment horizontal="center" vertical="center"/>
    </xf>
    <xf numFmtId="0" fontId="40" fillId="0" borderId="32" xfId="0" applyFont="1" applyBorder="1" applyAlignment="1">
      <alignment horizontal="center" vertical="center"/>
    </xf>
    <xf numFmtId="0" fontId="40" fillId="0" borderId="57" xfId="0" applyFont="1" applyBorder="1" applyAlignment="1">
      <alignment horizontal="center" vertical="center"/>
    </xf>
    <xf numFmtId="0" fontId="40" fillId="0" borderId="48" xfId="0" applyFont="1" applyBorder="1" applyAlignment="1">
      <alignment horizontal="center" vertical="center"/>
    </xf>
    <xf numFmtId="2" fontId="41" fillId="3" borderId="16" xfId="0" applyNumberFormat="1" applyFont="1" applyFill="1" applyBorder="1" applyAlignment="1">
      <alignment horizontal="center" vertical="center"/>
    </xf>
    <xf numFmtId="2" fontId="41" fillId="3" borderId="23" xfId="0" applyNumberFormat="1" applyFont="1" applyFill="1" applyBorder="1" applyAlignment="1">
      <alignment horizontal="center" vertical="center"/>
    </xf>
    <xf numFmtId="2" fontId="41" fillId="0" borderId="31" xfId="0" applyNumberFormat="1" applyFont="1" applyBorder="1" applyAlignment="1">
      <alignment horizontal="center" vertical="center" wrapText="1"/>
    </xf>
    <xf numFmtId="2" fontId="41" fillId="0" borderId="1" xfId="0" applyNumberFormat="1" applyFont="1" applyBorder="1" applyAlignment="1">
      <alignment horizontal="center" vertical="center" wrapText="1"/>
    </xf>
    <xf numFmtId="165" fontId="40" fillId="3" borderId="11" xfId="0" applyNumberFormat="1" applyFont="1" applyFill="1" applyBorder="1" applyAlignment="1">
      <alignment horizontal="center" vertical="center"/>
    </xf>
    <xf numFmtId="0" fontId="41" fillId="0" borderId="35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1" fillId="0" borderId="67" xfId="0" applyFont="1" applyBorder="1" applyAlignment="1">
      <alignment horizontal="center" vertical="center"/>
    </xf>
    <xf numFmtId="0" fontId="41" fillId="0" borderId="30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 vertical="center" wrapText="1"/>
    </xf>
    <xf numFmtId="1" fontId="40" fillId="0" borderId="64" xfId="0" applyNumberFormat="1" applyFont="1" applyBorder="1" applyAlignment="1">
      <alignment horizontal="center" vertical="center"/>
    </xf>
    <xf numFmtId="1" fontId="40" fillId="0" borderId="6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52" fillId="5" borderId="21" xfId="1" applyFont="1" applyFill="1" applyBorder="1" applyAlignment="1">
      <alignment horizontal="center" vertical="center" wrapText="1"/>
    </xf>
    <xf numFmtId="0" fontId="52" fillId="5" borderId="18" xfId="1" applyFont="1" applyFill="1" applyBorder="1" applyAlignment="1">
      <alignment horizontal="center" vertical="center" wrapText="1"/>
    </xf>
    <xf numFmtId="0" fontId="40" fillId="5" borderId="22" xfId="0" applyFont="1" applyFill="1" applyBorder="1" applyAlignment="1">
      <alignment horizontal="center" vertical="center"/>
    </xf>
    <xf numFmtId="0" fontId="40" fillId="5" borderId="26" xfId="0" applyFont="1" applyFill="1" applyBorder="1" applyAlignment="1">
      <alignment horizontal="center" vertical="center"/>
    </xf>
    <xf numFmtId="0" fontId="50" fillId="5" borderId="21" xfId="1" applyFont="1" applyFill="1" applyBorder="1" applyAlignment="1">
      <alignment horizontal="center" vertical="center" wrapText="1"/>
    </xf>
    <xf numFmtId="165" fontId="40" fillId="3" borderId="19" xfId="0" applyNumberFormat="1" applyFont="1" applyFill="1" applyBorder="1" applyAlignment="1">
      <alignment horizontal="center" vertical="center"/>
    </xf>
    <xf numFmtId="165" fontId="40" fillId="3" borderId="20" xfId="0" applyNumberFormat="1" applyFont="1" applyFill="1" applyBorder="1" applyAlignment="1">
      <alignment horizontal="center" vertical="center"/>
    </xf>
    <xf numFmtId="0" fontId="78" fillId="34" borderId="31" xfId="0" applyFont="1" applyFill="1" applyBorder="1" applyAlignment="1">
      <alignment horizontal="center" vertical="center" wrapText="1"/>
    </xf>
    <xf numFmtId="2" fontId="41" fillId="34" borderId="31" xfId="0" applyNumberFormat="1" applyFont="1" applyFill="1" applyBorder="1" applyAlignment="1">
      <alignment horizontal="center" vertical="center"/>
    </xf>
    <xf numFmtId="2" fontId="52" fillId="34" borderId="31" xfId="0" applyNumberFormat="1" applyFont="1" applyFill="1" applyBorder="1" applyAlignment="1">
      <alignment horizontal="center" vertical="center" wrapText="1"/>
    </xf>
    <xf numFmtId="1" fontId="52" fillId="34" borderId="31" xfId="0" applyNumberFormat="1" applyFont="1" applyFill="1" applyBorder="1" applyAlignment="1">
      <alignment horizontal="center" vertical="center"/>
    </xf>
    <xf numFmtId="0" fontId="41" fillId="0" borderId="43" xfId="0" applyFont="1" applyBorder="1" applyAlignment="1">
      <alignment horizontal="center" vertical="center" wrapText="1"/>
    </xf>
    <xf numFmtId="0" fontId="41" fillId="0" borderId="51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55" xfId="0" applyFont="1" applyBorder="1" applyAlignment="1">
      <alignment horizontal="center" vertical="center" wrapText="1"/>
    </xf>
    <xf numFmtId="0" fontId="41" fillId="0" borderId="54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 wrapText="1"/>
    </xf>
    <xf numFmtId="0" fontId="41" fillId="0" borderId="52" xfId="0" applyFont="1" applyBorder="1" applyAlignment="1">
      <alignment horizontal="center" vertical="center" wrapText="1"/>
    </xf>
    <xf numFmtId="1" fontId="1" fillId="0" borderId="31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57" xfId="0" applyNumberFormat="1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textRotation="90" wrapText="1"/>
    </xf>
    <xf numFmtId="0" fontId="1" fillId="0" borderId="17" xfId="0" applyFont="1" applyBorder="1" applyAlignment="1">
      <alignment horizontal="center" vertical="center" textRotation="90" wrapText="1"/>
    </xf>
    <xf numFmtId="0" fontId="1" fillId="0" borderId="46" xfId="0" applyFont="1" applyBorder="1" applyAlignment="1">
      <alignment horizontal="center" vertical="center" textRotation="90" wrapText="1"/>
    </xf>
    <xf numFmtId="0" fontId="1" fillId="0" borderId="25" xfId="1" applyFont="1" applyBorder="1" applyAlignment="1">
      <alignment horizontal="center" vertical="center" wrapText="1"/>
    </xf>
    <xf numFmtId="0" fontId="1" fillId="0" borderId="45" xfId="1" applyFont="1" applyBorder="1" applyAlignment="1">
      <alignment horizontal="center" vertical="center" wrapText="1"/>
    </xf>
    <xf numFmtId="0" fontId="1" fillId="0" borderId="47" xfId="1" applyFont="1" applyBorder="1" applyAlignment="1">
      <alignment horizontal="center" vertical="center" wrapText="1"/>
    </xf>
    <xf numFmtId="0" fontId="1" fillId="0" borderId="33" xfId="1" applyFont="1" applyBorder="1" applyAlignment="1">
      <alignment horizontal="center" vertical="center" wrapText="1"/>
    </xf>
    <xf numFmtId="0" fontId="1" fillId="0" borderId="38" xfId="1" applyFont="1" applyBorder="1" applyAlignment="1">
      <alignment horizontal="center" vertical="center" wrapText="1"/>
    </xf>
    <xf numFmtId="0" fontId="1" fillId="0" borderId="33" xfId="1" applyFont="1" applyBorder="1" applyAlignment="1">
      <alignment horizontal="center" vertical="center" textRotation="90" wrapText="1"/>
    </xf>
    <xf numFmtId="0" fontId="1" fillId="0" borderId="38" xfId="1" applyFont="1" applyBorder="1" applyAlignment="1">
      <alignment horizontal="center" vertical="center" textRotation="90" wrapText="1"/>
    </xf>
    <xf numFmtId="0" fontId="1" fillId="0" borderId="32" xfId="1" applyFont="1" applyBorder="1" applyAlignment="1">
      <alignment horizontal="center" vertical="center" wrapText="1"/>
    </xf>
    <xf numFmtId="0" fontId="1" fillId="0" borderId="57" xfId="1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5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 textRotation="90"/>
    </xf>
    <xf numFmtId="0" fontId="1" fillId="0" borderId="62" xfId="0" applyFont="1" applyBorder="1" applyAlignment="1">
      <alignment horizontal="center" vertical="center" wrapText="1"/>
    </xf>
    <xf numFmtId="0" fontId="1" fillId="0" borderId="63" xfId="0" applyFont="1" applyBorder="1" applyAlignment="1">
      <alignment horizontal="center" vertical="center" wrapText="1"/>
    </xf>
    <xf numFmtId="0" fontId="1" fillId="0" borderId="59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textRotation="90" wrapText="1"/>
    </xf>
    <xf numFmtId="0" fontId="1" fillId="0" borderId="38" xfId="0" applyFont="1" applyBorder="1" applyAlignment="1">
      <alignment horizontal="center" vertical="center" textRotation="90" wrapText="1"/>
    </xf>
    <xf numFmtId="0" fontId="3" fillId="0" borderId="3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63" xfId="1" applyFont="1" applyBorder="1" applyAlignment="1">
      <alignment horizontal="center" vertical="center" wrapText="1"/>
    </xf>
    <xf numFmtId="0" fontId="1" fillId="0" borderId="50" xfId="1" applyFont="1" applyBorder="1" applyAlignment="1">
      <alignment horizontal="center" vertical="center" wrapText="1"/>
    </xf>
    <xf numFmtId="0" fontId="1" fillId="0" borderId="53" xfId="1" applyFont="1" applyBorder="1" applyAlignment="1">
      <alignment horizontal="center" vertical="center" wrapText="1"/>
    </xf>
    <xf numFmtId="14" fontId="79" fillId="0" borderId="0" xfId="0" applyNumberFormat="1" applyFont="1" applyAlignment="1">
      <alignment horizontal="center" vertical="center"/>
    </xf>
    <xf numFmtId="1" fontId="1" fillId="0" borderId="31" xfId="0" applyNumberFormat="1" applyFont="1" applyBorder="1" applyAlignment="1">
      <alignment horizontal="center" vertical="center" textRotation="90" wrapText="1"/>
    </xf>
    <xf numFmtId="0" fontId="1" fillId="0" borderId="32" xfId="0" applyFont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2" fontId="1" fillId="0" borderId="31" xfId="0" applyNumberFormat="1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23" fillId="0" borderId="35" xfId="0" applyFont="1" applyBorder="1" applyAlignment="1">
      <alignment horizontal="center" vertical="center" textRotation="90" wrapText="1"/>
    </xf>
    <xf numFmtId="0" fontId="23" fillId="0" borderId="18" xfId="0" applyFont="1" applyBorder="1" applyAlignment="1">
      <alignment horizontal="center" vertical="center" textRotation="90" wrapText="1"/>
    </xf>
    <xf numFmtId="0" fontId="23" fillId="0" borderId="67" xfId="0" applyFont="1" applyBorder="1" applyAlignment="1">
      <alignment horizontal="center" vertical="center" textRotation="90" wrapText="1"/>
    </xf>
    <xf numFmtId="0" fontId="23" fillId="0" borderId="35" xfId="1" applyFont="1" applyBorder="1" applyAlignment="1">
      <alignment horizontal="center" vertical="center" wrapText="1"/>
    </xf>
    <xf numFmtId="0" fontId="23" fillId="0" borderId="18" xfId="1" applyFont="1" applyBorder="1" applyAlignment="1">
      <alignment horizontal="center" vertical="center" wrapText="1"/>
    </xf>
    <xf numFmtId="0" fontId="23" fillId="0" borderId="67" xfId="1" applyFont="1" applyBorder="1" applyAlignment="1">
      <alignment horizontal="center" vertical="center" wrapText="1"/>
    </xf>
    <xf numFmtId="0" fontId="23" fillId="0" borderId="63" xfId="1" applyFont="1" applyBorder="1" applyAlignment="1">
      <alignment horizontal="center" vertical="center" wrapText="1"/>
    </xf>
    <xf numFmtId="0" fontId="23" fillId="0" borderId="50" xfId="1" applyFont="1" applyBorder="1" applyAlignment="1">
      <alignment horizontal="center" vertical="center" wrapText="1"/>
    </xf>
    <xf numFmtId="0" fontId="23" fillId="0" borderId="43" xfId="1" applyFont="1" applyBorder="1" applyAlignment="1">
      <alignment horizontal="center" vertical="center" textRotation="90" wrapText="1"/>
    </xf>
    <xf numFmtId="0" fontId="23" fillId="0" borderId="51" xfId="1" applyFont="1" applyBorder="1" applyAlignment="1">
      <alignment horizontal="center" vertical="center" textRotation="90" wrapText="1"/>
    </xf>
    <xf numFmtId="0" fontId="23" fillId="3" borderId="19" xfId="0" applyFont="1" applyFill="1" applyBorder="1" applyAlignment="1">
      <alignment horizontal="center" vertical="center" wrapText="1"/>
    </xf>
    <xf numFmtId="0" fontId="23" fillId="3" borderId="20" xfId="0" applyFont="1" applyFill="1" applyBorder="1" applyAlignment="1">
      <alignment horizontal="center" vertical="center" wrapText="1"/>
    </xf>
    <xf numFmtId="1" fontId="26" fillId="0" borderId="31" xfId="0" applyNumberFormat="1" applyFont="1" applyBorder="1" applyAlignment="1">
      <alignment horizontal="center" vertical="center" wrapText="1"/>
    </xf>
    <xf numFmtId="1" fontId="26" fillId="0" borderId="20" xfId="0" applyNumberFormat="1" applyFont="1" applyBorder="1" applyAlignment="1">
      <alignment horizontal="center" vertical="center" wrapText="1"/>
    </xf>
    <xf numFmtId="0" fontId="23" fillId="0" borderId="31" xfId="0" applyFont="1" applyBorder="1" applyAlignment="1">
      <alignment horizontal="center" vertical="center"/>
    </xf>
    <xf numFmtId="1" fontId="26" fillId="0" borderId="19" xfId="0" applyNumberFormat="1" applyFont="1" applyBorder="1" applyAlignment="1">
      <alignment horizontal="center" vertical="center" wrapText="1"/>
    </xf>
    <xf numFmtId="1" fontId="26" fillId="0" borderId="32" xfId="0" applyNumberFormat="1" applyFont="1" applyBorder="1" applyAlignment="1">
      <alignment horizontal="center" vertical="center" wrapText="1"/>
    </xf>
    <xf numFmtId="2" fontId="23" fillId="0" borderId="31" xfId="0" applyNumberFormat="1" applyFont="1" applyBorder="1" applyAlignment="1">
      <alignment horizontal="center" vertical="center" wrapText="1"/>
    </xf>
    <xf numFmtId="0" fontId="23" fillId="0" borderId="32" xfId="0" applyFont="1" applyBorder="1" applyAlignment="1">
      <alignment horizontal="center" vertical="center" wrapText="1"/>
    </xf>
    <xf numFmtId="0" fontId="23" fillId="0" borderId="57" xfId="0" applyFont="1" applyBorder="1" applyAlignment="1">
      <alignment horizontal="center" vertical="center" wrapText="1"/>
    </xf>
    <xf numFmtId="1" fontId="23" fillId="0" borderId="32" xfId="0" applyNumberFormat="1" applyFont="1" applyBorder="1" applyAlignment="1">
      <alignment horizontal="center" vertical="center" textRotation="90" wrapText="1"/>
    </xf>
    <xf numFmtId="1" fontId="23" fillId="0" borderId="8" xfId="0" applyNumberFormat="1" applyFont="1" applyBorder="1" applyAlignment="1">
      <alignment horizontal="center" vertical="center" textRotation="90" wrapText="1"/>
    </xf>
    <xf numFmtId="1" fontId="23" fillId="0" borderId="31" xfId="0" applyNumberFormat="1" applyFont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textRotation="90" wrapText="1"/>
    </xf>
    <xf numFmtId="0" fontId="23" fillId="0" borderId="36" xfId="0" applyFont="1" applyBorder="1" applyAlignment="1">
      <alignment horizontal="center" vertical="center" textRotation="90" wrapText="1"/>
    </xf>
    <xf numFmtId="0" fontId="23" fillId="0" borderId="38" xfId="0" applyFont="1" applyBorder="1" applyAlignment="1">
      <alignment horizontal="center" vertical="center" textRotation="90" wrapText="1"/>
    </xf>
    <xf numFmtId="0" fontId="26" fillId="0" borderId="31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1" fontId="23" fillId="0" borderId="31" xfId="0" applyNumberFormat="1" applyFont="1" applyBorder="1" applyAlignment="1">
      <alignment horizontal="center" vertical="center" textRotation="90" wrapText="1"/>
    </xf>
    <xf numFmtId="1" fontId="23" fillId="0" borderId="1" xfId="0" applyNumberFormat="1" applyFont="1" applyBorder="1" applyAlignment="1">
      <alignment horizontal="center" vertical="center" textRotation="90" wrapText="1"/>
    </xf>
    <xf numFmtId="0" fontId="23" fillId="0" borderId="40" xfId="0" applyFont="1" applyBorder="1" applyAlignment="1">
      <alignment horizontal="center" vertical="center" wrapText="1"/>
    </xf>
    <xf numFmtId="0" fontId="23" fillId="0" borderId="48" xfId="0" applyFont="1" applyBorder="1" applyAlignment="1">
      <alignment horizontal="center" vertical="center" wrapText="1"/>
    </xf>
    <xf numFmtId="0" fontId="23" fillId="0" borderId="62" xfId="0" applyFont="1" applyBorder="1" applyAlignment="1">
      <alignment horizontal="center" vertical="center" wrapText="1"/>
    </xf>
    <xf numFmtId="0" fontId="23" fillId="0" borderId="63" xfId="0" applyFont="1" applyBorder="1" applyAlignment="1">
      <alignment horizontal="center" vertical="center" wrapText="1"/>
    </xf>
    <xf numFmtId="0" fontId="23" fillId="0" borderId="59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31" xfId="0" applyFont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0" fontId="23" fillId="0" borderId="38" xfId="0" applyFont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textRotation="90"/>
    </xf>
    <xf numFmtId="0" fontId="23" fillId="0" borderId="2" xfId="0" applyFont="1" applyBorder="1" applyAlignment="1">
      <alignment horizontal="center" vertical="center" textRotation="90"/>
    </xf>
    <xf numFmtId="0" fontId="23" fillId="0" borderId="40" xfId="1" applyFont="1" applyBorder="1" applyAlignment="1">
      <alignment horizontal="center" vertical="center" wrapText="1"/>
    </xf>
    <xf numFmtId="0" fontId="23" fillId="0" borderId="48" xfId="1" applyFont="1" applyBorder="1" applyAlignment="1">
      <alignment horizontal="center" vertical="center" wrapText="1"/>
    </xf>
    <xf numFmtId="0" fontId="40" fillId="5" borderId="28" xfId="1" applyFont="1" applyFill="1" applyBorder="1" applyAlignment="1">
      <alignment horizontal="center" vertical="center" wrapText="1"/>
    </xf>
    <xf numFmtId="0" fontId="40" fillId="5" borderId="38" xfId="1" applyFont="1" applyFill="1" applyBorder="1" applyAlignment="1">
      <alignment horizontal="center" vertical="center" wrapText="1"/>
    </xf>
    <xf numFmtId="0" fontId="40" fillId="0" borderId="28" xfId="1" applyFont="1" applyBorder="1" applyAlignment="1">
      <alignment horizontal="center" vertical="center" wrapText="1"/>
    </xf>
    <xf numFmtId="0" fontId="40" fillId="0" borderId="2" xfId="1" applyFont="1" applyBorder="1" applyAlignment="1">
      <alignment horizontal="center" vertical="center" wrapText="1"/>
    </xf>
    <xf numFmtId="0" fontId="40" fillId="5" borderId="33" xfId="1" applyFont="1" applyFill="1" applyBorder="1" applyAlignment="1">
      <alignment horizontal="center" vertical="center" wrapText="1"/>
    </xf>
    <xf numFmtId="0" fontId="40" fillId="5" borderId="2" xfId="1" applyFont="1" applyFill="1" applyBorder="1" applyAlignment="1">
      <alignment horizontal="center" vertical="center" wrapText="1"/>
    </xf>
    <xf numFmtId="0" fontId="40" fillId="0" borderId="33" xfId="1" applyFont="1" applyBorder="1" applyAlignment="1">
      <alignment horizontal="center" vertical="center" wrapText="1"/>
    </xf>
    <xf numFmtId="0" fontId="40" fillId="0" borderId="38" xfId="1" applyFont="1" applyBorder="1" applyAlignment="1">
      <alignment horizontal="center" vertical="center" wrapText="1"/>
    </xf>
    <xf numFmtId="1" fontId="41" fillId="0" borderId="20" xfId="0" applyNumberFormat="1" applyFont="1" applyBorder="1" applyAlignment="1">
      <alignment horizontal="center" vertical="center" wrapText="1"/>
    </xf>
    <xf numFmtId="0" fontId="41" fillId="0" borderId="65" xfId="1" applyFont="1" applyBorder="1" applyAlignment="1">
      <alignment horizontal="center" vertical="center" wrapText="1"/>
    </xf>
    <xf numFmtId="0" fontId="41" fillId="0" borderId="42" xfId="1" applyFont="1" applyBorder="1" applyAlignment="1">
      <alignment horizontal="center" vertical="center" wrapText="1"/>
    </xf>
    <xf numFmtId="0" fontId="41" fillId="5" borderId="61" xfId="1" applyFont="1" applyFill="1" applyBorder="1" applyAlignment="1">
      <alignment horizontal="center" vertical="center" wrapText="1"/>
    </xf>
    <xf numFmtId="0" fontId="41" fillId="5" borderId="65" xfId="1" applyFont="1" applyFill="1" applyBorder="1" applyAlignment="1">
      <alignment horizontal="center" vertical="center" wrapText="1"/>
    </xf>
    <xf numFmtId="0" fontId="41" fillId="5" borderId="42" xfId="1" applyFont="1" applyFill="1" applyBorder="1" applyAlignment="1">
      <alignment horizontal="center" vertical="center" wrapText="1"/>
    </xf>
    <xf numFmtId="0" fontId="41" fillId="5" borderId="74" xfId="1" applyFont="1" applyFill="1" applyBorder="1" applyAlignment="1">
      <alignment horizontal="center" vertical="center" wrapText="1"/>
    </xf>
    <xf numFmtId="0" fontId="40" fillId="0" borderId="37" xfId="1" applyFont="1" applyBorder="1" applyAlignment="1">
      <alignment horizontal="center" vertical="center" wrapText="1"/>
    </xf>
    <xf numFmtId="0" fontId="40" fillId="0" borderId="22" xfId="1" applyFont="1" applyBorder="1" applyAlignment="1">
      <alignment horizontal="center" vertical="center" wrapText="1"/>
    </xf>
    <xf numFmtId="0" fontId="40" fillId="0" borderId="21" xfId="1" applyFont="1" applyBorder="1" applyAlignment="1">
      <alignment horizontal="center" vertical="center"/>
    </xf>
    <xf numFmtId="0" fontId="40" fillId="0" borderId="34" xfId="1" applyFont="1" applyBorder="1" applyAlignment="1">
      <alignment horizontal="center" vertical="center"/>
    </xf>
    <xf numFmtId="0" fontId="40" fillId="5" borderId="22" xfId="1" applyFont="1" applyFill="1" applyBorder="1" applyAlignment="1">
      <alignment horizontal="center" vertical="center" wrapText="1"/>
    </xf>
    <xf numFmtId="0" fontId="40" fillId="5" borderId="26" xfId="1" applyFont="1" applyFill="1" applyBorder="1" applyAlignment="1">
      <alignment horizontal="center" vertical="center" wrapText="1"/>
    </xf>
    <xf numFmtId="0" fontId="40" fillId="5" borderId="37" xfId="1" applyFont="1" applyFill="1" applyBorder="1" applyAlignment="1">
      <alignment horizontal="center" vertical="center" wrapText="1"/>
    </xf>
    <xf numFmtId="0" fontId="40" fillId="7" borderId="28" xfId="1" applyFont="1" applyFill="1" applyBorder="1" applyAlignment="1">
      <alignment horizontal="center" vertical="center" wrapText="1"/>
    </xf>
    <xf numFmtId="0" fontId="40" fillId="7" borderId="2" xfId="1" applyFont="1" applyFill="1" applyBorder="1" applyAlignment="1">
      <alignment horizontal="center" vertical="center" wrapText="1"/>
    </xf>
    <xf numFmtId="0" fontId="40" fillId="7" borderId="33" xfId="1" applyFont="1" applyFill="1" applyBorder="1" applyAlignment="1">
      <alignment horizontal="center" vertical="center" wrapText="1"/>
    </xf>
    <xf numFmtId="0" fontId="40" fillId="8" borderId="33" xfId="1" applyFont="1" applyFill="1" applyBorder="1" applyAlignment="1">
      <alignment horizontal="center" vertical="center" wrapText="1"/>
    </xf>
    <xf numFmtId="0" fontId="40" fillId="8" borderId="2" xfId="1" applyFont="1" applyFill="1" applyBorder="1" applyAlignment="1">
      <alignment horizontal="center" vertical="center" wrapText="1"/>
    </xf>
    <xf numFmtId="0" fontId="40" fillId="8" borderId="28" xfId="1" applyFont="1" applyFill="1" applyBorder="1" applyAlignment="1">
      <alignment horizontal="center" vertical="center" wrapText="1"/>
    </xf>
    <xf numFmtId="0" fontId="40" fillId="7" borderId="38" xfId="1" applyFont="1" applyFill="1" applyBorder="1" applyAlignment="1">
      <alignment horizontal="center" vertical="center" wrapText="1"/>
    </xf>
    <xf numFmtId="0" fontId="40" fillId="0" borderId="36" xfId="1" applyFont="1" applyBorder="1" applyAlignment="1">
      <alignment horizontal="center" vertical="center" wrapText="1"/>
    </xf>
    <xf numFmtId="0" fontId="40" fillId="0" borderId="67" xfId="1" applyFont="1" applyBorder="1" applyAlignment="1">
      <alignment horizontal="center" vertical="center"/>
    </xf>
    <xf numFmtId="0" fontId="41" fillId="8" borderId="42" xfId="1" applyFont="1" applyFill="1" applyBorder="1" applyAlignment="1">
      <alignment horizontal="center" vertical="center" wrapText="1"/>
    </xf>
    <xf numFmtId="0" fontId="41" fillId="8" borderId="74" xfId="1" applyFont="1" applyFill="1" applyBorder="1" applyAlignment="1">
      <alignment horizontal="center" vertical="center" wrapText="1"/>
    </xf>
    <xf numFmtId="0" fontId="40" fillId="8" borderId="22" xfId="1" applyFont="1" applyFill="1" applyBorder="1" applyAlignment="1">
      <alignment horizontal="center" vertical="center" wrapText="1"/>
    </xf>
    <xf numFmtId="0" fontId="40" fillId="8" borderId="26" xfId="1" applyFont="1" applyFill="1" applyBorder="1" applyAlignment="1">
      <alignment horizontal="center" vertical="center" wrapText="1"/>
    </xf>
    <xf numFmtId="0" fontId="40" fillId="8" borderId="38" xfId="1" applyFont="1" applyFill="1" applyBorder="1" applyAlignment="1">
      <alignment horizontal="center" vertical="center" wrapText="1"/>
    </xf>
    <xf numFmtId="0" fontId="41" fillId="7" borderId="42" xfId="1" applyFont="1" applyFill="1" applyBorder="1" applyAlignment="1">
      <alignment horizontal="center" vertical="center" wrapText="1"/>
    </xf>
    <xf numFmtId="0" fontId="41" fillId="7" borderId="74" xfId="1" applyFont="1" applyFill="1" applyBorder="1" applyAlignment="1">
      <alignment horizontal="center" vertical="center" wrapText="1"/>
    </xf>
    <xf numFmtId="0" fontId="40" fillId="7" borderId="22" xfId="1" applyFont="1" applyFill="1" applyBorder="1" applyAlignment="1">
      <alignment horizontal="center" vertical="center" wrapText="1"/>
    </xf>
    <xf numFmtId="0" fontId="40" fillId="7" borderId="26" xfId="1" applyFont="1" applyFill="1" applyBorder="1" applyAlignment="1">
      <alignment horizontal="center" vertical="center" wrapText="1"/>
    </xf>
    <xf numFmtId="0" fontId="41" fillId="8" borderId="61" xfId="1" applyFont="1" applyFill="1" applyBorder="1" applyAlignment="1">
      <alignment horizontal="center" vertical="center" wrapText="1"/>
    </xf>
    <xf numFmtId="0" fontId="41" fillId="8" borderId="65" xfId="1" applyFont="1" applyFill="1" applyBorder="1" applyAlignment="1">
      <alignment horizontal="center" vertical="center" wrapText="1"/>
    </xf>
    <xf numFmtId="0" fontId="40" fillId="8" borderId="37" xfId="1" applyFont="1" applyFill="1" applyBorder="1" applyAlignment="1">
      <alignment horizontal="center" vertical="center" wrapText="1"/>
    </xf>
    <xf numFmtId="0" fontId="41" fillId="7" borderId="61" xfId="1" applyFont="1" applyFill="1" applyBorder="1" applyAlignment="1">
      <alignment horizontal="center" vertical="center" wrapText="1"/>
    </xf>
    <xf numFmtId="0" fontId="41" fillId="7" borderId="65" xfId="1" applyFont="1" applyFill="1" applyBorder="1" applyAlignment="1">
      <alignment horizontal="center" vertical="center" wrapText="1"/>
    </xf>
    <xf numFmtId="0" fontId="40" fillId="7" borderId="37" xfId="1" applyFont="1" applyFill="1" applyBorder="1" applyAlignment="1">
      <alignment horizontal="center" vertical="center" wrapText="1"/>
    </xf>
    <xf numFmtId="0" fontId="41" fillId="0" borderId="60" xfId="1" applyFont="1" applyBorder="1" applyAlignment="1">
      <alignment horizontal="center" vertical="center" wrapText="1"/>
    </xf>
    <xf numFmtId="0" fontId="41" fillId="0" borderId="59" xfId="1" applyFont="1" applyBorder="1" applyAlignment="1">
      <alignment horizontal="center" vertical="center" wrapText="1"/>
    </xf>
    <xf numFmtId="0" fontId="41" fillId="0" borderId="39" xfId="1" applyFont="1" applyBorder="1" applyAlignment="1">
      <alignment horizontal="center" vertical="center" wrapText="1"/>
    </xf>
    <xf numFmtId="0" fontId="40" fillId="0" borderId="26" xfId="1" applyFont="1" applyBorder="1" applyAlignment="1">
      <alignment horizontal="center" vertical="center" wrapText="1"/>
    </xf>
    <xf numFmtId="0" fontId="41" fillId="3" borderId="30" xfId="0" applyFont="1" applyFill="1" applyBorder="1" applyAlignment="1">
      <alignment horizontal="center" vertical="center" wrapText="1"/>
    </xf>
    <xf numFmtId="0" fontId="41" fillId="3" borderId="32" xfId="0" applyFont="1" applyFill="1" applyBorder="1" applyAlignment="1">
      <alignment horizontal="center" vertical="center" wrapText="1"/>
    </xf>
    <xf numFmtId="1" fontId="41" fillId="0" borderId="19" xfId="0" applyNumberFormat="1" applyFont="1" applyBorder="1" applyAlignment="1">
      <alignment horizontal="center" vertical="center" wrapText="1"/>
    </xf>
    <xf numFmtId="0" fontId="41" fillId="0" borderId="0" xfId="1" applyFont="1" applyAlignment="1">
      <alignment horizontal="center" vertical="center" wrapText="1"/>
    </xf>
    <xf numFmtId="0" fontId="41" fillId="0" borderId="62" xfId="1" applyFont="1" applyBorder="1" applyAlignment="1">
      <alignment horizontal="center" vertical="center" wrapText="1"/>
    </xf>
    <xf numFmtId="0" fontId="41" fillId="0" borderId="48" xfId="1" applyFont="1" applyBorder="1" applyAlignment="1">
      <alignment horizontal="center" vertical="center" wrapText="1"/>
    </xf>
    <xf numFmtId="0" fontId="41" fillId="0" borderId="49" xfId="0" applyFont="1" applyBorder="1" applyAlignment="1">
      <alignment horizontal="center" vertical="center" wrapText="1"/>
    </xf>
    <xf numFmtId="0" fontId="40" fillId="0" borderId="49" xfId="1" applyFont="1" applyBorder="1" applyAlignment="1">
      <alignment horizontal="center" vertical="center" wrapText="1"/>
    </xf>
    <xf numFmtId="0" fontId="40" fillId="0" borderId="66" xfId="1" applyFont="1" applyBorder="1" applyAlignment="1">
      <alignment horizontal="center" vertical="center" wrapText="1"/>
    </xf>
    <xf numFmtId="0" fontId="76" fillId="25" borderId="22" xfId="1" applyFont="1" applyFill="1" applyBorder="1" applyAlignment="1">
      <alignment horizontal="center" vertical="center" wrapText="1"/>
    </xf>
    <xf numFmtId="0" fontId="41" fillId="0" borderId="35" xfId="1" applyFont="1" applyBorder="1" applyAlignment="1">
      <alignment horizontal="center" vertical="center" textRotation="90" wrapText="1"/>
    </xf>
    <xf numFmtId="0" fontId="41" fillId="0" borderId="18" xfId="1" applyFont="1" applyBorder="1" applyAlignment="1">
      <alignment horizontal="center" vertical="center" textRotation="90" wrapText="1"/>
    </xf>
    <xf numFmtId="0" fontId="41" fillId="0" borderId="40" xfId="1" applyFont="1" applyBorder="1" applyAlignment="1">
      <alignment horizontal="center" vertical="center" wrapText="1"/>
    </xf>
    <xf numFmtId="0" fontId="41" fillId="0" borderId="65" xfId="0" applyFont="1" applyBorder="1" applyAlignment="1">
      <alignment horizontal="center" vertical="center" wrapText="1"/>
    </xf>
    <xf numFmtId="0" fontId="40" fillId="0" borderId="69" xfId="1" applyFont="1" applyBorder="1" applyAlignment="1">
      <alignment horizontal="center" vertical="center" wrapText="1"/>
    </xf>
    <xf numFmtId="0" fontId="41" fillId="15" borderId="22" xfId="0" applyFont="1" applyFill="1" applyBorder="1" applyAlignment="1">
      <alignment horizontal="center" vertical="center"/>
    </xf>
    <xf numFmtId="0" fontId="40" fillId="0" borderId="48" xfId="1" applyFont="1" applyBorder="1" applyAlignment="1">
      <alignment horizontal="center" vertical="center" wrapText="1"/>
    </xf>
    <xf numFmtId="0" fontId="41" fillId="15" borderId="22" xfId="1" applyFont="1" applyFill="1" applyBorder="1" applyAlignment="1">
      <alignment horizontal="center" vertical="center" wrapText="1"/>
    </xf>
    <xf numFmtId="0" fontId="40" fillId="15" borderId="22" xfId="1" applyFont="1" applyFill="1" applyBorder="1" applyAlignment="1">
      <alignment horizontal="center" vertical="center" wrapText="1"/>
    </xf>
    <xf numFmtId="0" fontId="40" fillId="15" borderId="66" xfId="1" applyFont="1" applyFill="1" applyBorder="1" applyAlignment="1">
      <alignment horizontal="center" vertical="center" wrapText="1"/>
    </xf>
    <xf numFmtId="0" fontId="41" fillId="0" borderId="77" xfId="1" applyFont="1" applyBorder="1" applyAlignment="1">
      <alignment horizontal="center" vertical="center" wrapText="1"/>
    </xf>
    <xf numFmtId="0" fontId="41" fillId="0" borderId="55" xfId="1" applyFont="1" applyBorder="1" applyAlignment="1">
      <alignment horizontal="center" vertical="center" wrapText="1"/>
    </xf>
    <xf numFmtId="1" fontId="41" fillId="0" borderId="30" xfId="0" applyNumberFormat="1" applyFont="1" applyBorder="1" applyAlignment="1">
      <alignment horizontal="center" vertical="center" wrapText="1"/>
    </xf>
    <xf numFmtId="0" fontId="41" fillId="0" borderId="61" xfId="0" applyFont="1" applyBorder="1" applyAlignment="1">
      <alignment horizontal="center" vertical="center" textRotation="90" wrapText="1"/>
    </xf>
    <xf numFmtId="0" fontId="41" fillId="0" borderId="58" xfId="0" applyFont="1" applyBorder="1" applyAlignment="1">
      <alignment horizontal="center" vertical="center" textRotation="90" wrapText="1"/>
    </xf>
    <xf numFmtId="0" fontId="41" fillId="0" borderId="74" xfId="0" applyFont="1" applyBorder="1" applyAlignment="1">
      <alignment horizontal="center" vertical="center" textRotation="90" wrapText="1"/>
    </xf>
    <xf numFmtId="0" fontId="41" fillId="0" borderId="24" xfId="1" applyFont="1" applyBorder="1" applyAlignment="1">
      <alignment horizontal="center" vertical="center" textRotation="90" wrapText="1"/>
    </xf>
    <xf numFmtId="0" fontId="41" fillId="0" borderId="17" xfId="1" applyFont="1" applyBorder="1" applyAlignment="1">
      <alignment horizontal="center" vertical="center" textRotation="90" wrapText="1"/>
    </xf>
    <xf numFmtId="0" fontId="41" fillId="0" borderId="46" xfId="1" applyFont="1" applyBorder="1" applyAlignment="1">
      <alignment horizontal="center" vertical="center" textRotation="90" wrapText="1"/>
    </xf>
    <xf numFmtId="0" fontId="41" fillId="0" borderId="25" xfId="1" applyFont="1" applyBorder="1" applyAlignment="1">
      <alignment horizontal="center" vertical="center" wrapText="1"/>
    </xf>
    <xf numFmtId="0" fontId="41" fillId="0" borderId="45" xfId="1" applyFont="1" applyBorder="1" applyAlignment="1">
      <alignment horizontal="center" vertical="center" wrapText="1"/>
    </xf>
    <xf numFmtId="0" fontId="41" fillId="0" borderId="47" xfId="1" applyFont="1" applyBorder="1" applyAlignment="1">
      <alignment horizontal="center" vertical="center" wrapText="1"/>
    </xf>
    <xf numFmtId="0" fontId="40" fillId="0" borderId="25" xfId="1" applyFont="1" applyBorder="1" applyAlignment="1">
      <alignment horizontal="center" vertical="center" wrapText="1"/>
    </xf>
    <xf numFmtId="0" fontId="40" fillId="0" borderId="13" xfId="1" applyFont="1" applyBorder="1" applyAlignment="1">
      <alignment horizontal="center" vertical="center" wrapText="1"/>
    </xf>
    <xf numFmtId="0" fontId="40" fillId="0" borderId="23" xfId="1" applyFont="1" applyBorder="1" applyAlignment="1">
      <alignment horizontal="center" vertical="center" wrapText="1"/>
    </xf>
    <xf numFmtId="0" fontId="40" fillId="0" borderId="47" xfId="1" applyFont="1" applyBorder="1" applyAlignment="1">
      <alignment horizontal="center" vertical="center" wrapText="1"/>
    </xf>
    <xf numFmtId="0" fontId="40" fillId="5" borderId="25" xfId="1" applyFont="1" applyFill="1" applyBorder="1" applyAlignment="1">
      <alignment horizontal="center" vertical="center" wrapText="1"/>
    </xf>
    <xf numFmtId="0" fontId="40" fillId="5" borderId="13" xfId="1" applyFont="1" applyFill="1" applyBorder="1" applyAlignment="1">
      <alignment horizontal="center" vertical="center" wrapText="1"/>
    </xf>
    <xf numFmtId="0" fontId="40" fillId="5" borderId="23" xfId="1" applyFont="1" applyFill="1" applyBorder="1" applyAlignment="1">
      <alignment horizontal="center" vertical="center" wrapText="1"/>
    </xf>
    <xf numFmtId="0" fontId="40" fillId="5" borderId="47" xfId="1" applyFont="1" applyFill="1" applyBorder="1" applyAlignment="1">
      <alignment horizontal="center" vertical="center" wrapText="1"/>
    </xf>
    <xf numFmtId="0" fontId="41" fillId="0" borderId="1" xfId="1" applyFont="1" applyBorder="1" applyAlignment="1">
      <alignment horizontal="center" vertical="center" wrapText="1"/>
    </xf>
    <xf numFmtId="0" fontId="40" fillId="0" borderId="1" xfId="1" applyFont="1" applyBorder="1" applyAlignment="1">
      <alignment horizontal="center" vertical="center" wrapText="1"/>
    </xf>
    <xf numFmtId="0" fontId="40" fillId="33" borderId="1" xfId="1" applyFont="1" applyFill="1" applyBorder="1" applyAlignment="1">
      <alignment horizontal="center" vertical="center" wrapText="1"/>
    </xf>
    <xf numFmtId="0" fontId="41" fillId="3" borderId="1" xfId="0" applyFont="1" applyFill="1" applyBorder="1" applyAlignment="1">
      <alignment horizontal="center" vertical="center" wrapText="1"/>
    </xf>
    <xf numFmtId="1" fontId="41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/>
    </xf>
    <xf numFmtId="0" fontId="41" fillId="0" borderId="1" xfId="0" applyFont="1" applyBorder="1" applyAlignment="1">
      <alignment horizontal="center" vertical="center" textRotation="90" wrapText="1"/>
    </xf>
    <xf numFmtId="0" fontId="41" fillId="0" borderId="1" xfId="1" applyFont="1" applyBorder="1" applyAlignment="1">
      <alignment horizontal="center" vertical="center" textRotation="90" wrapText="1"/>
    </xf>
  </cellXfs>
  <cellStyles count="2">
    <cellStyle name="Обычный" xfId="0" builtinId="0"/>
    <cellStyle name="Обычный_Лист2" xfId="1" xr:uid="{BE280710-2870-4020-BB84-37C05846C7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7262357414448694E-2"/>
          <c:y val="9.0403337969401955E-3"/>
          <c:w val="0.88973384030418301"/>
          <c:h val="0.96662030598052862"/>
        </c:manualLayout>
      </c:layout>
      <c:scatterChart>
        <c:scatterStyle val="smoothMarker"/>
        <c:varyColors val="0"/>
        <c:ser>
          <c:idx val="0"/>
          <c:order val="0"/>
          <c:xVal>
            <c:numRef>
              <c:f>'[1]Тайлаковская (2)'!$AO$18:$AO$26</c:f>
              <c:numCache>
                <c:formatCode>General</c:formatCode>
                <c:ptCount val="9"/>
                <c:pt idx="0">
                  <c:v>0</c:v>
                </c:pt>
                <c:pt idx="1">
                  <c:v>4.25</c:v>
                </c:pt>
                <c:pt idx="2">
                  <c:v>9.94</c:v>
                </c:pt>
                <c:pt idx="3">
                  <c:v>23.41</c:v>
                </c:pt>
                <c:pt idx="4">
                  <c:v>25.89</c:v>
                </c:pt>
                <c:pt idx="5">
                  <c:v>38.97</c:v>
                </c:pt>
                <c:pt idx="6">
                  <c:v>43.27</c:v>
                </c:pt>
              </c:numCache>
            </c:numRef>
          </c:xVal>
          <c:yVal>
            <c:numRef>
              <c:f>'[1]Тайлаковская (2)'!$AP$18:$AP$26</c:f>
              <c:numCache>
                <c:formatCode>General</c:formatCode>
                <c:ptCount val="9"/>
                <c:pt idx="0">
                  <c:v>3107</c:v>
                </c:pt>
                <c:pt idx="1">
                  <c:v>2478</c:v>
                </c:pt>
                <c:pt idx="2">
                  <c:v>1478</c:v>
                </c:pt>
                <c:pt idx="3">
                  <c:v>1149</c:v>
                </c:pt>
                <c:pt idx="4">
                  <c:v>936</c:v>
                </c:pt>
                <c:pt idx="5">
                  <c:v>828</c:v>
                </c:pt>
                <c:pt idx="6">
                  <c:v>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63-4DE2-9F92-F663B6A24E47}"/>
            </c:ext>
          </c:extLst>
        </c:ser>
        <c:ser>
          <c:idx val="1"/>
          <c:order val="1"/>
          <c:xVal>
            <c:numRef>
              <c:f>'[1]Тайлаковская (2)'!$AO$18:$AO$26</c:f>
              <c:numCache>
                <c:formatCode>General</c:formatCode>
                <c:ptCount val="9"/>
                <c:pt idx="0">
                  <c:v>0</c:v>
                </c:pt>
                <c:pt idx="1">
                  <c:v>4.25</c:v>
                </c:pt>
                <c:pt idx="2">
                  <c:v>9.94</c:v>
                </c:pt>
                <c:pt idx="3">
                  <c:v>23.41</c:v>
                </c:pt>
                <c:pt idx="4">
                  <c:v>25.89</c:v>
                </c:pt>
                <c:pt idx="5">
                  <c:v>38.97</c:v>
                </c:pt>
                <c:pt idx="6">
                  <c:v>43.27</c:v>
                </c:pt>
              </c:numCache>
            </c:numRef>
          </c:xVal>
          <c:yVal>
            <c:numRef>
              <c:f>'[1]Тайлаковская (2)'!$AQ$18:$AQ$26</c:f>
              <c:numCache>
                <c:formatCode>General</c:formatCode>
                <c:ptCount val="9"/>
                <c:pt idx="0">
                  <c:v>0</c:v>
                </c:pt>
                <c:pt idx="2">
                  <c:v>3179.7868683396359</c:v>
                </c:pt>
                <c:pt idx="3">
                  <c:v>3179.7868683396359</c:v>
                </c:pt>
                <c:pt idx="4">
                  <c:v>2871.3634020794193</c:v>
                </c:pt>
                <c:pt idx="5">
                  <c:v>2871.3634020794193</c:v>
                </c:pt>
                <c:pt idx="6">
                  <c:v>2772.512958485634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363-4DE2-9F92-F663B6A24E47}"/>
            </c:ext>
          </c:extLst>
        </c:ser>
        <c:ser>
          <c:idx val="2"/>
          <c:order val="2"/>
          <c:xVal>
            <c:numRef>
              <c:f>'[1]Тайлаковская (2)'!$AO$18:$AO$26</c:f>
              <c:numCache>
                <c:formatCode>General</c:formatCode>
                <c:ptCount val="9"/>
                <c:pt idx="0">
                  <c:v>0</c:v>
                </c:pt>
                <c:pt idx="1">
                  <c:v>4.25</c:v>
                </c:pt>
                <c:pt idx="2">
                  <c:v>9.94</c:v>
                </c:pt>
                <c:pt idx="3">
                  <c:v>23.41</c:v>
                </c:pt>
                <c:pt idx="4">
                  <c:v>25.89</c:v>
                </c:pt>
                <c:pt idx="5">
                  <c:v>38.97</c:v>
                </c:pt>
                <c:pt idx="6">
                  <c:v>43.27</c:v>
                </c:pt>
              </c:numCache>
            </c:numRef>
          </c:xVal>
          <c:yVal>
            <c:numRef>
              <c:f>'[1]Тайлаковская (2)'!$AR$18:$AR$26</c:f>
              <c:numCache>
                <c:formatCode>General</c:formatCode>
                <c:ptCount val="9"/>
                <c:pt idx="0">
                  <c:v>0</c:v>
                </c:pt>
                <c:pt idx="1">
                  <c:v>2478</c:v>
                </c:pt>
                <c:pt idx="2">
                  <c:v>1900</c:v>
                </c:pt>
                <c:pt idx="3">
                  <c:v>1900</c:v>
                </c:pt>
                <c:pt idx="4">
                  <c:v>1900</c:v>
                </c:pt>
                <c:pt idx="5">
                  <c:v>1900</c:v>
                </c:pt>
                <c:pt idx="6">
                  <c:v>1900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363-4DE2-9F92-F663B6A24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6986240"/>
        <c:axId val="1"/>
      </c:scatterChart>
      <c:valAx>
        <c:axId val="1686986240"/>
        <c:scaling>
          <c:orientation val="minMax"/>
        </c:scaling>
        <c:delete val="0"/>
        <c:axPos val="b"/>
        <c:majorGridlines/>
        <c:min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/>
        <c:min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686986240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7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381000</xdr:colOff>
      <xdr:row>8</xdr:row>
      <xdr:rowOff>333375</xdr:rowOff>
    </xdr:from>
    <xdr:to>
      <xdr:col>75</xdr:col>
      <xdr:colOff>495300</xdr:colOff>
      <xdr:row>27</xdr:row>
      <xdr:rowOff>0</xdr:rowOff>
    </xdr:to>
    <xdr:graphicFrame macro="">
      <xdr:nvGraphicFramePr>
        <xdr:cNvPr id="33126" name="Диаграмма 6">
          <a:extLst>
            <a:ext uri="{FF2B5EF4-FFF2-40B4-BE49-F238E27FC236}">
              <a16:creationId xmlns:a16="http://schemas.microsoft.com/office/drawing/2014/main" id="{FCEEE974-36B7-9FBA-DF35-152F6060A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1056;&#1047;&#1040;&#1080;&#1058;/0%20&#1059;&#1057;&#1058;&#1040;&#1042;&#1050;&#1048;%20&#1085;&#1077;%20&#1090;&#1088;&#1086;&#1075;&#1072;&#1090;&#1100;/&#1085;&#1072;&#1089;&#1090;&#1103;/1%20&#1056;&#1040;&#1057;&#1063;&#1045;&#1058;%20&#1059;&#1057;&#1058;&#1040;&#1042;&#1054;&#1050;/35%20&#1082;&#1042;/&#1051;&#1080;&#1085;&#1080;&#1080;%2035&#1082;&#1042;/110%20&#1058;&#1072;&#1081;&#1083;&#1072;&#1082;&#1086;&#1074;&#1089;&#1082;&#1072;&#1103;/&#1058;&#1086;&#1082;&#1080;%20&#1050;&#1047;%20&#1055;&#1057;%20110&#1082;&#1042;%20&#1058;&#1072;&#1081;&#1083;&#1072;&#1082;&#1086;&#1074;&#1089;&#1082;&#1072;&#1103;1.xls" TargetMode="External"/><Relationship Id="rId1" Type="http://schemas.openxmlformats.org/officeDocument/2006/relationships/externalLinkPath" Target="/&#1056;&#1047;&#1040;&#1080;&#1058;/0%20&#1059;&#1057;&#1058;&#1040;&#1042;&#1050;&#1048;%20&#1085;&#1077;%20&#1090;&#1088;&#1086;&#1075;&#1072;&#1090;&#1100;/&#1085;&#1072;&#1089;&#1090;&#1103;/1%20&#1056;&#1040;&#1057;&#1063;&#1045;&#1058;%20&#1059;&#1057;&#1058;&#1040;&#1042;&#1054;&#1050;/35%20&#1082;&#1042;/&#1051;&#1080;&#1085;&#1080;&#1080;%2035&#1082;&#1042;/110%20&#1058;&#1072;&#1081;&#1083;&#1072;&#1082;&#1086;&#1074;&#1089;&#1082;&#1072;&#1103;/&#1058;&#1086;&#1082;&#1080;%20&#1050;&#1047;%20&#1055;&#1057;%20110&#1082;&#1042;%20&#1058;&#1072;&#1081;&#1083;&#1072;&#1082;&#1086;&#1074;&#1089;&#1082;&#1072;&#1103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Тайлаковская"/>
      <sheetName val="Тайлаковская (2)"/>
    </sheetNames>
    <sheetDataSet>
      <sheetData sheetId="0"/>
      <sheetData sheetId="1">
        <row r="18">
          <cell r="AO18">
            <v>0</v>
          </cell>
          <cell r="AP18">
            <v>3107</v>
          </cell>
          <cell r="AQ18">
            <v>0</v>
          </cell>
          <cell r="AR18">
            <v>0</v>
          </cell>
        </row>
        <row r="19">
          <cell r="AO19">
            <v>4.25</v>
          </cell>
          <cell r="AP19">
            <v>2478</v>
          </cell>
          <cell r="AR19">
            <v>2478</v>
          </cell>
        </row>
        <row r="20">
          <cell r="AO20">
            <v>9.94</v>
          </cell>
          <cell r="AP20">
            <v>1478</v>
          </cell>
          <cell r="AQ20">
            <v>3179.7868683396359</v>
          </cell>
          <cell r="AR20">
            <v>1900</v>
          </cell>
        </row>
        <row r="21">
          <cell r="AO21">
            <v>23.41</v>
          </cell>
          <cell r="AP21">
            <v>1149</v>
          </cell>
          <cell r="AQ21">
            <v>3179.7868683396359</v>
          </cell>
          <cell r="AR21">
            <v>1900</v>
          </cell>
        </row>
        <row r="22">
          <cell r="AO22">
            <v>25.89</v>
          </cell>
          <cell r="AP22">
            <v>936</v>
          </cell>
          <cell r="AQ22">
            <v>2871.3634020794193</v>
          </cell>
          <cell r="AR22">
            <v>1900</v>
          </cell>
        </row>
        <row r="23">
          <cell r="AO23">
            <v>38.97</v>
          </cell>
          <cell r="AP23">
            <v>828</v>
          </cell>
          <cell r="AQ23">
            <v>2871.3634020794193</v>
          </cell>
          <cell r="AR23">
            <v>1900</v>
          </cell>
        </row>
        <row r="24">
          <cell r="AO24">
            <v>43.27</v>
          </cell>
          <cell r="AP24">
            <v>769</v>
          </cell>
          <cell r="AQ24">
            <v>2772.512958485634</v>
          </cell>
          <cell r="AR24">
            <v>1900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E6C58-71F8-45BA-A3DD-368209473FBC}">
  <sheetPr codeName="Лист1"/>
  <dimension ref="A1:AO128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H15" sqref="H15"/>
    </sheetView>
  </sheetViews>
  <sheetFormatPr defaultRowHeight="12.75" x14ac:dyDescent="0.2"/>
  <cols>
    <col min="1" max="1" width="10.85546875" style="100" customWidth="1"/>
    <col min="2" max="2" width="16.140625" style="185" customWidth="1"/>
    <col min="3" max="3" width="6.42578125" style="100" customWidth="1"/>
    <col min="4" max="4" width="5.140625" style="186" customWidth="1"/>
    <col min="5" max="5" width="3.140625" style="186" customWidth="1"/>
    <col min="6" max="6" width="15.85546875" style="100" customWidth="1"/>
    <col min="7" max="8" width="7" style="100" customWidth="1"/>
    <col min="9" max="10" width="5.5703125" style="188" customWidth="1"/>
    <col min="11" max="12" width="5.5703125" style="189" customWidth="1"/>
    <col min="13" max="13" width="5.5703125" style="189" hidden="1" customWidth="1"/>
    <col min="14" max="17" width="5.5703125" style="186" customWidth="1"/>
    <col min="18" max="19" width="6.7109375" style="100" customWidth="1"/>
    <col min="20" max="21" width="6.7109375" style="190" customWidth="1"/>
    <col min="22" max="22" width="3.5703125" style="186" customWidth="1"/>
    <col min="23" max="23" width="16" style="100" customWidth="1"/>
    <col min="24" max="24" width="5.7109375" style="1246" customWidth="1"/>
    <col min="25" max="25" width="7.42578125" style="100" customWidth="1"/>
    <col min="26" max="27" width="5.85546875" style="100" customWidth="1"/>
    <col min="28" max="28" width="6" style="1246" customWidth="1"/>
    <col min="29" max="29" width="11.42578125" style="100" hidden="1" customWidth="1"/>
    <col min="30" max="30" width="6" style="186" hidden="1" customWidth="1"/>
    <col min="31" max="31" width="6" style="100" customWidth="1"/>
    <col min="32" max="35" width="6.7109375" style="100" customWidth="1"/>
    <col min="36" max="37" width="6.7109375" style="190" customWidth="1"/>
    <col min="38" max="38" width="6.7109375" style="191" customWidth="1"/>
    <col min="39" max="41" width="6.7109375" style="190" customWidth="1"/>
    <col min="42" max="16384" width="9.140625" style="100"/>
  </cols>
  <sheetData>
    <row r="1" spans="1:41" ht="36.75" customHeight="1" thickBot="1" x14ac:dyDescent="0.25">
      <c r="A1" s="2302" t="s">
        <v>338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  <c r="AN1" s="2302"/>
      <c r="AO1" s="2302"/>
    </row>
    <row r="2" spans="1:41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1"/>
      <c r="N2" s="2321"/>
      <c r="O2" s="2322"/>
      <c r="P2" s="2323" t="s">
        <v>8</v>
      </c>
      <c r="Q2" s="2324"/>
      <c r="R2" s="2327" t="s">
        <v>609</v>
      </c>
      <c r="S2" s="2327"/>
      <c r="T2" s="2328" t="s">
        <v>388</v>
      </c>
      <c r="U2" s="2329"/>
      <c r="V2" s="2330" t="s">
        <v>9</v>
      </c>
      <c r="W2" s="2333" t="s">
        <v>10</v>
      </c>
      <c r="X2" s="2336" t="s">
        <v>12</v>
      </c>
      <c r="Y2" s="2338" t="s">
        <v>13</v>
      </c>
      <c r="Z2" s="2341" t="s">
        <v>335</v>
      </c>
      <c r="AA2" s="2341" t="s">
        <v>336</v>
      </c>
      <c r="AB2" s="2343" t="s">
        <v>16</v>
      </c>
      <c r="AC2" s="2341" t="s">
        <v>17</v>
      </c>
      <c r="AD2" s="2341" t="s">
        <v>18</v>
      </c>
      <c r="AE2" s="2345" t="s">
        <v>19</v>
      </c>
      <c r="AF2" s="2321" t="s">
        <v>386</v>
      </c>
      <c r="AG2" s="2321"/>
      <c r="AH2" s="2347" t="s">
        <v>387</v>
      </c>
      <c r="AI2" s="2348"/>
      <c r="AJ2" s="2349" t="s">
        <v>382</v>
      </c>
      <c r="AK2" s="2350"/>
      <c r="AL2" s="2351" t="s">
        <v>20</v>
      </c>
      <c r="AM2" s="2351" t="s">
        <v>21</v>
      </c>
      <c r="AN2" s="2349" t="s">
        <v>383</v>
      </c>
      <c r="AO2" s="2353"/>
    </row>
    <row r="3" spans="1:41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322" t="s">
        <v>24</v>
      </c>
      <c r="J3" s="323" t="s">
        <v>25</v>
      </c>
      <c r="K3" s="324" t="s">
        <v>26</v>
      </c>
      <c r="L3" s="323" t="s">
        <v>198</v>
      </c>
      <c r="M3" s="324" t="s">
        <v>26</v>
      </c>
      <c r="N3" s="324" t="s">
        <v>27</v>
      </c>
      <c r="O3" s="325" t="s">
        <v>28</v>
      </c>
      <c r="P3" s="2325"/>
      <c r="Q3" s="2326"/>
      <c r="R3" s="104" t="s">
        <v>216</v>
      </c>
      <c r="S3" s="104" t="s">
        <v>217</v>
      </c>
      <c r="T3" s="105" t="s">
        <v>218</v>
      </c>
      <c r="U3" s="110" t="s">
        <v>219</v>
      </c>
      <c r="V3" s="2331"/>
      <c r="W3" s="2334"/>
      <c r="X3" s="2337"/>
      <c r="Y3" s="2339"/>
      <c r="Z3" s="2342"/>
      <c r="AA3" s="2342"/>
      <c r="AB3" s="2344"/>
      <c r="AC3" s="2342"/>
      <c r="AD3" s="2342"/>
      <c r="AE3" s="2346"/>
      <c r="AF3" s="1021" t="s">
        <v>216</v>
      </c>
      <c r="AG3" s="106" t="s">
        <v>217</v>
      </c>
      <c r="AH3" s="107" t="s">
        <v>216</v>
      </c>
      <c r="AI3" s="108" t="s">
        <v>217</v>
      </c>
      <c r="AJ3" s="109" t="s">
        <v>218</v>
      </c>
      <c r="AK3" s="110" t="s">
        <v>219</v>
      </c>
      <c r="AL3" s="2352"/>
      <c r="AM3" s="2352"/>
      <c r="AN3" s="105" t="s">
        <v>218</v>
      </c>
      <c r="AO3" s="111" t="s">
        <v>219</v>
      </c>
    </row>
    <row r="4" spans="1:41" s="101" customFormat="1" ht="13.5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6" t="s">
        <v>31</v>
      </c>
      <c r="M4" s="116" t="s">
        <v>31</v>
      </c>
      <c r="N4" s="116" t="s">
        <v>31</v>
      </c>
      <c r="O4" s="117" t="s">
        <v>31</v>
      </c>
      <c r="P4" s="118" t="s">
        <v>30</v>
      </c>
      <c r="Q4" s="116" t="s">
        <v>30</v>
      </c>
      <c r="R4" s="116" t="s">
        <v>30</v>
      </c>
      <c r="S4" s="116" t="s">
        <v>30</v>
      </c>
      <c r="T4" s="119" t="s">
        <v>35</v>
      </c>
      <c r="U4" s="1017" t="s">
        <v>35</v>
      </c>
      <c r="V4" s="2332"/>
      <c r="W4" s="2335"/>
      <c r="X4" s="1249" t="s">
        <v>32</v>
      </c>
      <c r="Y4" s="2340"/>
      <c r="Z4" s="120" t="s">
        <v>33</v>
      </c>
      <c r="AA4" s="120" t="s">
        <v>33</v>
      </c>
      <c r="AB4" s="1241" t="s">
        <v>34</v>
      </c>
      <c r="AC4" s="120" t="s">
        <v>35</v>
      </c>
      <c r="AD4" s="120" t="s">
        <v>34</v>
      </c>
      <c r="AE4" s="1025" t="s">
        <v>30</v>
      </c>
      <c r="AF4" s="118" t="s">
        <v>30</v>
      </c>
      <c r="AG4" s="122" t="s">
        <v>30</v>
      </c>
      <c r="AH4" s="123" t="s">
        <v>30</v>
      </c>
      <c r="AI4" s="124" t="s">
        <v>30</v>
      </c>
      <c r="AJ4" s="125" t="s">
        <v>35</v>
      </c>
      <c r="AK4" s="119" t="s">
        <v>35</v>
      </c>
      <c r="AL4" s="119" t="s">
        <v>35</v>
      </c>
      <c r="AM4" s="119" t="s">
        <v>35</v>
      </c>
      <c r="AN4" s="119" t="s">
        <v>35</v>
      </c>
      <c r="AO4" s="126" t="s">
        <v>35</v>
      </c>
    </row>
    <row r="5" spans="1:41" s="1843" customFormat="1" ht="12.75" customHeight="1" thickBot="1" x14ac:dyDescent="0.25">
      <c r="A5" s="1818">
        <v>1</v>
      </c>
      <c r="B5" s="2354" t="s">
        <v>52</v>
      </c>
      <c r="C5" s="2356" t="s">
        <v>340</v>
      </c>
      <c r="D5" s="1819">
        <v>5.6</v>
      </c>
      <c r="E5" s="1820" t="s">
        <v>39</v>
      </c>
      <c r="F5" s="1821" t="s">
        <v>53</v>
      </c>
      <c r="G5" s="1822">
        <v>2.7549999999999999</v>
      </c>
      <c r="H5" s="1823">
        <v>7.0730000000000004</v>
      </c>
      <c r="I5" s="1824"/>
      <c r="J5" s="1825">
        <v>0.83</v>
      </c>
      <c r="K5" s="1826">
        <v>5.13</v>
      </c>
      <c r="L5" s="1826"/>
      <c r="M5" s="1826"/>
      <c r="N5" s="1826"/>
      <c r="O5" s="1827"/>
      <c r="P5" s="1828">
        <f>0.314*I5+0.249*J5+0.204*M5+0.159*N5+0.06*O5</f>
        <v>0.20666999999999999</v>
      </c>
      <c r="Q5" s="1829">
        <f>0.4*SUM(I5:O5)</f>
        <v>2.3839999999999999</v>
      </c>
      <c r="R5" s="1830">
        <f>SQRT(POWER(P5,2)+POWER(Q5+G5,2))</f>
        <v>5.1431540409460803</v>
      </c>
      <c r="S5" s="1829">
        <f t="shared" ref="S5:S44" si="0">SQRT(POWER(P5,2)+POWER(Q5+H5,2))</f>
        <v>9.4592579777115713</v>
      </c>
      <c r="T5" s="1831">
        <f>115000/1.73/SQRT(POWER((R5+Q5),2)+P5*P5)</f>
        <v>8827.8977747594217</v>
      </c>
      <c r="U5" s="1832">
        <f>115000/2/SQRT(P5*P5+POWER((S5+Q5),2))</f>
        <v>4854.3438996390378</v>
      </c>
      <c r="V5" s="1833">
        <v>1</v>
      </c>
      <c r="W5" s="1834" t="s">
        <v>187</v>
      </c>
      <c r="X5" s="1834">
        <v>4</v>
      </c>
      <c r="Y5" s="1834">
        <v>11</v>
      </c>
      <c r="Z5" s="1834">
        <v>35</v>
      </c>
      <c r="AA5" s="1834">
        <v>6.3</v>
      </c>
      <c r="AB5" s="1829">
        <v>7.67</v>
      </c>
      <c r="AC5" s="1834" t="s">
        <v>54</v>
      </c>
      <c r="AD5" s="1834">
        <v>9</v>
      </c>
      <c r="AE5" s="1835">
        <f>AB5/100*Z5*Z5/X5</f>
        <v>23.489375000000003</v>
      </c>
      <c r="AF5" s="1836">
        <f t="shared" ref="AF5:AF44" si="1">SQRT(POWER(P5,2)+POWER(Q5+AE5+G5,2))</f>
        <v>28.629120972002006</v>
      </c>
      <c r="AG5" s="1835">
        <f t="shared" ref="AG5:AG44" si="2">SQRT(POWER(P5,2)+POWER(Q5+AE5+H5,2))</f>
        <v>32.947023205891078</v>
      </c>
      <c r="AH5" s="1837">
        <f t="shared" ref="AH5:AH19" si="3">SQRT(POWER((AE5+Q5+G5),2)+POWER(P5,2))*POWER(6.3/Z5,2)</f>
        <v>0.92758351949286499</v>
      </c>
      <c r="AI5" s="1838">
        <f t="shared" ref="AI5:AI12" si="4">SQRT(POWER((H5+Q5+AE5),2)+POWER(P5,2))*POWER(6.3/Z5,2)</f>
        <v>1.067483551870871</v>
      </c>
      <c r="AJ5" s="1839">
        <f>37000/1.73/SQRT(POWER((G5+Q5+AE5),2)+P5*P5)</f>
        <v>747.04645168498257</v>
      </c>
      <c r="AK5" s="1840">
        <f>37000/2/SQRT(POWER((H5+Q5+AE5),2)+P5*P5)</f>
        <v>561.50748079395885</v>
      </c>
      <c r="AL5" s="1840">
        <f>AK5/1.2</f>
        <v>467.92290066163241</v>
      </c>
      <c r="AM5" s="1841">
        <f>AK5/1.5</f>
        <v>374.33832052930592</v>
      </c>
      <c r="AN5" s="1840">
        <f>6300/(1.73*AH5)</f>
        <v>3925.9197911372962</v>
      </c>
      <c r="AO5" s="1842">
        <f>SUM(6300/(2*AI5))</f>
        <v>2950.8651393075911</v>
      </c>
    </row>
    <row r="6" spans="1:41" s="1843" customFormat="1" ht="12.75" customHeight="1" x14ac:dyDescent="0.2">
      <c r="A6" s="1844">
        <v>1</v>
      </c>
      <c r="B6" s="2355"/>
      <c r="C6" s="2357"/>
      <c r="D6" s="1845">
        <v>5.6</v>
      </c>
      <c r="E6" s="1846" t="s">
        <v>39</v>
      </c>
      <c r="F6" s="1847" t="s">
        <v>53</v>
      </c>
      <c r="G6" s="1822">
        <v>2.7549999999999999</v>
      </c>
      <c r="H6" s="1823">
        <v>7.0730000000000004</v>
      </c>
      <c r="I6" s="1848"/>
      <c r="J6" s="1849">
        <v>0.83</v>
      </c>
      <c r="K6" s="1826">
        <v>5.13</v>
      </c>
      <c r="L6" s="1850"/>
      <c r="M6" s="1850"/>
      <c r="N6" s="1850"/>
      <c r="O6" s="1851"/>
      <c r="P6" s="1828">
        <f>0.314*I6+0.249*J6+0.204*M6+0.159*N6+0.06*O6</f>
        <v>0.20666999999999999</v>
      </c>
      <c r="Q6" s="1829">
        <f>0.4*SUM(I6:O6)</f>
        <v>2.3839999999999999</v>
      </c>
      <c r="R6" s="1830">
        <f>SQRT(POWER(P6,2)+POWER(Q6+G6,2))</f>
        <v>5.1431540409460803</v>
      </c>
      <c r="S6" s="1829">
        <f>SQRT(POWER(P6,2)+POWER(Q6+H6,2))</f>
        <v>9.4592579777115713</v>
      </c>
      <c r="T6" s="1831">
        <f>115000/1.73/SQRT(POWER((R6+Q6),2)+P6*P6)</f>
        <v>8827.8977747594217</v>
      </c>
      <c r="U6" s="1832">
        <f>115000/2/SQRT(P6*P6+POWER((S6+Q6),2))</f>
        <v>4854.3438996390378</v>
      </c>
      <c r="V6" s="1852">
        <v>2</v>
      </c>
      <c r="W6" s="1853" t="s">
        <v>187</v>
      </c>
      <c r="X6" s="1853">
        <v>4</v>
      </c>
      <c r="Y6" s="1853">
        <v>11</v>
      </c>
      <c r="Z6" s="1853">
        <v>35</v>
      </c>
      <c r="AA6" s="1853">
        <v>6.3</v>
      </c>
      <c r="AB6" s="1629">
        <v>7.6</v>
      </c>
      <c r="AC6" s="1853" t="s">
        <v>54</v>
      </c>
      <c r="AD6" s="1853">
        <v>12</v>
      </c>
      <c r="AE6" s="1854">
        <f>AB6/100*Z6*Z6/X6</f>
        <v>23.275000000000002</v>
      </c>
      <c r="AF6" s="1855">
        <f t="shared" si="1"/>
        <v>28.414751599985877</v>
      </c>
      <c r="AG6" s="1854">
        <f t="shared" si="2"/>
        <v>32.732652451167169</v>
      </c>
      <c r="AH6" s="1837">
        <f t="shared" si="3"/>
        <v>0.92063795183954233</v>
      </c>
      <c r="AI6" s="1838">
        <f t="shared" si="4"/>
        <v>1.0605379394178163</v>
      </c>
      <c r="AJ6" s="1839">
        <f t="shared" ref="AJ6:AJ44" si="5">37000/1.73/SQRT(POWER((G6+Q6+AE6),2)+P6*P6)</f>
        <v>752.68239321876911</v>
      </c>
      <c r="AK6" s="1630">
        <f t="shared" ref="AK6:AK44" si="6">37000/2/SQRT(POWER((H6+Q6+AE6),2)+P6*P6)</f>
        <v>565.18487243279708</v>
      </c>
      <c r="AL6" s="1630">
        <f>AK6/1.2</f>
        <v>470.9873936939976</v>
      </c>
      <c r="AM6" s="1630">
        <f>AK6/1.5</f>
        <v>376.78991495519807</v>
      </c>
      <c r="AN6" s="1630">
        <f t="shared" ref="AN6:AN44" si="7">6300/(1.73*AH6)</f>
        <v>3955.5381025010397</v>
      </c>
      <c r="AO6" s="1631">
        <f t="shared" ref="AO6:AO44" si="8">SUM(6300/(2*AI6))</f>
        <v>2970.1907710432279</v>
      </c>
    </row>
    <row r="7" spans="1:41" ht="12.75" customHeight="1" x14ac:dyDescent="0.2">
      <c r="A7" s="161">
        <v>1</v>
      </c>
      <c r="B7" s="2358" t="s">
        <v>69</v>
      </c>
      <c r="C7" s="2360" t="s">
        <v>340</v>
      </c>
      <c r="D7" s="673">
        <v>5.6</v>
      </c>
      <c r="E7" s="145" t="s">
        <v>39</v>
      </c>
      <c r="F7" s="146" t="s">
        <v>53</v>
      </c>
      <c r="G7" s="615">
        <v>2.5499999999999998</v>
      </c>
      <c r="H7" s="616">
        <v>5.42</v>
      </c>
      <c r="I7" s="147"/>
      <c r="J7" s="148">
        <v>0.35</v>
      </c>
      <c r="K7" s="149"/>
      <c r="L7" s="149"/>
      <c r="M7" s="149"/>
      <c r="N7" s="149"/>
      <c r="O7" s="150"/>
      <c r="P7" s="273">
        <f t="shared" ref="P7:P12" si="9">0.314*I7+0.249*J7+0.195*M7+0.159*N7+0.06*O7</f>
        <v>8.7149999999999991E-2</v>
      </c>
      <c r="Q7" s="154">
        <f t="shared" ref="Q7:Q12" si="10">0.4*SUM(I7:O7)</f>
        <v>0.13999999999999999</v>
      </c>
      <c r="R7" s="153">
        <f t="shared" ref="R7:R44" si="11">SQRT(POWER(P7,2)+POWER(Q7+G7,2))</f>
        <v>2.6914113625568277</v>
      </c>
      <c r="S7" s="154">
        <f t="shared" si="0"/>
        <v>5.5606829726662168</v>
      </c>
      <c r="T7" s="155">
        <f t="shared" ref="T7:T43" si="12">37000/1.73/SQRT(POWER((G7+Q7),2)+P7*P7)</f>
        <v>7946.4936258114049</v>
      </c>
      <c r="U7" s="361">
        <f t="shared" ref="U7:U43" si="13">37000/2/SQRT(P7*P7+POWER((H7+Q7),2))</f>
        <v>3326.9294600928642</v>
      </c>
      <c r="V7" s="1027">
        <v>1</v>
      </c>
      <c r="W7" s="152" t="s">
        <v>41</v>
      </c>
      <c r="X7" s="1251">
        <v>6.3</v>
      </c>
      <c r="Y7" s="152">
        <v>11</v>
      </c>
      <c r="Z7" s="152">
        <v>35</v>
      </c>
      <c r="AA7" s="152">
        <v>6.3</v>
      </c>
      <c r="AB7" s="1243">
        <v>7.82</v>
      </c>
      <c r="AC7" s="152" t="s">
        <v>162</v>
      </c>
      <c r="AD7" s="152"/>
      <c r="AE7" s="274">
        <f t="shared" ref="AE7:AE12" si="14">AB7/100*Z7*Z7/X7</f>
        <v>15.205555555555556</v>
      </c>
      <c r="AF7" s="151">
        <f t="shared" si="1"/>
        <v>17.89576776124666</v>
      </c>
      <c r="AG7" s="274">
        <f t="shared" si="2"/>
        <v>20.765738432653059</v>
      </c>
      <c r="AH7" s="1237">
        <f t="shared" si="3"/>
        <v>0.57982287546439171</v>
      </c>
      <c r="AI7" s="1238">
        <f t="shared" si="4"/>
        <v>0.6728099252179589</v>
      </c>
      <c r="AJ7" s="159">
        <f t="shared" si="5"/>
        <v>1195.102860202983</v>
      </c>
      <c r="AK7" s="155">
        <f t="shared" si="6"/>
        <v>890.89054357487726</v>
      </c>
      <c r="AL7" s="155">
        <f t="shared" ref="AL7:AL12" si="15">AK7/1.2</f>
        <v>742.40878631239775</v>
      </c>
      <c r="AM7" s="155">
        <f t="shared" ref="AM7:AM12" si="16">AK7/1.5</f>
        <v>593.92702904991813</v>
      </c>
      <c r="AN7" s="155">
        <f t="shared" si="7"/>
        <v>6280.5705866523158</v>
      </c>
      <c r="AO7" s="160">
        <f t="shared" si="8"/>
        <v>4681.8572109790848</v>
      </c>
    </row>
    <row r="8" spans="1:41" ht="12.75" customHeight="1" x14ac:dyDescent="0.2">
      <c r="A8" s="161">
        <v>1</v>
      </c>
      <c r="B8" s="2359"/>
      <c r="C8" s="2361"/>
      <c r="D8" s="673">
        <v>5.6</v>
      </c>
      <c r="E8" s="145" t="s">
        <v>39</v>
      </c>
      <c r="F8" s="146" t="s">
        <v>53</v>
      </c>
      <c r="G8" s="615">
        <v>2.5499999999999998</v>
      </c>
      <c r="H8" s="616">
        <v>5.42</v>
      </c>
      <c r="I8" s="147"/>
      <c r="J8" s="148">
        <v>0.35</v>
      </c>
      <c r="K8" s="149"/>
      <c r="L8" s="149"/>
      <c r="M8" s="149"/>
      <c r="N8" s="149"/>
      <c r="O8" s="150"/>
      <c r="P8" s="273">
        <f t="shared" si="9"/>
        <v>8.7149999999999991E-2</v>
      </c>
      <c r="Q8" s="154">
        <f t="shared" si="10"/>
        <v>0.13999999999999999</v>
      </c>
      <c r="R8" s="153">
        <f t="shared" si="11"/>
        <v>2.6914113625568277</v>
      </c>
      <c r="S8" s="154">
        <f t="shared" si="0"/>
        <v>5.5606829726662168</v>
      </c>
      <c r="T8" s="155">
        <f t="shared" si="12"/>
        <v>7946.4936258114049</v>
      </c>
      <c r="U8" s="361">
        <f t="shared" si="13"/>
        <v>3326.9294600928642</v>
      </c>
      <c r="V8" s="1027">
        <v>2</v>
      </c>
      <c r="W8" s="152" t="s">
        <v>41</v>
      </c>
      <c r="X8" s="1251">
        <v>6.3</v>
      </c>
      <c r="Y8" s="152">
        <v>11</v>
      </c>
      <c r="Z8" s="152">
        <v>35</v>
      </c>
      <c r="AA8" s="152">
        <v>6.3</v>
      </c>
      <c r="AB8" s="1243">
        <v>7.94</v>
      </c>
      <c r="AC8" s="152" t="s">
        <v>162</v>
      </c>
      <c r="AD8" s="152"/>
      <c r="AE8" s="274">
        <f t="shared" si="14"/>
        <v>15.43888888888889</v>
      </c>
      <c r="AF8" s="151">
        <f t="shared" si="1"/>
        <v>18.129098363354398</v>
      </c>
      <c r="AG8" s="274">
        <f t="shared" si="2"/>
        <v>20.999069733928724</v>
      </c>
      <c r="AH8" s="1237">
        <f t="shared" si="3"/>
        <v>0.58738278697268242</v>
      </c>
      <c r="AI8" s="1238">
        <f t="shared" si="4"/>
        <v>0.68036985937929051</v>
      </c>
      <c r="AJ8" s="159">
        <f t="shared" si="5"/>
        <v>1179.7212860969312</v>
      </c>
      <c r="AK8" s="155">
        <f t="shared" si="6"/>
        <v>880.99140744835415</v>
      </c>
      <c r="AL8" s="155">
        <f t="shared" si="15"/>
        <v>734.15950620696185</v>
      </c>
      <c r="AM8" s="155">
        <f t="shared" si="16"/>
        <v>587.32760496556944</v>
      </c>
      <c r="AN8" s="155">
        <f t="shared" si="7"/>
        <v>6199.7364884973858</v>
      </c>
      <c r="AO8" s="160">
        <f t="shared" si="8"/>
        <v>4629.8347238276874</v>
      </c>
    </row>
    <row r="9" spans="1:41" x14ac:dyDescent="0.2">
      <c r="A9" s="161">
        <v>1</v>
      </c>
      <c r="B9" s="2358" t="s">
        <v>70</v>
      </c>
      <c r="C9" s="2360" t="s">
        <v>340</v>
      </c>
      <c r="D9" s="673">
        <v>4.5999999999999996</v>
      </c>
      <c r="E9" s="145" t="s">
        <v>39</v>
      </c>
      <c r="F9" s="146" t="s">
        <v>49</v>
      </c>
      <c r="G9" s="275">
        <v>4.13</v>
      </c>
      <c r="H9" s="278">
        <v>6.96</v>
      </c>
      <c r="I9" s="147"/>
      <c r="J9" s="148">
        <v>8.1999999999999993</v>
      </c>
      <c r="K9" s="149"/>
      <c r="L9" s="149"/>
      <c r="M9" s="149"/>
      <c r="N9" s="149"/>
      <c r="O9" s="150"/>
      <c r="P9" s="273">
        <f t="shared" si="9"/>
        <v>2.0417999999999998</v>
      </c>
      <c r="Q9" s="154">
        <f t="shared" si="10"/>
        <v>3.28</v>
      </c>
      <c r="R9" s="153">
        <f t="shared" si="11"/>
        <v>7.6861594597041769</v>
      </c>
      <c r="S9" s="154">
        <f t="shared" si="0"/>
        <v>10.44157781372145</v>
      </c>
      <c r="T9" s="155">
        <f t="shared" si="12"/>
        <v>2782.5708468735525</v>
      </c>
      <c r="U9" s="361">
        <f t="shared" si="13"/>
        <v>1771.7628820127975</v>
      </c>
      <c r="V9" s="1027">
        <v>1</v>
      </c>
      <c r="W9" s="152" t="s">
        <v>41</v>
      </c>
      <c r="X9" s="1251">
        <v>6.3</v>
      </c>
      <c r="Y9" s="152">
        <v>11</v>
      </c>
      <c r="Z9" s="152">
        <v>35</v>
      </c>
      <c r="AA9" s="152">
        <v>6.3</v>
      </c>
      <c r="AB9" s="1243">
        <v>7.94</v>
      </c>
      <c r="AC9" s="152" t="s">
        <v>162</v>
      </c>
      <c r="AD9" s="152">
        <v>5</v>
      </c>
      <c r="AE9" s="274">
        <f t="shared" si="14"/>
        <v>15.43888888888889</v>
      </c>
      <c r="AF9" s="151">
        <f t="shared" si="1"/>
        <v>22.939936152849036</v>
      </c>
      <c r="AG9" s="274">
        <f t="shared" si="2"/>
        <v>25.759935594016948</v>
      </c>
      <c r="AH9" s="1123">
        <f t="shared" si="3"/>
        <v>0.74325393135230877</v>
      </c>
      <c r="AI9" s="1124">
        <f t="shared" si="4"/>
        <v>0.83462191324614909</v>
      </c>
      <c r="AJ9" s="159">
        <f t="shared" si="5"/>
        <v>932.31659820195341</v>
      </c>
      <c r="AK9" s="155">
        <f>37000/2/SQRT(POWER((H9+Q9+AE9),2)+P9*P9)</f>
        <v>718.1694974539007</v>
      </c>
      <c r="AL9" s="155">
        <f t="shared" si="15"/>
        <v>598.474581211584</v>
      </c>
      <c r="AM9" s="155">
        <f t="shared" si="16"/>
        <v>478.77966496926712</v>
      </c>
      <c r="AN9" s="155">
        <f t="shared" si="7"/>
        <v>4899.5617022625183</v>
      </c>
      <c r="AO9" s="160">
        <f t="shared" si="8"/>
        <v>3774.1640256586375</v>
      </c>
    </row>
    <row r="10" spans="1:41" ht="12.75" customHeight="1" x14ac:dyDescent="0.2">
      <c r="A10" s="161">
        <v>1</v>
      </c>
      <c r="B10" s="2359"/>
      <c r="C10" s="2361"/>
      <c r="D10" s="673">
        <v>4.5999999999999996</v>
      </c>
      <c r="E10" s="145" t="s">
        <v>39</v>
      </c>
      <c r="F10" s="146" t="s">
        <v>49</v>
      </c>
      <c r="G10" s="275">
        <v>4.13</v>
      </c>
      <c r="H10" s="278">
        <v>6.96</v>
      </c>
      <c r="I10" s="147"/>
      <c r="J10" s="148">
        <v>8.1999999999999993</v>
      </c>
      <c r="K10" s="149"/>
      <c r="L10" s="149"/>
      <c r="M10" s="149"/>
      <c r="N10" s="149"/>
      <c r="O10" s="150"/>
      <c r="P10" s="273">
        <f t="shared" si="9"/>
        <v>2.0417999999999998</v>
      </c>
      <c r="Q10" s="154">
        <f t="shared" si="10"/>
        <v>3.28</v>
      </c>
      <c r="R10" s="153">
        <f t="shared" si="11"/>
        <v>7.6861594597041769</v>
      </c>
      <c r="S10" s="154">
        <f t="shared" si="0"/>
        <v>10.44157781372145</v>
      </c>
      <c r="T10" s="155">
        <f t="shared" si="12"/>
        <v>2782.5708468735525</v>
      </c>
      <c r="U10" s="361">
        <f t="shared" si="13"/>
        <v>1771.7628820127975</v>
      </c>
      <c r="V10" s="1027">
        <v>2</v>
      </c>
      <c r="W10" s="152" t="s">
        <v>41</v>
      </c>
      <c r="X10" s="1251">
        <v>6.3</v>
      </c>
      <c r="Y10" s="152">
        <v>11</v>
      </c>
      <c r="Z10" s="152">
        <v>35</v>
      </c>
      <c r="AA10" s="152">
        <v>6.3</v>
      </c>
      <c r="AB10" s="1243">
        <v>7.96</v>
      </c>
      <c r="AC10" s="152" t="s">
        <v>162</v>
      </c>
      <c r="AD10" s="152">
        <v>5</v>
      </c>
      <c r="AE10" s="274">
        <f t="shared" si="14"/>
        <v>15.47777777777778</v>
      </c>
      <c r="AF10" s="151">
        <f t="shared" si="1"/>
        <v>22.978670954712289</v>
      </c>
      <c r="AG10" s="274">
        <f t="shared" si="2"/>
        <v>25.798702313627338</v>
      </c>
      <c r="AH10" s="1237">
        <f t="shared" si="3"/>
        <v>0.74450893893267811</v>
      </c>
      <c r="AI10" s="1238">
        <f t="shared" si="4"/>
        <v>0.83587795496152573</v>
      </c>
      <c r="AJ10" s="159">
        <f t="shared" si="5"/>
        <v>930.7450060599906</v>
      </c>
      <c r="AK10" s="155">
        <f t="shared" si="6"/>
        <v>717.09033171904809</v>
      </c>
      <c r="AL10" s="155">
        <f t="shared" si="15"/>
        <v>597.57527643254014</v>
      </c>
      <c r="AM10" s="155">
        <f t="shared" si="16"/>
        <v>478.06022114603206</v>
      </c>
      <c r="AN10" s="155">
        <f>6300/(1.73*AH10)</f>
        <v>4891.3025843993501</v>
      </c>
      <c r="AO10" s="160">
        <f t="shared" si="8"/>
        <v>3768.4927342592614</v>
      </c>
    </row>
    <row r="11" spans="1:41" ht="12.75" customHeight="1" x14ac:dyDescent="0.2">
      <c r="A11" s="161">
        <v>1</v>
      </c>
      <c r="B11" s="2358" t="s">
        <v>75</v>
      </c>
      <c r="C11" s="2360" t="s">
        <v>340</v>
      </c>
      <c r="D11" s="673">
        <v>5.6</v>
      </c>
      <c r="E11" s="145" t="s">
        <v>39</v>
      </c>
      <c r="F11" s="146" t="s">
        <v>53</v>
      </c>
      <c r="G11" s="615">
        <v>2.5499999999999998</v>
      </c>
      <c r="H11" s="616">
        <v>5.42</v>
      </c>
      <c r="I11" s="147"/>
      <c r="J11" s="148">
        <v>4</v>
      </c>
      <c r="K11" s="149"/>
      <c r="L11" s="149"/>
      <c r="M11" s="149"/>
      <c r="N11" s="149"/>
      <c r="O11" s="150"/>
      <c r="P11" s="273">
        <f t="shared" si="9"/>
        <v>0.996</v>
      </c>
      <c r="Q11" s="154">
        <f t="shared" si="10"/>
        <v>1.6</v>
      </c>
      <c r="R11" s="153">
        <f t="shared" si="11"/>
        <v>4.2678467638845712</v>
      </c>
      <c r="S11" s="154">
        <f t="shared" si="0"/>
        <v>7.0903043658223863</v>
      </c>
      <c r="T11" s="155">
        <f t="shared" si="12"/>
        <v>5011.2584683166151</v>
      </c>
      <c r="U11" s="361">
        <f t="shared" si="13"/>
        <v>2609.1968758317516</v>
      </c>
      <c r="V11" s="1027">
        <v>1</v>
      </c>
      <c r="W11" s="152" t="s">
        <v>41</v>
      </c>
      <c r="X11" s="1251">
        <v>6.3</v>
      </c>
      <c r="Y11" s="152">
        <v>11</v>
      </c>
      <c r="Z11" s="152">
        <v>35</v>
      </c>
      <c r="AA11" s="152">
        <v>6.3</v>
      </c>
      <c r="AB11" s="1243">
        <v>7.41</v>
      </c>
      <c r="AC11" s="152" t="s">
        <v>67</v>
      </c>
      <c r="AD11" s="152">
        <v>12</v>
      </c>
      <c r="AE11" s="274">
        <f t="shared" si="14"/>
        <v>14.408333333333335</v>
      </c>
      <c r="AF11" s="151">
        <f t="shared" si="1"/>
        <v>18.585041084461214</v>
      </c>
      <c r="AG11" s="274">
        <f t="shared" si="2"/>
        <v>21.451468141934818</v>
      </c>
      <c r="AH11" s="1123">
        <f t="shared" si="3"/>
        <v>0.60215533113654329</v>
      </c>
      <c r="AI11" s="1124">
        <f t="shared" si="4"/>
        <v>0.69502756779868802</v>
      </c>
      <c r="AJ11" s="159">
        <f t="shared" si="5"/>
        <v>1150.7794435211626</v>
      </c>
      <c r="AK11" s="155">
        <f t="shared" si="6"/>
        <v>862.411834826117</v>
      </c>
      <c r="AL11" s="155">
        <f t="shared" si="15"/>
        <v>718.67652902176417</v>
      </c>
      <c r="AM11" s="155">
        <f t="shared" si="16"/>
        <v>574.94122321741133</v>
      </c>
      <c r="AN11" s="155">
        <f t="shared" si="7"/>
        <v>6047.6397182043074</v>
      </c>
      <c r="AO11" s="160">
        <f>SUM(6300/(2*AI11))</f>
        <v>4532.1943271642785</v>
      </c>
    </row>
    <row r="12" spans="1:41" ht="12.75" customHeight="1" x14ac:dyDescent="0.2">
      <c r="A12" s="161">
        <v>1</v>
      </c>
      <c r="B12" s="2359"/>
      <c r="C12" s="2361"/>
      <c r="D12" s="673">
        <v>5.6</v>
      </c>
      <c r="E12" s="145" t="s">
        <v>39</v>
      </c>
      <c r="F12" s="146" t="s">
        <v>53</v>
      </c>
      <c r="G12" s="615">
        <v>2.5499999999999998</v>
      </c>
      <c r="H12" s="616">
        <v>5.42</v>
      </c>
      <c r="I12" s="147"/>
      <c r="J12" s="148">
        <v>4</v>
      </c>
      <c r="K12" s="149"/>
      <c r="L12" s="149"/>
      <c r="M12" s="149"/>
      <c r="N12" s="149"/>
      <c r="O12" s="150"/>
      <c r="P12" s="273">
        <f t="shared" si="9"/>
        <v>0.996</v>
      </c>
      <c r="Q12" s="154">
        <f t="shared" si="10"/>
        <v>1.6</v>
      </c>
      <c r="R12" s="153">
        <f t="shared" si="11"/>
        <v>4.2678467638845712</v>
      </c>
      <c r="S12" s="154">
        <f t="shared" si="0"/>
        <v>7.0903043658223863</v>
      </c>
      <c r="T12" s="155">
        <f t="shared" si="12"/>
        <v>5011.2584683166151</v>
      </c>
      <c r="U12" s="361">
        <f t="shared" si="13"/>
        <v>2609.1968758317516</v>
      </c>
      <c r="V12" s="1027">
        <v>2</v>
      </c>
      <c r="W12" s="152" t="s">
        <v>41</v>
      </c>
      <c r="X12" s="1251">
        <v>6.3</v>
      </c>
      <c r="Y12" s="152">
        <v>11</v>
      </c>
      <c r="Z12" s="152">
        <v>35</v>
      </c>
      <c r="AA12" s="152">
        <v>6.3</v>
      </c>
      <c r="AB12" s="1243">
        <v>7.43</v>
      </c>
      <c r="AC12" s="152" t="s">
        <v>67</v>
      </c>
      <c r="AD12" s="152">
        <v>12</v>
      </c>
      <c r="AE12" s="274">
        <f t="shared" si="14"/>
        <v>14.447222222222223</v>
      </c>
      <c r="AF12" s="151">
        <f t="shared" si="1"/>
        <v>18.623874204437598</v>
      </c>
      <c r="AG12" s="274">
        <f t="shared" si="2"/>
        <v>21.490315166099165</v>
      </c>
      <c r="AH12" s="1237">
        <f t="shared" si="3"/>
        <v>0.60341352422377814</v>
      </c>
      <c r="AI12" s="1238">
        <f t="shared" si="4"/>
        <v>0.69628621138161284</v>
      </c>
      <c r="AJ12" s="159">
        <f t="shared" si="5"/>
        <v>1148.3799236518778</v>
      </c>
      <c r="AK12" s="155">
        <f t="shared" si="6"/>
        <v>860.85289382743133</v>
      </c>
      <c r="AL12" s="155">
        <f t="shared" si="15"/>
        <v>717.37741152285946</v>
      </c>
      <c r="AM12" s="155">
        <f t="shared" si="16"/>
        <v>573.90192921828759</v>
      </c>
      <c r="AN12" s="155">
        <f t="shared" si="7"/>
        <v>6035.0296288011587</v>
      </c>
      <c r="AO12" s="160">
        <f t="shared" si="8"/>
        <v>4524.001694288303</v>
      </c>
    </row>
    <row r="13" spans="1:41" ht="12.75" customHeight="1" x14ac:dyDescent="0.2">
      <c r="A13" s="144">
        <v>1</v>
      </c>
      <c r="B13" s="2358" t="s">
        <v>452</v>
      </c>
      <c r="C13" s="2362" t="s">
        <v>454</v>
      </c>
      <c r="D13" s="673">
        <v>4.5999999999999996</v>
      </c>
      <c r="E13" s="145" t="s">
        <v>39</v>
      </c>
      <c r="F13" s="146" t="s">
        <v>49</v>
      </c>
      <c r="G13" s="275">
        <v>4.13</v>
      </c>
      <c r="H13" s="278">
        <v>6.96</v>
      </c>
      <c r="I13" s="147"/>
      <c r="J13" s="148">
        <v>8.1</v>
      </c>
      <c r="K13" s="149"/>
      <c r="L13" s="149"/>
      <c r="M13" s="149"/>
      <c r="N13" s="149"/>
      <c r="O13" s="150"/>
      <c r="P13" s="273">
        <f>0.314*I13+0.249*J13+0.195*M13+0.159*N13+0.06*O13</f>
        <v>2.0168999999999997</v>
      </c>
      <c r="Q13" s="154">
        <f>0.4*SUM(I13:O13)</f>
        <v>3.24</v>
      </c>
      <c r="R13" s="153">
        <f>SQRT(POWER(P13,2)+POWER(Q13+G13,2))</f>
        <v>7.6409937580134173</v>
      </c>
      <c r="S13" s="154">
        <f>SQRT(POWER(P13,2)+POWER(Q13+H13,2))</f>
        <v>10.397494198603816</v>
      </c>
      <c r="T13" s="155">
        <f>37000/1.73/SQRT(POWER((G13+Q13),2)+P13*P13)</f>
        <v>2799.0185457964176</v>
      </c>
      <c r="U13" s="361">
        <f>37000/2/SQRT(P13*P13+POWER((H13+Q13),2))</f>
        <v>1779.2748566750049</v>
      </c>
      <c r="V13" s="1027">
        <v>1</v>
      </c>
      <c r="W13" s="152" t="s">
        <v>453</v>
      </c>
      <c r="X13" s="1251">
        <v>6.3</v>
      </c>
      <c r="Y13" s="152">
        <v>11</v>
      </c>
      <c r="Z13" s="152">
        <v>35</v>
      </c>
      <c r="AA13" s="152">
        <v>6.3</v>
      </c>
      <c r="AB13" s="1243">
        <v>7.92</v>
      </c>
      <c r="AC13" s="152" t="s">
        <v>81</v>
      </c>
      <c r="AD13" s="152">
        <v>5</v>
      </c>
      <c r="AE13" s="274">
        <f>AB13/100*Z13*Z13/X13</f>
        <v>15.4</v>
      </c>
      <c r="AF13" s="151">
        <f>SQRT(POWER(P13,2)+POWER(Q13+AE13+G13,2))</f>
        <v>22.859151025573979</v>
      </c>
      <c r="AG13" s="274">
        <f>SQRT(POWER(P13,2)+POWER(Q13+AE13+H13,2))</f>
        <v>25.67932798205592</v>
      </c>
      <c r="AH13" s="1123">
        <f>SQRT(POWER((AE13+Q13+G13),2)+POWER(P13,2))*POWER(6.3/Z13,2)</f>
        <v>0.74063649322859693</v>
      </c>
      <c r="AI13" s="1124">
        <f>SQRT(POWER((H13+Q13+AE13),2)+POWER(P13,2))*POWER(6.3/Z13,2)</f>
        <v>0.83201022661861179</v>
      </c>
      <c r="AJ13" s="159">
        <f>37000/1.73/SQRT(POWER((G13+Q13+AE13),2)+P13*P13)</f>
        <v>935.61144125899125</v>
      </c>
      <c r="AK13" s="155">
        <f>37000/2/SQRT(POWER((H13+Q13+AE13),2)+P13*P13)</f>
        <v>720.42383713963784</v>
      </c>
      <c r="AL13" s="155">
        <f>AK13/1.2</f>
        <v>600.35319761636492</v>
      </c>
      <c r="AM13" s="155">
        <f>AK13/1.5</f>
        <v>480.28255809309189</v>
      </c>
      <c r="AN13" s="155">
        <f>6300/(1.73*AH13)</f>
        <v>4916.8769435532577</v>
      </c>
      <c r="AO13" s="160">
        <f>SUM(6300/(2*AI13))</f>
        <v>3786.0111561392382</v>
      </c>
    </row>
    <row r="14" spans="1:41" ht="12.75" customHeight="1" x14ac:dyDescent="0.2">
      <c r="A14" s="144">
        <v>1</v>
      </c>
      <c r="B14" s="2359"/>
      <c r="C14" s="2363"/>
      <c r="D14" s="673">
        <v>4.5999999999999996</v>
      </c>
      <c r="E14" s="145" t="s">
        <v>39</v>
      </c>
      <c r="F14" s="146" t="s">
        <v>49</v>
      </c>
      <c r="G14" s="275">
        <v>4.13</v>
      </c>
      <c r="H14" s="278">
        <v>6.96</v>
      </c>
      <c r="I14" s="147"/>
      <c r="J14" s="148">
        <v>8.1</v>
      </c>
      <c r="K14" s="149"/>
      <c r="L14" s="149"/>
      <c r="M14" s="149"/>
      <c r="N14" s="149"/>
      <c r="O14" s="150"/>
      <c r="P14" s="273">
        <f>0.314*I14+0.249*J14+0.195*M14+0.159*N14+0.06*O14</f>
        <v>2.0168999999999997</v>
      </c>
      <c r="Q14" s="154">
        <f>0.4*SUM(I14:O14)</f>
        <v>3.24</v>
      </c>
      <c r="R14" s="153">
        <f>SQRT(POWER(P14,2)+POWER(Q14+G14,2))</f>
        <v>7.6409937580134173</v>
      </c>
      <c r="S14" s="154">
        <f>SQRT(POWER(P14,2)+POWER(Q14+H14,2))</f>
        <v>10.397494198603816</v>
      </c>
      <c r="T14" s="155">
        <f>37000/1.73/SQRT(POWER((G14+Q14),2)+P14*P14)</f>
        <v>2799.0185457964176</v>
      </c>
      <c r="U14" s="361">
        <f>37000/2/SQRT(P14*P14+POWER((H14+Q14),2))</f>
        <v>1779.2748566750049</v>
      </c>
      <c r="V14" s="1027">
        <v>2</v>
      </c>
      <c r="W14" s="152" t="s">
        <v>453</v>
      </c>
      <c r="X14" s="1251">
        <v>6.3</v>
      </c>
      <c r="Y14" s="152">
        <v>11</v>
      </c>
      <c r="Z14" s="152">
        <v>35</v>
      </c>
      <c r="AA14" s="152">
        <v>6.3</v>
      </c>
      <c r="AB14" s="1243">
        <v>8.1</v>
      </c>
      <c r="AC14" s="152" t="s">
        <v>81</v>
      </c>
      <c r="AD14" s="152">
        <v>5</v>
      </c>
      <c r="AE14" s="274">
        <f>AB14/100*Z14*Z14/X14</f>
        <v>15.75</v>
      </c>
      <c r="AF14" s="151">
        <f>SQRT(POWER(P14,2)+POWER(Q14+AE14+G14,2))</f>
        <v>23.207806566110463</v>
      </c>
      <c r="AG14" s="274">
        <f>SQRT(POWER(P14,2)+POWER(Q14+AE14+H14,2))</f>
        <v>26.028261286724476</v>
      </c>
      <c r="AH14" s="1123">
        <f>SQRT(POWER((AE14+Q14+G14),2)+POWER(P14,2))*POWER(6.3/Z14,2)</f>
        <v>0.75193293274197892</v>
      </c>
      <c r="AI14" s="1124">
        <f>SQRT(POWER((H14+Q14+AE14),2)+POWER(P14,2))*POWER(6.3/Z14,2)</f>
        <v>0.84331566568987282</v>
      </c>
      <c r="AJ14" s="159">
        <f>37000/1.73/SQRT(POWER((G14+Q14+AE14),2)+P14*P14)</f>
        <v>921.55556261078584</v>
      </c>
      <c r="AK14" s="155">
        <f>37000/2/SQRT(POWER((H14+Q14+AE14),2)+P14*P14)</f>
        <v>710.76587852742171</v>
      </c>
      <c r="AL14" s="155">
        <f>AK14/1.2</f>
        <v>592.3048987728514</v>
      </c>
      <c r="AM14" s="155">
        <f>AK14/1.5</f>
        <v>473.84391901828116</v>
      </c>
      <c r="AN14" s="155">
        <f>6300/(1.73*AH14)</f>
        <v>4843.0097134200469</v>
      </c>
      <c r="AO14" s="160">
        <f>SUM(6300/(2*AI14))</f>
        <v>3735.2561183873518</v>
      </c>
    </row>
    <row r="15" spans="1:41" ht="12.75" customHeight="1" x14ac:dyDescent="0.2">
      <c r="A15" s="144">
        <v>1</v>
      </c>
      <c r="B15" s="2358" t="s">
        <v>96</v>
      </c>
      <c r="C15" s="2360" t="s">
        <v>341</v>
      </c>
      <c r="D15" s="673">
        <v>1.2</v>
      </c>
      <c r="E15" s="145" t="s">
        <v>39</v>
      </c>
      <c r="F15" s="146" t="s">
        <v>46</v>
      </c>
      <c r="G15" s="2150">
        <f>121.5/1.73/14.327</f>
        <v>4.9020181386774881</v>
      </c>
      <c r="H15" s="2151">
        <f>121.5/(2*11.492)</f>
        <v>5.2862861120779669</v>
      </c>
      <c r="I15" s="147"/>
      <c r="J15" s="148">
        <v>6.21</v>
      </c>
      <c r="K15" s="149"/>
      <c r="L15" s="149"/>
      <c r="M15" s="149"/>
      <c r="N15" s="149"/>
      <c r="O15" s="150"/>
      <c r="P15" s="273">
        <f t="shared" ref="P15:P22" si="17">0.314*I15+0.249*J15+0.195*M15+0.159*N15+0.06*O15</f>
        <v>1.5462899999999999</v>
      </c>
      <c r="Q15" s="154">
        <f t="shared" ref="Q15:Q22" si="18">0.4*SUM(I15:O15)</f>
        <v>2.484</v>
      </c>
      <c r="R15" s="153">
        <f>SQRT(POWER(P15,2)+POWER(Q15+G15,2))</f>
        <v>7.5461431678025344</v>
      </c>
      <c r="S15" s="154">
        <f>SQRT(POWER(P15,2)+POWER(Q15+H15,2))</f>
        <v>7.922648485680261</v>
      </c>
      <c r="T15" s="155">
        <f>37000/1.73/SQRT(POWER((G15+Q15),2)+P15*P15)</f>
        <v>2834.2005659590841</v>
      </c>
      <c r="U15" s="361">
        <f>37000/2/SQRT(P15*P15+POWER((H15+Q15),2))</f>
        <v>2335.0777247580409</v>
      </c>
      <c r="V15" s="1027">
        <v>1</v>
      </c>
      <c r="W15" s="152" t="s">
        <v>41</v>
      </c>
      <c r="X15" s="1251">
        <v>6.3</v>
      </c>
      <c r="Y15" s="152">
        <v>11</v>
      </c>
      <c r="Z15" s="152">
        <v>35</v>
      </c>
      <c r="AA15" s="152">
        <v>6.3</v>
      </c>
      <c r="AB15" s="1243">
        <v>8.01</v>
      </c>
      <c r="AC15" s="152" t="s">
        <v>162</v>
      </c>
      <c r="AD15" s="152"/>
      <c r="AE15" s="274">
        <f t="shared" ref="AE15:AE48" si="19">AB15/100*Z15*Z15/X15</f>
        <v>15.575000000000001</v>
      </c>
      <c r="AF15" s="151">
        <f>SQRT(POWER(P15,2)+POWER(Q15+AE15+G15,2))</f>
        <v>23.013026022858806</v>
      </c>
      <c r="AG15" s="274">
        <f>SQRT(POWER(P15,2)+POWER(Q15+AE15+H15,2))</f>
        <v>23.396439823590264</v>
      </c>
      <c r="AH15" s="784">
        <f t="shared" si="3"/>
        <v>0.7456220431406253</v>
      </c>
      <c r="AI15" s="1003">
        <f t="shared" ref="AI15:AI20" si="20">SQRT(POWER((H15+Q15+AE15),2)+POWER(P15,2))*POWER(6.3/Z15,2)</f>
        <v>0.75804465028432455</v>
      </c>
      <c r="AJ15" s="159">
        <f>37000/1.73/SQRT(POWER((G15+Q15+AE15),2)+P15*P15)</f>
        <v>929.3555404556646</v>
      </c>
      <c r="AK15" s="155">
        <f>37000/2/SQRT(POWER((H15+Q15+AE15),2)+P15*P15)</f>
        <v>790.71859391815417</v>
      </c>
      <c r="AL15" s="155">
        <f t="shared" ref="AL15:AL48" si="21">AK15/1.2</f>
        <v>658.93216159846179</v>
      </c>
      <c r="AM15" s="155">
        <f t="shared" ref="AM15:AM48" si="22">AK15/1.5</f>
        <v>527.14572927876941</v>
      </c>
      <c r="AN15" s="163">
        <f>6300/(1.73*AH15)</f>
        <v>4884.0005879802193</v>
      </c>
      <c r="AO15" s="160">
        <f>SUM(6300/(2*AI15))</f>
        <v>4155.4280461164253</v>
      </c>
    </row>
    <row r="16" spans="1:41" ht="12.75" customHeight="1" x14ac:dyDescent="0.2">
      <c r="A16" s="144">
        <v>1</v>
      </c>
      <c r="B16" s="2359"/>
      <c r="C16" s="2361"/>
      <c r="D16" s="673">
        <v>1.2</v>
      </c>
      <c r="E16" s="145" t="s">
        <v>39</v>
      </c>
      <c r="F16" s="146" t="s">
        <v>46</v>
      </c>
      <c r="G16" s="2150">
        <f>121.5/1.73/14.338</f>
        <v>4.8982573492001933</v>
      </c>
      <c r="H16" s="2151">
        <f>121.5/(2*11.613)</f>
        <v>5.2312064066132784</v>
      </c>
      <c r="I16" s="147"/>
      <c r="J16" s="148">
        <v>6.21</v>
      </c>
      <c r="K16" s="149"/>
      <c r="L16" s="149"/>
      <c r="M16" s="149"/>
      <c r="N16" s="149"/>
      <c r="O16" s="150"/>
      <c r="P16" s="273">
        <f t="shared" si="17"/>
        <v>1.5462899999999999</v>
      </c>
      <c r="Q16" s="154">
        <f t="shared" si="18"/>
        <v>2.484</v>
      </c>
      <c r="R16" s="153">
        <f>SQRT(POWER(P16,2)+POWER(Q16+G16,2))</f>
        <v>7.5424622195885256</v>
      </c>
      <c r="S16" s="154">
        <f>SQRT(POWER(P16,2)+POWER(Q16+H16,2))</f>
        <v>7.8686353747486972</v>
      </c>
      <c r="T16" s="155">
        <f>37000/1.73/SQRT(POWER((G16+Q16),2)+P16*P16)</f>
        <v>2835.5837410029467</v>
      </c>
      <c r="U16" s="361">
        <f>37000/2/SQRT(P16*P16+POWER((H16+Q16),2))</f>
        <v>2351.1065285053751</v>
      </c>
      <c r="V16" s="1027">
        <v>2</v>
      </c>
      <c r="W16" s="152" t="s">
        <v>41</v>
      </c>
      <c r="X16" s="1251">
        <v>6.3</v>
      </c>
      <c r="Y16" s="152">
        <v>11</v>
      </c>
      <c r="Z16" s="152">
        <v>35</v>
      </c>
      <c r="AA16" s="152">
        <v>6.3</v>
      </c>
      <c r="AB16" s="1243">
        <v>8.01</v>
      </c>
      <c r="AC16" s="152" t="s">
        <v>162</v>
      </c>
      <c r="AD16" s="152"/>
      <c r="AE16" s="274">
        <f t="shared" si="19"/>
        <v>15.575000000000001</v>
      </c>
      <c r="AF16" s="151">
        <f>SQRT(POWER(P16,2)+POWER(Q16+AE16+G16,2))</f>
        <v>23.00927373389926</v>
      </c>
      <c r="AG16" s="274">
        <f>SQRT(POWER(P16,2)+POWER(Q16+AE16+H16,2))</f>
        <v>23.341480827632815</v>
      </c>
      <c r="AH16" s="784">
        <f t="shared" si="3"/>
        <v>0.745500468978336</v>
      </c>
      <c r="AI16" s="1003">
        <f t="shared" si="20"/>
        <v>0.75626397881530316</v>
      </c>
      <c r="AJ16" s="159">
        <f>37000/1.73/SQRT(POWER((G16+Q16+AE16),2)+P16*P16)</f>
        <v>929.50709719640633</v>
      </c>
      <c r="AK16" s="155">
        <f>37000/2/SQRT(POWER((H16+Q16+AE16),2)+P16*P16)</f>
        <v>792.58039096211814</v>
      </c>
      <c r="AL16" s="155">
        <f t="shared" si="21"/>
        <v>660.48365913509849</v>
      </c>
      <c r="AM16" s="155">
        <f t="shared" si="22"/>
        <v>528.38692730807873</v>
      </c>
      <c r="AN16" s="155">
        <f>6300/(1.73*AH16)</f>
        <v>4884.7970573384719</v>
      </c>
      <c r="AO16" s="160">
        <f>SUM(6300/(2*AI16))</f>
        <v>4165.2122648159357</v>
      </c>
    </row>
    <row r="17" spans="1:41" ht="12.75" customHeight="1" x14ac:dyDescent="0.2">
      <c r="A17" s="161">
        <v>1</v>
      </c>
      <c r="B17" s="2358" t="s">
        <v>79</v>
      </c>
      <c r="C17" s="2362" t="s">
        <v>43</v>
      </c>
      <c r="D17" s="673">
        <v>4.5999999999999996</v>
      </c>
      <c r="E17" s="145" t="s">
        <v>39</v>
      </c>
      <c r="F17" s="146" t="s">
        <v>49</v>
      </c>
      <c r="G17" s="275">
        <v>4.13</v>
      </c>
      <c r="H17" s="278">
        <v>6.96</v>
      </c>
      <c r="I17" s="147"/>
      <c r="J17" s="148">
        <v>12.9</v>
      </c>
      <c r="K17" s="149"/>
      <c r="L17" s="149"/>
      <c r="M17" s="149"/>
      <c r="N17" s="149"/>
      <c r="O17" s="150"/>
      <c r="P17" s="273">
        <f t="shared" si="17"/>
        <v>3.2121</v>
      </c>
      <c r="Q17" s="154">
        <f t="shared" si="18"/>
        <v>5.16</v>
      </c>
      <c r="R17" s="153">
        <f t="shared" si="11"/>
        <v>9.8296330760613841</v>
      </c>
      <c r="S17" s="154">
        <f t="shared" si="0"/>
        <v>12.538420411279883</v>
      </c>
      <c r="T17" s="155">
        <f t="shared" si="12"/>
        <v>2175.7967028372382</v>
      </c>
      <c r="U17" s="361">
        <f t="shared" si="13"/>
        <v>1475.4649623454106</v>
      </c>
      <c r="V17" s="1027">
        <v>1</v>
      </c>
      <c r="W17" s="152" t="s">
        <v>80</v>
      </c>
      <c r="X17" s="1251">
        <v>4</v>
      </c>
      <c r="Y17" s="152">
        <v>11</v>
      </c>
      <c r="Z17" s="152">
        <v>35</v>
      </c>
      <c r="AA17" s="152">
        <v>6.3</v>
      </c>
      <c r="AB17" s="1243">
        <v>6.23</v>
      </c>
      <c r="AC17" s="152" t="s">
        <v>81</v>
      </c>
      <c r="AD17" s="152">
        <v>5</v>
      </c>
      <c r="AE17" s="274">
        <f t="shared" si="19"/>
        <v>19.079374999999999</v>
      </c>
      <c r="AF17" s="151">
        <f t="shared" si="1"/>
        <v>28.5506396478367</v>
      </c>
      <c r="AG17" s="274">
        <f t="shared" si="2"/>
        <v>31.364288399398209</v>
      </c>
      <c r="AH17" s="1237">
        <f t="shared" si="3"/>
        <v>0.92504072458990905</v>
      </c>
      <c r="AI17" s="1238">
        <f t="shared" si="20"/>
        <v>1.0162029441405018</v>
      </c>
      <c r="AJ17" s="159">
        <f>37000/1.73/SQRT(POWER((G17+Q17+AE17),2)+P17*P17)</f>
        <v>749.09996766446341</v>
      </c>
      <c r="AK17" s="155">
        <f t="shared" si="6"/>
        <v>589.84280989952128</v>
      </c>
      <c r="AL17" s="155">
        <f t="shared" si="21"/>
        <v>491.53567491626774</v>
      </c>
      <c r="AM17" s="155">
        <f t="shared" si="22"/>
        <v>393.22853993301419</v>
      </c>
      <c r="AN17" s="155">
        <f t="shared" si="7"/>
        <v>3936.7115417802133</v>
      </c>
      <c r="AO17" s="160">
        <f t="shared" si="8"/>
        <v>3099.7745264989862</v>
      </c>
    </row>
    <row r="18" spans="1:41" ht="12.75" customHeight="1" x14ac:dyDescent="0.2">
      <c r="A18" s="161">
        <v>1</v>
      </c>
      <c r="B18" s="2359"/>
      <c r="C18" s="2363"/>
      <c r="D18" s="673">
        <v>4.5999999999999996</v>
      </c>
      <c r="E18" s="145" t="s">
        <v>39</v>
      </c>
      <c r="F18" s="146" t="s">
        <v>49</v>
      </c>
      <c r="G18" s="275">
        <v>4.13</v>
      </c>
      <c r="H18" s="278">
        <v>6.96</v>
      </c>
      <c r="I18" s="147"/>
      <c r="J18" s="148">
        <v>12.9</v>
      </c>
      <c r="K18" s="149"/>
      <c r="L18" s="149"/>
      <c r="M18" s="149"/>
      <c r="N18" s="149"/>
      <c r="O18" s="150"/>
      <c r="P18" s="273">
        <f t="shared" si="17"/>
        <v>3.2121</v>
      </c>
      <c r="Q18" s="154">
        <f t="shared" si="18"/>
        <v>5.16</v>
      </c>
      <c r="R18" s="153">
        <f t="shared" si="11"/>
        <v>9.8296330760613841</v>
      </c>
      <c r="S18" s="154">
        <f t="shared" si="0"/>
        <v>12.538420411279883</v>
      </c>
      <c r="T18" s="155">
        <f t="shared" si="12"/>
        <v>2175.7967028372382</v>
      </c>
      <c r="U18" s="361">
        <f t="shared" si="13"/>
        <v>1475.4649623454106</v>
      </c>
      <c r="V18" s="1027">
        <v>2</v>
      </c>
      <c r="W18" s="152" t="s">
        <v>80</v>
      </c>
      <c r="X18" s="1251">
        <v>4</v>
      </c>
      <c r="Y18" s="152">
        <v>11</v>
      </c>
      <c r="Z18" s="152">
        <v>35</v>
      </c>
      <c r="AA18" s="152">
        <v>6.3</v>
      </c>
      <c r="AB18" s="1243">
        <v>6.23</v>
      </c>
      <c r="AC18" s="152" t="s">
        <v>81</v>
      </c>
      <c r="AD18" s="152">
        <v>5</v>
      </c>
      <c r="AE18" s="274">
        <f t="shared" si="19"/>
        <v>19.079374999999999</v>
      </c>
      <c r="AF18" s="151">
        <f t="shared" si="1"/>
        <v>28.5506396478367</v>
      </c>
      <c r="AG18" s="274">
        <f t="shared" si="2"/>
        <v>31.364288399398209</v>
      </c>
      <c r="AH18" s="1237">
        <f t="shared" si="3"/>
        <v>0.92504072458990905</v>
      </c>
      <c r="AI18" s="1238">
        <f t="shared" si="20"/>
        <v>1.0162029441405018</v>
      </c>
      <c r="AJ18" s="159">
        <f t="shared" si="5"/>
        <v>749.09996766446341</v>
      </c>
      <c r="AK18" s="155">
        <f t="shared" si="6"/>
        <v>589.84280989952128</v>
      </c>
      <c r="AL18" s="155">
        <f t="shared" si="21"/>
        <v>491.53567491626774</v>
      </c>
      <c r="AM18" s="155">
        <f t="shared" si="22"/>
        <v>393.22853993301419</v>
      </c>
      <c r="AN18" s="155">
        <f t="shared" si="7"/>
        <v>3936.7115417802133</v>
      </c>
      <c r="AO18" s="160">
        <f t="shared" si="8"/>
        <v>3099.7745264989862</v>
      </c>
    </row>
    <row r="19" spans="1:41" ht="12.75" customHeight="1" x14ac:dyDescent="0.2">
      <c r="A19" s="161">
        <v>1</v>
      </c>
      <c r="B19" s="2358" t="s">
        <v>86</v>
      </c>
      <c r="C19" s="2362" t="s">
        <v>43</v>
      </c>
      <c r="D19" s="673">
        <v>4.5999999999999996</v>
      </c>
      <c r="E19" s="145" t="s">
        <v>39</v>
      </c>
      <c r="F19" s="146" t="s">
        <v>49</v>
      </c>
      <c r="G19" s="275">
        <v>4.13</v>
      </c>
      <c r="H19" s="278">
        <v>6.96</v>
      </c>
      <c r="I19" s="147"/>
      <c r="J19" s="148">
        <v>20.399999999999999</v>
      </c>
      <c r="K19" s="149"/>
      <c r="L19" s="149"/>
      <c r="M19" s="149"/>
      <c r="N19" s="149"/>
      <c r="O19" s="150"/>
      <c r="P19" s="273">
        <f t="shared" si="17"/>
        <v>5.0795999999999992</v>
      </c>
      <c r="Q19" s="154">
        <f t="shared" si="18"/>
        <v>8.16</v>
      </c>
      <c r="R19" s="153">
        <f t="shared" si="11"/>
        <v>13.298362160807622</v>
      </c>
      <c r="S19" s="154">
        <f t="shared" si="0"/>
        <v>15.950446268365033</v>
      </c>
      <c r="T19" s="155">
        <f t="shared" si="12"/>
        <v>1608.264459816407</v>
      </c>
      <c r="U19" s="361">
        <f t="shared" si="13"/>
        <v>1159.8421566857078</v>
      </c>
      <c r="V19" s="1027">
        <v>1</v>
      </c>
      <c r="W19" s="152" t="s">
        <v>41</v>
      </c>
      <c r="X19" s="1251">
        <v>6.3</v>
      </c>
      <c r="Y19" s="152">
        <v>11</v>
      </c>
      <c r="Z19" s="152">
        <v>35</v>
      </c>
      <c r="AA19" s="152">
        <v>6.3</v>
      </c>
      <c r="AB19" s="1243">
        <v>7.66</v>
      </c>
      <c r="AC19" s="152" t="s">
        <v>162</v>
      </c>
      <c r="AD19" s="152">
        <v>5</v>
      </c>
      <c r="AE19" s="274">
        <f t="shared" si="19"/>
        <v>14.894444444444446</v>
      </c>
      <c r="AF19" s="151">
        <f t="shared" si="1"/>
        <v>27.654951743098135</v>
      </c>
      <c r="AG19" s="274">
        <f t="shared" si="2"/>
        <v>30.441241950167573</v>
      </c>
      <c r="AH19" s="1237">
        <f t="shared" si="3"/>
        <v>0.89602043647637952</v>
      </c>
      <c r="AI19" s="1238">
        <f t="shared" si="20"/>
        <v>0.9862962391854293</v>
      </c>
      <c r="AJ19" s="159">
        <f t="shared" si="5"/>
        <v>773.36179920588211</v>
      </c>
      <c r="AK19" s="155">
        <f t="shared" si="6"/>
        <v>607.72816136360564</v>
      </c>
      <c r="AL19" s="155">
        <f t="shared" si="21"/>
        <v>506.44013446967136</v>
      </c>
      <c r="AM19" s="155">
        <f t="shared" si="22"/>
        <v>405.15210757573709</v>
      </c>
      <c r="AN19" s="155">
        <f t="shared" si="7"/>
        <v>4064.2136594903723</v>
      </c>
      <c r="AO19" s="160">
        <f t="shared" si="8"/>
        <v>3193.7666137727024</v>
      </c>
    </row>
    <row r="20" spans="1:41" ht="12.75" customHeight="1" x14ac:dyDescent="0.2">
      <c r="A20" s="161">
        <v>1</v>
      </c>
      <c r="B20" s="2359"/>
      <c r="C20" s="2363"/>
      <c r="D20" s="673">
        <v>4.5999999999999996</v>
      </c>
      <c r="E20" s="145" t="s">
        <v>39</v>
      </c>
      <c r="F20" s="146" t="s">
        <v>49</v>
      </c>
      <c r="G20" s="275">
        <v>4.13</v>
      </c>
      <c r="H20" s="278">
        <v>6.96</v>
      </c>
      <c r="I20" s="147"/>
      <c r="J20" s="148">
        <v>20.399999999999999</v>
      </c>
      <c r="K20" s="149"/>
      <c r="L20" s="149"/>
      <c r="M20" s="149"/>
      <c r="N20" s="149"/>
      <c r="O20" s="150"/>
      <c r="P20" s="273">
        <f t="shared" si="17"/>
        <v>5.0795999999999992</v>
      </c>
      <c r="Q20" s="154">
        <f t="shared" si="18"/>
        <v>8.16</v>
      </c>
      <c r="R20" s="153">
        <f t="shared" si="11"/>
        <v>13.298362160807622</v>
      </c>
      <c r="S20" s="154">
        <f t="shared" si="0"/>
        <v>15.950446268365033</v>
      </c>
      <c r="T20" s="155">
        <f t="shared" si="12"/>
        <v>1608.264459816407</v>
      </c>
      <c r="U20" s="361">
        <f t="shared" si="13"/>
        <v>1159.8421566857078</v>
      </c>
      <c r="V20" s="1027">
        <v>2</v>
      </c>
      <c r="W20" s="152" t="s">
        <v>41</v>
      </c>
      <c r="X20" s="1251">
        <v>6.3</v>
      </c>
      <c r="Y20" s="152">
        <v>11</v>
      </c>
      <c r="Z20" s="152">
        <v>35</v>
      </c>
      <c r="AA20" s="152">
        <v>6.3</v>
      </c>
      <c r="AB20" s="1243">
        <v>7.61</v>
      </c>
      <c r="AC20" s="152" t="s">
        <v>162</v>
      </c>
      <c r="AD20" s="152">
        <v>5</v>
      </c>
      <c r="AE20" s="274">
        <f t="shared" si="19"/>
        <v>14.797222222222222</v>
      </c>
      <c r="AF20" s="151">
        <f t="shared" si="1"/>
        <v>27.559389395921841</v>
      </c>
      <c r="AG20" s="274">
        <f t="shared" si="2"/>
        <v>30.345387156103762</v>
      </c>
      <c r="AH20" s="1237">
        <f>SQRT(POWER((AE20+Q20+G20),2)+POWER(P20,2))*POWER(6.3/Z20,2)</f>
        <v>0.89292421642786757</v>
      </c>
      <c r="AI20" s="1238">
        <f t="shared" si="20"/>
        <v>0.98319054385776183</v>
      </c>
      <c r="AJ20" s="159">
        <f t="shared" si="5"/>
        <v>776.04343585925187</v>
      </c>
      <c r="AK20" s="155">
        <f t="shared" si="6"/>
        <v>609.64784877621355</v>
      </c>
      <c r="AL20" s="155">
        <f t="shared" si="21"/>
        <v>508.03987398017796</v>
      </c>
      <c r="AM20" s="155">
        <f t="shared" si="22"/>
        <v>406.43189918414237</v>
      </c>
      <c r="AN20" s="155">
        <f t="shared" si="7"/>
        <v>4078.306344605679</v>
      </c>
      <c r="AO20" s="160">
        <f t="shared" si="8"/>
        <v>3203.8550611362575</v>
      </c>
    </row>
    <row r="21" spans="1:41" ht="12.75" customHeight="1" x14ac:dyDescent="0.2">
      <c r="A21" s="161">
        <v>1</v>
      </c>
      <c r="B21" s="2307" t="s">
        <v>119</v>
      </c>
      <c r="C21" s="2362" t="s">
        <v>43</v>
      </c>
      <c r="D21" s="649">
        <v>3.4</v>
      </c>
      <c r="E21" s="128" t="s">
        <v>39</v>
      </c>
      <c r="F21" s="655" t="s">
        <v>53</v>
      </c>
      <c r="G21" s="615">
        <v>2.5499999999999998</v>
      </c>
      <c r="H21" s="616">
        <v>5.42</v>
      </c>
      <c r="I21" s="131">
        <v>5.3</v>
      </c>
      <c r="J21" s="132"/>
      <c r="K21" s="133"/>
      <c r="L21" s="133"/>
      <c r="M21" s="133"/>
      <c r="N21" s="133"/>
      <c r="O21" s="134"/>
      <c r="P21" s="535">
        <f t="shared" si="17"/>
        <v>1.6641999999999999</v>
      </c>
      <c r="Q21" s="136">
        <f>0.4*SUM(I21:O21)</f>
        <v>2.12</v>
      </c>
      <c r="R21" s="135">
        <f>SQRT(POWER(P21,2)+POWER(Q21+G21,2))</f>
        <v>4.9576669553329209</v>
      </c>
      <c r="S21" s="136">
        <f>SQRT(POWER(P21,2)+POWER(Q21+H21,2))</f>
        <v>7.7214740587532891</v>
      </c>
      <c r="T21" s="137">
        <f>37000/1.73/SQRT(POWER((G21+Q21),2)+P21*P21)</f>
        <v>4313.9814412075621</v>
      </c>
      <c r="U21" s="142">
        <f>37000/2/SQRT(P21*P21+POWER((H21+Q21),2))</f>
        <v>2395.9155802677155</v>
      </c>
      <c r="V21" s="1028">
        <v>1</v>
      </c>
      <c r="W21" s="129" t="s">
        <v>55</v>
      </c>
      <c r="X21" s="1252">
        <v>4</v>
      </c>
      <c r="Y21" s="152">
        <v>11</v>
      </c>
      <c r="Z21" s="129">
        <v>35</v>
      </c>
      <c r="AA21" s="129">
        <v>6.3</v>
      </c>
      <c r="AB21" s="1244">
        <v>7.2</v>
      </c>
      <c r="AC21" s="129" t="s">
        <v>81</v>
      </c>
      <c r="AD21" s="129"/>
      <c r="AE21" s="529">
        <f t="shared" si="19"/>
        <v>22.050000000000004</v>
      </c>
      <c r="AF21" s="878">
        <f>SQRT(POWER(P21,2)+POWER(Q21+AE21+G21,2))</f>
        <v>26.771775466711212</v>
      </c>
      <c r="AG21" s="529">
        <f>SQRT(POWER(P21,2)+POWER(Q21+AE21+H21,2))</f>
        <v>29.636761996547467</v>
      </c>
      <c r="AH21" s="1237">
        <f>SQRT(POWER((AE21+Q21+G21),2)+POWER(P21,2))*POWER(6.3/Z21,2)</f>
        <v>0.8674055251214432</v>
      </c>
      <c r="AI21" s="1238">
        <f>SQRT(POWER((H21+Q21+AE21),2)+POWER(P21,2))*POWER(6.3/Z21,2)</f>
        <v>0.96023108868813789</v>
      </c>
      <c r="AJ21" s="141">
        <f>37000/1.73/SQRT(POWER((G21+Q21+AE21),2)+P21*P21)</f>
        <v>798.8742944444524</v>
      </c>
      <c r="AK21" s="137">
        <f>37000/2/SQRT(POWER((H21+Q21+AE21),2)+P21*P21)</f>
        <v>624.22473825430586</v>
      </c>
      <c r="AL21" s="137">
        <f t="shared" si="21"/>
        <v>520.18728187858824</v>
      </c>
      <c r="AM21" s="137">
        <f t="shared" si="22"/>
        <v>416.14982550287056</v>
      </c>
      <c r="AN21" s="137">
        <f>6300/(1.73*AH21)</f>
        <v>4198.2883341675433</v>
      </c>
      <c r="AO21" s="143">
        <f>SUM(6300/(2*AI21))</f>
        <v>3280.460336171277</v>
      </c>
    </row>
    <row r="22" spans="1:41" ht="12.75" customHeight="1" x14ac:dyDescent="0.2">
      <c r="A22" s="161">
        <v>1</v>
      </c>
      <c r="B22" s="2359"/>
      <c r="C22" s="2363"/>
      <c r="D22" s="673">
        <v>3.4</v>
      </c>
      <c r="E22" s="145" t="s">
        <v>39</v>
      </c>
      <c r="F22" s="146" t="s">
        <v>53</v>
      </c>
      <c r="G22" s="615">
        <v>2.5499999999999998</v>
      </c>
      <c r="H22" s="616">
        <v>5.42</v>
      </c>
      <c r="I22" s="147">
        <v>5.3</v>
      </c>
      <c r="J22" s="148"/>
      <c r="K22" s="149"/>
      <c r="L22" s="149"/>
      <c r="M22" s="149"/>
      <c r="N22" s="149"/>
      <c r="O22" s="150"/>
      <c r="P22" s="273">
        <f t="shared" si="17"/>
        <v>1.6641999999999999</v>
      </c>
      <c r="Q22" s="154">
        <f t="shared" si="18"/>
        <v>2.12</v>
      </c>
      <c r="R22" s="153">
        <f>SQRT(POWER(P22,2)+POWER(Q22+G22,2))</f>
        <v>4.9576669553329209</v>
      </c>
      <c r="S22" s="154">
        <f>SQRT(POWER(P22,2)+POWER(Q22+H22,2))</f>
        <v>7.7214740587532891</v>
      </c>
      <c r="T22" s="155">
        <f>37000/1.73/SQRT(POWER((G22+Q22),2)+P22*P22)</f>
        <v>4313.9814412075621</v>
      </c>
      <c r="U22" s="361">
        <f>37000/2/SQRT(P22*P22+POWER((H22+Q22),2))</f>
        <v>2395.9155802677155</v>
      </c>
      <c r="V22" s="1027">
        <v>2</v>
      </c>
      <c r="W22" s="152" t="s">
        <v>55</v>
      </c>
      <c r="X22" s="1251">
        <v>4</v>
      </c>
      <c r="Y22" s="152">
        <v>11</v>
      </c>
      <c r="Z22" s="152">
        <v>35</v>
      </c>
      <c r="AA22" s="152">
        <v>6.3</v>
      </c>
      <c r="AB22" s="1243">
        <v>7.2</v>
      </c>
      <c r="AC22" s="152" t="s">
        <v>81</v>
      </c>
      <c r="AD22" s="152"/>
      <c r="AE22" s="274">
        <f t="shared" si="19"/>
        <v>22.050000000000004</v>
      </c>
      <c r="AF22" s="151">
        <f>SQRT(POWER(P22,2)+POWER(Q22+AE22+G22,2))</f>
        <v>26.771775466711212</v>
      </c>
      <c r="AG22" s="274">
        <f>SQRT(POWER(P22,2)+POWER(Q22+AE22+H22,2))</f>
        <v>29.636761996547467</v>
      </c>
      <c r="AH22" s="1237">
        <f t="shared" ref="AH22:AH44" si="23">SQRT(POWER((AE22+Q22+G22),2)+POWER(P22,2))*POWER(6.3/Z22,2)</f>
        <v>0.8674055251214432</v>
      </c>
      <c r="AI22" s="1238">
        <f t="shared" ref="AI22:AI44" si="24">SQRT(POWER((H22+Q22+AE22),2)+POWER(P22,2))*POWER(6.3/Z22,2)</f>
        <v>0.96023108868813789</v>
      </c>
      <c r="AJ22" s="159">
        <f>37000/1.73/SQRT(POWER((G22+Q22+AE22),2)+P22*P22)</f>
        <v>798.8742944444524</v>
      </c>
      <c r="AK22" s="155">
        <f>37000/2/SQRT(POWER((H22+Q22+AE22),2)+P22*P22)</f>
        <v>624.22473825430586</v>
      </c>
      <c r="AL22" s="155">
        <f t="shared" si="21"/>
        <v>520.18728187858824</v>
      </c>
      <c r="AM22" s="155">
        <f t="shared" si="22"/>
        <v>416.14982550287056</v>
      </c>
      <c r="AN22" s="155">
        <f>6300/(1.73*AH22)</f>
        <v>4198.2883341675433</v>
      </c>
      <c r="AO22" s="160">
        <f>SUM(6300/(2*AI22))</f>
        <v>3280.460336171277</v>
      </c>
    </row>
    <row r="23" spans="1:41" ht="12.75" customHeight="1" x14ac:dyDescent="0.2">
      <c r="A23" s="144">
        <v>1</v>
      </c>
      <c r="B23" s="2358" t="s">
        <v>171</v>
      </c>
      <c r="C23" s="2362" t="s">
        <v>342</v>
      </c>
      <c r="D23" s="673">
        <v>5.6</v>
      </c>
      <c r="E23" s="145" t="s">
        <v>39</v>
      </c>
      <c r="F23" s="146" t="s">
        <v>53</v>
      </c>
      <c r="G23" s="615">
        <v>2.5499999999999998</v>
      </c>
      <c r="H23" s="616">
        <v>5.42</v>
      </c>
      <c r="I23" s="147"/>
      <c r="J23" s="148">
        <v>10.92</v>
      </c>
      <c r="K23" s="149">
        <v>0.08</v>
      </c>
      <c r="L23" s="149"/>
      <c r="M23" s="149"/>
      <c r="N23" s="149"/>
      <c r="O23" s="150"/>
      <c r="P23" s="273">
        <f>0.314*I23+0.249*J23+0.37*K23+0.195*M23+0.159*N23+0.06*O23</f>
        <v>2.7486799999999998</v>
      </c>
      <c r="Q23" s="151">
        <f>0.4*I23+0.4*J23+0.083*K23+0.4*M23+0.4*N23+0.4*O23</f>
        <v>4.3746400000000003</v>
      </c>
      <c r="R23" s="153">
        <f t="shared" si="11"/>
        <v>7.4502269007057764</v>
      </c>
      <c r="S23" s="154">
        <f t="shared" si="0"/>
        <v>10.173014030856343</v>
      </c>
      <c r="T23" s="155">
        <f t="shared" si="12"/>
        <v>2870.6888423717878</v>
      </c>
      <c r="U23" s="361">
        <f t="shared" si="13"/>
        <v>1818.5367624468624</v>
      </c>
      <c r="V23" s="1027">
        <v>1</v>
      </c>
      <c r="W23" s="152" t="s">
        <v>188</v>
      </c>
      <c r="X23" s="1251">
        <v>4</v>
      </c>
      <c r="Y23" s="152">
        <v>11</v>
      </c>
      <c r="Z23" s="152">
        <v>35</v>
      </c>
      <c r="AA23" s="152">
        <v>6.3</v>
      </c>
      <c r="AB23" s="1243">
        <v>7.6</v>
      </c>
      <c r="AC23" s="152" t="s">
        <v>81</v>
      </c>
      <c r="AD23" s="152">
        <v>10</v>
      </c>
      <c r="AE23" s="274">
        <f t="shared" si="19"/>
        <v>23.275000000000002</v>
      </c>
      <c r="AF23" s="151">
        <f t="shared" si="1"/>
        <v>30.324470281803769</v>
      </c>
      <c r="AG23" s="274">
        <f t="shared" si="2"/>
        <v>33.183675677537593</v>
      </c>
      <c r="AH23" s="1237">
        <f t="shared" si="23"/>
        <v>0.98251283713044213</v>
      </c>
      <c r="AI23" s="1238">
        <f t="shared" si="24"/>
        <v>1.0751510919522183</v>
      </c>
      <c r="AJ23" s="159">
        <f t="shared" si="5"/>
        <v>705.28134665645518</v>
      </c>
      <c r="AK23" s="155">
        <f t="shared" si="6"/>
        <v>557.50303793268017</v>
      </c>
      <c r="AL23" s="155">
        <f t="shared" si="21"/>
        <v>464.58586494390016</v>
      </c>
      <c r="AM23" s="155">
        <f t="shared" si="22"/>
        <v>371.6686919551201</v>
      </c>
      <c r="AN23" s="155">
        <f t="shared" si="7"/>
        <v>3706.4335034498399</v>
      </c>
      <c r="AO23" s="160">
        <f t="shared" si="8"/>
        <v>2929.8207699164873</v>
      </c>
    </row>
    <row r="24" spans="1:41" ht="12.75" customHeight="1" thickBot="1" x14ac:dyDescent="0.25">
      <c r="A24" s="196">
        <v>1</v>
      </c>
      <c r="B24" s="2308"/>
      <c r="C24" s="2364"/>
      <c r="D24" s="830">
        <v>5.6</v>
      </c>
      <c r="E24" s="164" t="s">
        <v>39</v>
      </c>
      <c r="F24" s="165" t="s">
        <v>53</v>
      </c>
      <c r="G24" s="1015">
        <v>2.5499999999999998</v>
      </c>
      <c r="H24" s="1016">
        <v>5.42</v>
      </c>
      <c r="I24" s="167"/>
      <c r="J24" s="168">
        <v>10.92</v>
      </c>
      <c r="K24" s="169">
        <v>0.08</v>
      </c>
      <c r="L24" s="169"/>
      <c r="M24" s="169"/>
      <c r="N24" s="169"/>
      <c r="O24" s="170"/>
      <c r="P24" s="536">
        <f>0.314*I24+0.249*J24+0.37*K24+0.195*M24+0.159*N24+0.06*O24</f>
        <v>2.7486799999999998</v>
      </c>
      <c r="Q24" s="171">
        <f>0.4*I24+0.4*J24+0.083*K24+0.4*M24+0.4*N24+0.4*O24</f>
        <v>4.3746400000000003</v>
      </c>
      <c r="R24" s="172">
        <f t="shared" si="11"/>
        <v>7.4502269007057764</v>
      </c>
      <c r="S24" s="173">
        <f t="shared" si="0"/>
        <v>10.173014030856343</v>
      </c>
      <c r="T24" s="174">
        <f t="shared" si="12"/>
        <v>2870.6888423717878</v>
      </c>
      <c r="U24" s="372">
        <f t="shared" si="13"/>
        <v>1818.5367624468624</v>
      </c>
      <c r="V24" s="1029">
        <v>2</v>
      </c>
      <c r="W24" s="166" t="s">
        <v>188</v>
      </c>
      <c r="X24" s="1253">
        <v>4</v>
      </c>
      <c r="Y24" s="166">
        <v>11</v>
      </c>
      <c r="Z24" s="166">
        <v>35</v>
      </c>
      <c r="AA24" s="166">
        <v>6.3</v>
      </c>
      <c r="AB24" s="1245">
        <v>7.69</v>
      </c>
      <c r="AC24" s="166" t="s">
        <v>81</v>
      </c>
      <c r="AD24" s="166">
        <v>10</v>
      </c>
      <c r="AE24" s="531">
        <f t="shared" si="19"/>
        <v>23.550625000000004</v>
      </c>
      <c r="AF24" s="171">
        <f t="shared" si="1"/>
        <v>30.59897087424061</v>
      </c>
      <c r="AG24" s="531">
        <f t="shared" si="2"/>
        <v>33.458361281787624</v>
      </c>
      <c r="AH24" s="1254">
        <f t="shared" si="23"/>
        <v>0.99140665632539571</v>
      </c>
      <c r="AI24" s="1255">
        <f t="shared" si="24"/>
        <v>1.084050905529919</v>
      </c>
      <c r="AJ24" s="177">
        <f t="shared" si="5"/>
        <v>698.95433166345003</v>
      </c>
      <c r="AK24" s="174">
        <f t="shared" si="6"/>
        <v>552.92606365841641</v>
      </c>
      <c r="AL24" s="174">
        <f t="shared" si="21"/>
        <v>460.77171971534705</v>
      </c>
      <c r="AM24" s="174">
        <f t="shared" si="22"/>
        <v>368.61737577227763</v>
      </c>
      <c r="AN24" s="174">
        <f t="shared" si="7"/>
        <v>3673.183424657771</v>
      </c>
      <c r="AO24" s="178">
        <f t="shared" si="8"/>
        <v>2905.7676018084949</v>
      </c>
    </row>
    <row r="25" spans="1:41" ht="12.75" customHeight="1" x14ac:dyDescent="0.2">
      <c r="A25" s="254">
        <v>1</v>
      </c>
      <c r="B25" s="2365" t="s">
        <v>52</v>
      </c>
      <c r="C25" s="2367" t="s">
        <v>340</v>
      </c>
      <c r="D25" s="647">
        <v>4.5999999999999996</v>
      </c>
      <c r="E25" s="197" t="s">
        <v>35</v>
      </c>
      <c r="F25" s="656" t="s">
        <v>49</v>
      </c>
      <c r="G25" s="976">
        <v>4.13</v>
      </c>
      <c r="H25" s="636">
        <v>6.96</v>
      </c>
      <c r="I25" s="200"/>
      <c r="J25" s="201">
        <v>6.1</v>
      </c>
      <c r="K25" s="202"/>
      <c r="L25" s="202"/>
      <c r="M25" s="202"/>
      <c r="N25" s="202"/>
      <c r="O25" s="203"/>
      <c r="P25" s="204">
        <f>0.314*I25+0.249*J25+0.195*M25+0.159*N25+0.06*O25</f>
        <v>1.5188999999999999</v>
      </c>
      <c r="Q25" s="206">
        <f>0.4*SUM(I25:O25)</f>
        <v>2.44</v>
      </c>
      <c r="R25" s="205">
        <f t="shared" si="11"/>
        <v>6.7432897913407217</v>
      </c>
      <c r="S25" s="206">
        <f t="shared" si="0"/>
        <v>9.5219250789953183</v>
      </c>
      <c r="T25" s="207">
        <f t="shared" si="12"/>
        <v>3171.6393479720132</v>
      </c>
      <c r="U25" s="1018">
        <f t="shared" si="13"/>
        <v>1942.8844321417387</v>
      </c>
      <c r="V25" s="1030">
        <v>1</v>
      </c>
      <c r="W25" s="198" t="s">
        <v>187</v>
      </c>
      <c r="X25" s="1252">
        <v>4</v>
      </c>
      <c r="Y25" s="198">
        <v>11</v>
      </c>
      <c r="Z25" s="198">
        <v>35</v>
      </c>
      <c r="AA25" s="198">
        <v>6.3</v>
      </c>
      <c r="AB25" s="1244">
        <v>7.67</v>
      </c>
      <c r="AC25" s="198" t="s">
        <v>81</v>
      </c>
      <c r="AD25" s="198">
        <v>9</v>
      </c>
      <c r="AE25" s="340">
        <f t="shared" si="19"/>
        <v>23.489375000000003</v>
      </c>
      <c r="AF25" s="204">
        <f t="shared" si="1"/>
        <v>30.097725538661976</v>
      </c>
      <c r="AG25" s="208">
        <f t="shared" si="2"/>
        <v>32.924429305617814</v>
      </c>
      <c r="AH25" s="1239">
        <f t="shared" si="23"/>
        <v>0.97516630745264798</v>
      </c>
      <c r="AI25" s="1240">
        <f t="shared" si="24"/>
        <v>1.066751509502017</v>
      </c>
      <c r="AJ25" s="259">
        <f t="shared" si="5"/>
        <v>710.59466634849946</v>
      </c>
      <c r="AK25" s="207">
        <f t="shared" si="6"/>
        <v>561.89280695727632</v>
      </c>
      <c r="AL25" s="207">
        <f t="shared" si="21"/>
        <v>468.24400579773027</v>
      </c>
      <c r="AM25" s="207">
        <f t="shared" si="22"/>
        <v>374.59520463818421</v>
      </c>
      <c r="AN25" s="207">
        <f t="shared" si="7"/>
        <v>3734.356354684307</v>
      </c>
      <c r="AO25" s="260">
        <f t="shared" si="8"/>
        <v>2952.890126652353</v>
      </c>
    </row>
    <row r="26" spans="1:41" ht="12.75" customHeight="1" x14ac:dyDescent="0.2">
      <c r="A26" s="255">
        <v>1</v>
      </c>
      <c r="B26" s="2366"/>
      <c r="C26" s="2368"/>
      <c r="D26" s="675">
        <v>4.5999999999999996</v>
      </c>
      <c r="E26" s="209" t="s">
        <v>35</v>
      </c>
      <c r="F26" s="210" t="s">
        <v>49</v>
      </c>
      <c r="G26" s="308">
        <v>4.13</v>
      </c>
      <c r="H26" s="634">
        <v>6.96</v>
      </c>
      <c r="I26" s="213"/>
      <c r="J26" s="214">
        <v>6.1</v>
      </c>
      <c r="K26" s="215"/>
      <c r="L26" s="215"/>
      <c r="M26" s="215"/>
      <c r="N26" s="215"/>
      <c r="O26" s="216"/>
      <c r="P26" s="217">
        <f>0.314*I26+0.249*J26+0.195*M26+0.159*N26+0.06*O26</f>
        <v>1.5188999999999999</v>
      </c>
      <c r="Q26" s="219">
        <f>0.4*SUM(I26:O26)</f>
        <v>2.44</v>
      </c>
      <c r="R26" s="218">
        <f t="shared" si="11"/>
        <v>6.7432897913407217</v>
      </c>
      <c r="S26" s="219">
        <f t="shared" si="0"/>
        <v>9.5219250789953183</v>
      </c>
      <c r="T26" s="220">
        <f t="shared" si="12"/>
        <v>3171.6393479720132</v>
      </c>
      <c r="U26" s="871">
        <f t="shared" si="13"/>
        <v>1942.8844321417387</v>
      </c>
      <c r="V26" s="1031">
        <v>2</v>
      </c>
      <c r="W26" s="211" t="s">
        <v>187</v>
      </c>
      <c r="X26" s="1251">
        <v>4</v>
      </c>
      <c r="Y26" s="211">
        <v>11</v>
      </c>
      <c r="Z26" s="211">
        <v>35</v>
      </c>
      <c r="AA26" s="211">
        <v>6.3</v>
      </c>
      <c r="AB26" s="1243">
        <v>7.6</v>
      </c>
      <c r="AC26" s="211" t="s">
        <v>81</v>
      </c>
      <c r="AD26" s="211">
        <v>12</v>
      </c>
      <c r="AE26" s="307">
        <f t="shared" si="19"/>
        <v>23.275000000000002</v>
      </c>
      <c r="AF26" s="217">
        <f t="shared" si="1"/>
        <v>29.883625653692025</v>
      </c>
      <c r="AG26" s="221">
        <f t="shared" si="2"/>
        <v>32.71028404355426</v>
      </c>
      <c r="AH26" s="1237">
        <f t="shared" si="23"/>
        <v>0.96822947117962155</v>
      </c>
      <c r="AI26" s="1238">
        <f t="shared" si="24"/>
        <v>1.059813203011158</v>
      </c>
      <c r="AJ26" s="261">
        <f t="shared" si="5"/>
        <v>715.68568970987258</v>
      </c>
      <c r="AK26" s="220">
        <f t="shared" si="6"/>
        <v>565.57136512073566</v>
      </c>
      <c r="AL26" s="220">
        <f t="shared" si="21"/>
        <v>471.30947093394639</v>
      </c>
      <c r="AM26" s="220">
        <f t="shared" si="22"/>
        <v>377.04757674715711</v>
      </c>
      <c r="AN26" s="220">
        <f t="shared" si="7"/>
        <v>3761.1109819587905</v>
      </c>
      <c r="AO26" s="262">
        <f t="shared" si="8"/>
        <v>2972.2218887726349</v>
      </c>
    </row>
    <row r="27" spans="1:41" ht="12.75" customHeight="1" x14ac:dyDescent="0.2">
      <c r="A27" s="256">
        <v>1</v>
      </c>
      <c r="B27" s="2369" t="s">
        <v>69</v>
      </c>
      <c r="C27" s="2370" t="s">
        <v>340</v>
      </c>
      <c r="D27" s="675">
        <v>4.5999999999999996</v>
      </c>
      <c r="E27" s="209" t="s">
        <v>35</v>
      </c>
      <c r="F27" s="210" t="s">
        <v>49</v>
      </c>
      <c r="G27" s="308">
        <v>4.13</v>
      </c>
      <c r="H27" s="634">
        <v>6.96</v>
      </c>
      <c r="I27" s="213"/>
      <c r="J27" s="214">
        <v>10.58</v>
      </c>
      <c r="K27" s="215"/>
      <c r="L27" s="215"/>
      <c r="M27" s="215"/>
      <c r="N27" s="215"/>
      <c r="O27" s="216"/>
      <c r="P27" s="217">
        <f t="shared" ref="P27:P42" si="25">0.314*I27+0.249*J27+0.195*M27+0.159*N27+0.06*O27</f>
        <v>2.63442</v>
      </c>
      <c r="Q27" s="219">
        <f t="shared" ref="Q27:Q42" si="26">0.4*SUM(I27:O27)</f>
        <v>4.2320000000000002</v>
      </c>
      <c r="R27" s="218">
        <f t="shared" si="11"/>
        <v>8.767166745100722</v>
      </c>
      <c r="S27" s="219">
        <f t="shared" si="0"/>
        <v>11.497870791429168</v>
      </c>
      <c r="T27" s="220">
        <f t="shared" si="12"/>
        <v>2439.4749020766467</v>
      </c>
      <c r="U27" s="871">
        <f t="shared" si="13"/>
        <v>1608.9935550319815</v>
      </c>
      <c r="V27" s="1031">
        <v>1</v>
      </c>
      <c r="W27" s="211" t="s">
        <v>41</v>
      </c>
      <c r="X27" s="1251">
        <v>6.3</v>
      </c>
      <c r="Y27" s="211">
        <v>11</v>
      </c>
      <c r="Z27" s="211">
        <v>35</v>
      </c>
      <c r="AA27" s="211">
        <v>6.3</v>
      </c>
      <c r="AB27" s="1243">
        <v>7.82</v>
      </c>
      <c r="AC27" s="211" t="s">
        <v>162</v>
      </c>
      <c r="AD27" s="211"/>
      <c r="AE27" s="307">
        <f t="shared" si="19"/>
        <v>15.205555555555556</v>
      </c>
      <c r="AF27" s="217">
        <f t="shared" si="1"/>
        <v>23.714338354687388</v>
      </c>
      <c r="AG27" s="221">
        <f t="shared" si="2"/>
        <v>26.528684627117151</v>
      </c>
      <c r="AH27" s="1237">
        <f t="shared" si="23"/>
        <v>0.76834456269187135</v>
      </c>
      <c r="AI27" s="1238">
        <f t="shared" si="24"/>
        <v>0.85952938191859563</v>
      </c>
      <c r="AJ27" s="261">
        <f t="shared" si="5"/>
        <v>901.87138755936621</v>
      </c>
      <c r="AK27" s="220">
        <f t="shared" si="6"/>
        <v>697.35835982948163</v>
      </c>
      <c r="AL27" s="220">
        <f t="shared" si="21"/>
        <v>581.13196652456804</v>
      </c>
      <c r="AM27" s="220">
        <f t="shared" si="22"/>
        <v>464.9055732196544</v>
      </c>
      <c r="AN27" s="220">
        <f t="shared" si="7"/>
        <v>4739.5643490357106</v>
      </c>
      <c r="AO27" s="262">
        <f t="shared" si="8"/>
        <v>3664.7961852900689</v>
      </c>
    </row>
    <row r="28" spans="1:41" ht="12.75" customHeight="1" x14ac:dyDescent="0.2">
      <c r="A28" s="256">
        <v>1</v>
      </c>
      <c r="B28" s="2366"/>
      <c r="C28" s="2368"/>
      <c r="D28" s="675">
        <v>4.5999999999999996</v>
      </c>
      <c r="E28" s="209" t="s">
        <v>35</v>
      </c>
      <c r="F28" s="210" t="s">
        <v>49</v>
      </c>
      <c r="G28" s="308">
        <v>4.13</v>
      </c>
      <c r="H28" s="634">
        <v>6.96</v>
      </c>
      <c r="I28" s="213"/>
      <c r="J28" s="214">
        <v>10.58</v>
      </c>
      <c r="K28" s="215"/>
      <c r="L28" s="215"/>
      <c r="M28" s="215"/>
      <c r="N28" s="215"/>
      <c r="O28" s="216"/>
      <c r="P28" s="217">
        <f>0.314*I28+0.249*J28+0.195*M28+0.159*N28+0.06*O28</f>
        <v>2.63442</v>
      </c>
      <c r="Q28" s="219">
        <f t="shared" si="26"/>
        <v>4.2320000000000002</v>
      </c>
      <c r="R28" s="218">
        <f t="shared" si="11"/>
        <v>8.767166745100722</v>
      </c>
      <c r="S28" s="219">
        <f t="shared" si="0"/>
        <v>11.497870791429168</v>
      </c>
      <c r="T28" s="220">
        <f t="shared" si="12"/>
        <v>2439.4749020766467</v>
      </c>
      <c r="U28" s="871">
        <f t="shared" si="13"/>
        <v>1608.9935550319815</v>
      </c>
      <c r="V28" s="1031">
        <v>2</v>
      </c>
      <c r="W28" s="211" t="s">
        <v>41</v>
      </c>
      <c r="X28" s="1251">
        <v>6.3</v>
      </c>
      <c r="Y28" s="211">
        <v>11</v>
      </c>
      <c r="Z28" s="211">
        <v>35</v>
      </c>
      <c r="AA28" s="211">
        <v>6.3</v>
      </c>
      <c r="AB28" s="1243">
        <v>7.94</v>
      </c>
      <c r="AC28" s="211" t="s">
        <v>162</v>
      </c>
      <c r="AD28" s="211"/>
      <c r="AE28" s="307">
        <f t="shared" si="19"/>
        <v>15.43888888888889</v>
      </c>
      <c r="AF28" s="217">
        <f t="shared" si="1"/>
        <v>23.946241472048062</v>
      </c>
      <c r="AG28" s="221">
        <f t="shared" si="2"/>
        <v>26.760874644688759</v>
      </c>
      <c r="AH28" s="1237">
        <f t="shared" si="23"/>
        <v>0.7758582236943572</v>
      </c>
      <c r="AI28" s="1238">
        <f t="shared" si="24"/>
        <v>0.86705233848791574</v>
      </c>
      <c r="AJ28" s="261">
        <f t="shared" si="5"/>
        <v>893.13737447937865</v>
      </c>
      <c r="AK28" s="220">
        <f t="shared" si="6"/>
        <v>691.3077485556588</v>
      </c>
      <c r="AL28" s="220">
        <f t="shared" si="21"/>
        <v>576.08979046304898</v>
      </c>
      <c r="AM28" s="220">
        <f t="shared" si="22"/>
        <v>460.87183237043922</v>
      </c>
      <c r="AN28" s="220">
        <f t="shared" si="7"/>
        <v>4693.6648808976361</v>
      </c>
      <c r="AO28" s="262">
        <f t="shared" si="8"/>
        <v>3632.9986785958044</v>
      </c>
    </row>
    <row r="29" spans="1:41" ht="12.75" customHeight="1" x14ac:dyDescent="0.2">
      <c r="A29" s="256">
        <v>1</v>
      </c>
      <c r="B29" s="2369" t="s">
        <v>70</v>
      </c>
      <c r="C29" s="2370" t="s">
        <v>340</v>
      </c>
      <c r="D29" s="675">
        <v>5.6</v>
      </c>
      <c r="E29" s="209" t="s">
        <v>35</v>
      </c>
      <c r="F29" s="210" t="s">
        <v>53</v>
      </c>
      <c r="G29" s="308">
        <v>2.5499999999999998</v>
      </c>
      <c r="H29" s="634">
        <v>5.42</v>
      </c>
      <c r="I29" s="213"/>
      <c r="J29" s="214">
        <v>10.63</v>
      </c>
      <c r="K29" s="215"/>
      <c r="L29" s="215"/>
      <c r="M29" s="215"/>
      <c r="N29" s="215"/>
      <c r="O29" s="216"/>
      <c r="P29" s="217">
        <f t="shared" si="25"/>
        <v>2.6468700000000003</v>
      </c>
      <c r="Q29" s="219">
        <f t="shared" si="26"/>
        <v>4.2520000000000007</v>
      </c>
      <c r="R29" s="218">
        <f t="shared" si="11"/>
        <v>7.2988440726528747</v>
      </c>
      <c r="S29" s="219">
        <f t="shared" si="0"/>
        <v>10.027637049519694</v>
      </c>
      <c r="T29" s="220">
        <f t="shared" si="12"/>
        <v>2930.2288176188822</v>
      </c>
      <c r="U29" s="871">
        <f t="shared" si="13"/>
        <v>1844.9012373145395</v>
      </c>
      <c r="V29" s="1031">
        <v>1</v>
      </c>
      <c r="W29" s="211" t="s">
        <v>41</v>
      </c>
      <c r="X29" s="1251">
        <v>6.3</v>
      </c>
      <c r="Y29" s="211">
        <v>11</v>
      </c>
      <c r="Z29" s="211">
        <v>35</v>
      </c>
      <c r="AA29" s="211">
        <v>6.3</v>
      </c>
      <c r="AB29" s="1243">
        <v>7.94</v>
      </c>
      <c r="AC29" s="211" t="s">
        <v>162</v>
      </c>
      <c r="AD29" s="211">
        <v>5</v>
      </c>
      <c r="AE29" s="307">
        <f t="shared" si="19"/>
        <v>15.43888888888889</v>
      </c>
      <c r="AF29" s="217">
        <f t="shared" si="1"/>
        <v>22.397836042010876</v>
      </c>
      <c r="AG29" s="221">
        <f t="shared" si="2"/>
        <v>25.250003199742842</v>
      </c>
      <c r="AH29" s="1256">
        <f t="shared" si="23"/>
        <v>0.7256898877611524</v>
      </c>
      <c r="AI29" s="1257">
        <f t="shared" si="24"/>
        <v>0.81810010367166797</v>
      </c>
      <c r="AJ29" s="261">
        <f t="shared" si="5"/>
        <v>954.88167682265407</v>
      </c>
      <c r="AK29" s="220">
        <f t="shared" si="6"/>
        <v>732.67317448056463</v>
      </c>
      <c r="AL29" s="220">
        <f t="shared" si="21"/>
        <v>610.56097873380384</v>
      </c>
      <c r="AM29" s="220">
        <f t="shared" si="22"/>
        <v>488.4487829870431</v>
      </c>
      <c r="AN29" s="220">
        <f t="shared" si="7"/>
        <v>5018.1469502692025</v>
      </c>
      <c r="AO29" s="262">
        <f t="shared" si="8"/>
        <v>3850.384550573538</v>
      </c>
    </row>
    <row r="30" spans="1:41" ht="12.75" customHeight="1" x14ac:dyDescent="0.2">
      <c r="A30" s="256">
        <v>1</v>
      </c>
      <c r="B30" s="2366"/>
      <c r="C30" s="2368"/>
      <c r="D30" s="675">
        <v>5.6</v>
      </c>
      <c r="E30" s="209" t="s">
        <v>35</v>
      </c>
      <c r="F30" s="210" t="s">
        <v>53</v>
      </c>
      <c r="G30" s="308">
        <v>2.5499999999999998</v>
      </c>
      <c r="H30" s="634">
        <v>5.42</v>
      </c>
      <c r="I30" s="213"/>
      <c r="J30" s="214">
        <v>10.63</v>
      </c>
      <c r="K30" s="215"/>
      <c r="L30" s="215"/>
      <c r="M30" s="215"/>
      <c r="N30" s="215"/>
      <c r="O30" s="216"/>
      <c r="P30" s="217">
        <f t="shared" si="25"/>
        <v>2.6468700000000003</v>
      </c>
      <c r="Q30" s="219">
        <f t="shared" si="26"/>
        <v>4.2520000000000007</v>
      </c>
      <c r="R30" s="218">
        <f t="shared" si="11"/>
        <v>7.2988440726528747</v>
      </c>
      <c r="S30" s="219">
        <f t="shared" si="0"/>
        <v>10.027637049519694</v>
      </c>
      <c r="T30" s="220">
        <f t="shared" si="12"/>
        <v>2930.2288176188822</v>
      </c>
      <c r="U30" s="871">
        <f t="shared" si="13"/>
        <v>1844.9012373145395</v>
      </c>
      <c r="V30" s="1031">
        <v>2</v>
      </c>
      <c r="W30" s="211" t="s">
        <v>41</v>
      </c>
      <c r="X30" s="1251">
        <v>6.3</v>
      </c>
      <c r="Y30" s="211">
        <v>11</v>
      </c>
      <c r="Z30" s="211">
        <v>35</v>
      </c>
      <c r="AA30" s="211">
        <v>6.3</v>
      </c>
      <c r="AB30" s="1243">
        <v>7.96</v>
      </c>
      <c r="AC30" s="211" t="s">
        <v>162</v>
      </c>
      <c r="AD30" s="211">
        <v>5</v>
      </c>
      <c r="AE30" s="307">
        <f t="shared" si="19"/>
        <v>15.47777777777778</v>
      </c>
      <c r="AF30" s="217">
        <f t="shared" si="1"/>
        <v>22.436452897551803</v>
      </c>
      <c r="AG30" s="221">
        <f t="shared" si="2"/>
        <v>25.288678159771518</v>
      </c>
      <c r="AH30" s="1256">
        <f t="shared" si="23"/>
        <v>0.72694107388067841</v>
      </c>
      <c r="AI30" s="1257">
        <f t="shared" si="24"/>
        <v>0.81935317237659711</v>
      </c>
      <c r="AJ30" s="261">
        <f t="shared" si="5"/>
        <v>953.23816713148688</v>
      </c>
      <c r="AK30" s="220">
        <f t="shared" si="6"/>
        <v>731.55266887097537</v>
      </c>
      <c r="AL30" s="220">
        <f t="shared" si="21"/>
        <v>609.62722405914622</v>
      </c>
      <c r="AM30" s="220">
        <f t="shared" si="22"/>
        <v>487.70177924731689</v>
      </c>
      <c r="AN30" s="220">
        <f t="shared" si="7"/>
        <v>5009.5098873276347</v>
      </c>
      <c r="AO30" s="262">
        <f t="shared" si="8"/>
        <v>3844.4960075802014</v>
      </c>
    </row>
    <row r="31" spans="1:41" ht="12.75" customHeight="1" x14ac:dyDescent="0.2">
      <c r="A31" s="256">
        <v>1</v>
      </c>
      <c r="B31" s="2369" t="s">
        <v>75</v>
      </c>
      <c r="C31" s="2370" t="s">
        <v>340</v>
      </c>
      <c r="D31" s="675">
        <v>4.5999999999999996</v>
      </c>
      <c r="E31" s="209" t="s">
        <v>35</v>
      </c>
      <c r="F31" s="210" t="s">
        <v>49</v>
      </c>
      <c r="G31" s="308">
        <v>4.13</v>
      </c>
      <c r="H31" s="634">
        <v>6.96</v>
      </c>
      <c r="I31" s="213"/>
      <c r="J31" s="214">
        <v>6.83</v>
      </c>
      <c r="K31" s="215"/>
      <c r="L31" s="215"/>
      <c r="M31" s="215"/>
      <c r="N31" s="215"/>
      <c r="O31" s="216"/>
      <c r="P31" s="217">
        <f t="shared" si="25"/>
        <v>1.7006699999999999</v>
      </c>
      <c r="Q31" s="219">
        <f t="shared" si="26"/>
        <v>2.7320000000000002</v>
      </c>
      <c r="R31" s="218">
        <f t="shared" si="11"/>
        <v>7.0696055370084121</v>
      </c>
      <c r="S31" s="219">
        <f t="shared" si="0"/>
        <v>9.8400783761563613</v>
      </c>
      <c r="T31" s="220">
        <f t="shared" si="12"/>
        <v>3025.2442127123973</v>
      </c>
      <c r="U31" s="871">
        <f t="shared" si="13"/>
        <v>1880.0663259784212</v>
      </c>
      <c r="V31" s="1031">
        <v>1</v>
      </c>
      <c r="W31" s="211" t="s">
        <v>41</v>
      </c>
      <c r="X31" s="1251">
        <v>6.3</v>
      </c>
      <c r="Y31" s="211">
        <v>11</v>
      </c>
      <c r="Z31" s="211">
        <v>35</v>
      </c>
      <c r="AA31" s="211">
        <v>6.3</v>
      </c>
      <c r="AB31" s="1243">
        <v>7.41</v>
      </c>
      <c r="AC31" s="211" t="s">
        <v>162</v>
      </c>
      <c r="AD31" s="211">
        <v>12</v>
      </c>
      <c r="AE31" s="307">
        <f t="shared" si="19"/>
        <v>14.408333333333335</v>
      </c>
      <c r="AF31" s="217">
        <f t="shared" si="1"/>
        <v>21.338213574711713</v>
      </c>
      <c r="AG31" s="221">
        <f t="shared" si="2"/>
        <v>24.160263765668574</v>
      </c>
      <c r="AH31" s="179">
        <f t="shared" si="23"/>
        <v>0.69135811982065942</v>
      </c>
      <c r="AI31" s="180">
        <f t="shared" si="24"/>
        <v>0.78279254600766179</v>
      </c>
      <c r="AJ31" s="261">
        <f t="shared" si="5"/>
        <v>1002.2996143566892</v>
      </c>
      <c r="AK31" s="220">
        <f t="shared" si="6"/>
        <v>765.72011710767265</v>
      </c>
      <c r="AL31" s="220">
        <f t="shared" si="21"/>
        <v>638.10009758972728</v>
      </c>
      <c r="AM31" s="220">
        <f t="shared" si="22"/>
        <v>510.48007807178175</v>
      </c>
      <c r="AN31" s="220">
        <f t="shared" si="7"/>
        <v>5267.3403156883069</v>
      </c>
      <c r="AO31" s="262">
        <f t="shared" si="8"/>
        <v>4024.0546694847662</v>
      </c>
    </row>
    <row r="32" spans="1:41" ht="12.75" customHeight="1" x14ac:dyDescent="0.2">
      <c r="A32" s="256">
        <v>1</v>
      </c>
      <c r="B32" s="2366"/>
      <c r="C32" s="2368"/>
      <c r="D32" s="675">
        <v>4.5999999999999996</v>
      </c>
      <c r="E32" s="209" t="s">
        <v>35</v>
      </c>
      <c r="F32" s="210" t="s">
        <v>49</v>
      </c>
      <c r="G32" s="308">
        <v>4.13</v>
      </c>
      <c r="H32" s="634">
        <v>6.96</v>
      </c>
      <c r="I32" s="213"/>
      <c r="J32" s="214">
        <v>6.83</v>
      </c>
      <c r="K32" s="215"/>
      <c r="L32" s="215"/>
      <c r="M32" s="215"/>
      <c r="N32" s="215"/>
      <c r="O32" s="216"/>
      <c r="P32" s="217">
        <f t="shared" si="25"/>
        <v>1.7006699999999999</v>
      </c>
      <c r="Q32" s="219">
        <f t="shared" si="26"/>
        <v>2.7320000000000002</v>
      </c>
      <c r="R32" s="218">
        <f t="shared" si="11"/>
        <v>7.0696055370084121</v>
      </c>
      <c r="S32" s="219">
        <f t="shared" si="0"/>
        <v>9.8400783761563613</v>
      </c>
      <c r="T32" s="220">
        <f t="shared" si="12"/>
        <v>3025.2442127123973</v>
      </c>
      <c r="U32" s="871">
        <f t="shared" si="13"/>
        <v>1880.0663259784212</v>
      </c>
      <c r="V32" s="1031">
        <v>2</v>
      </c>
      <c r="W32" s="211" t="s">
        <v>41</v>
      </c>
      <c r="X32" s="1251">
        <v>6.3</v>
      </c>
      <c r="Y32" s="211">
        <v>11</v>
      </c>
      <c r="Z32" s="211">
        <v>35</v>
      </c>
      <c r="AA32" s="211">
        <v>6.3</v>
      </c>
      <c r="AB32" s="1243">
        <v>7.43</v>
      </c>
      <c r="AC32" s="211" t="s">
        <v>162</v>
      </c>
      <c r="AD32" s="211">
        <v>12</v>
      </c>
      <c r="AE32" s="307">
        <f t="shared" si="19"/>
        <v>14.447222222222223</v>
      </c>
      <c r="AF32" s="217">
        <f t="shared" si="1"/>
        <v>21.376978976575465</v>
      </c>
      <c r="AG32" s="221">
        <f t="shared" si="2"/>
        <v>24.199056344054558</v>
      </c>
      <c r="AH32" s="179">
        <f t="shared" si="23"/>
        <v>0.69261411884104507</v>
      </c>
      <c r="AI32" s="180">
        <f t="shared" si="24"/>
        <v>0.78404942554736767</v>
      </c>
      <c r="AJ32" s="261">
        <f t="shared" si="5"/>
        <v>1000.4820260351121</v>
      </c>
      <c r="AK32" s="220">
        <f t="shared" si="6"/>
        <v>764.49262057878741</v>
      </c>
      <c r="AL32" s="220">
        <f t="shared" si="21"/>
        <v>637.07718381565621</v>
      </c>
      <c r="AM32" s="220">
        <f t="shared" si="22"/>
        <v>509.66174705252496</v>
      </c>
      <c r="AN32" s="220">
        <f t="shared" si="7"/>
        <v>5257.7884251094483</v>
      </c>
      <c r="AO32" s="262">
        <f t="shared" si="8"/>
        <v>4017.6038619005344</v>
      </c>
    </row>
    <row r="33" spans="1:41" ht="12.75" customHeight="1" x14ac:dyDescent="0.2">
      <c r="A33" s="256">
        <v>1</v>
      </c>
      <c r="B33" s="2369" t="s">
        <v>94</v>
      </c>
      <c r="C33" s="2371" t="s">
        <v>43</v>
      </c>
      <c r="D33" s="675">
        <v>5.6</v>
      </c>
      <c r="E33" s="209" t="s">
        <v>35</v>
      </c>
      <c r="F33" s="210" t="s">
        <v>53</v>
      </c>
      <c r="G33" s="308">
        <v>2.5499999999999998</v>
      </c>
      <c r="H33" s="634">
        <v>5.42</v>
      </c>
      <c r="I33" s="213"/>
      <c r="J33" s="214">
        <v>10.53</v>
      </c>
      <c r="K33" s="215"/>
      <c r="L33" s="215"/>
      <c r="M33" s="215"/>
      <c r="N33" s="215"/>
      <c r="O33" s="216"/>
      <c r="P33" s="217">
        <f t="shared" si="25"/>
        <v>2.6219699999999997</v>
      </c>
      <c r="Q33" s="219">
        <f t="shared" si="26"/>
        <v>4.2119999999999997</v>
      </c>
      <c r="R33" s="218">
        <f t="shared" si="11"/>
        <v>7.252542359814246</v>
      </c>
      <c r="S33" s="219">
        <f t="shared" si="0"/>
        <v>9.9824922079057981</v>
      </c>
      <c r="T33" s="220">
        <f t="shared" si="12"/>
        <v>2948.9359973268733</v>
      </c>
      <c r="U33" s="871">
        <f t="shared" si="13"/>
        <v>1853.2446221544378</v>
      </c>
      <c r="V33" s="1031">
        <v>1</v>
      </c>
      <c r="W33" s="211" t="s">
        <v>80</v>
      </c>
      <c r="X33" s="1251">
        <v>4</v>
      </c>
      <c r="Y33" s="211">
        <v>11</v>
      </c>
      <c r="Z33" s="211">
        <v>35</v>
      </c>
      <c r="AA33" s="211">
        <v>6.3</v>
      </c>
      <c r="AB33" s="1243">
        <v>6.14</v>
      </c>
      <c r="AC33" s="211" t="s">
        <v>81</v>
      </c>
      <c r="AD33" s="211">
        <v>5</v>
      </c>
      <c r="AE33" s="307">
        <f t="shared" si="19"/>
        <v>18.803750000000001</v>
      </c>
      <c r="AF33" s="217">
        <f t="shared" si="1"/>
        <v>25.699850189123673</v>
      </c>
      <c r="AG33" s="221">
        <f t="shared" si="2"/>
        <v>28.556375903524593</v>
      </c>
      <c r="AH33" s="157">
        <f t="shared" si="23"/>
        <v>0.83267514612760696</v>
      </c>
      <c r="AI33" s="158">
        <f t="shared" si="24"/>
        <v>0.92522657927419671</v>
      </c>
      <c r="AJ33" s="261">
        <f t="shared" si="5"/>
        <v>832.19486026597315</v>
      </c>
      <c r="AK33" s="220">
        <f t="shared" si="6"/>
        <v>647.84131090376297</v>
      </c>
      <c r="AL33" s="220">
        <f t="shared" si="21"/>
        <v>539.86775908646916</v>
      </c>
      <c r="AM33" s="220">
        <f t="shared" si="22"/>
        <v>431.8942072691753</v>
      </c>
      <c r="AN33" s="220">
        <f t="shared" si="7"/>
        <v>4373.3964128091684</v>
      </c>
      <c r="AO33" s="262">
        <f t="shared" si="8"/>
        <v>3404.5714536984542</v>
      </c>
    </row>
    <row r="34" spans="1:41" ht="12.75" customHeight="1" x14ac:dyDescent="0.2">
      <c r="A34" s="256">
        <v>1</v>
      </c>
      <c r="B34" s="2366"/>
      <c r="C34" s="2372"/>
      <c r="D34" s="675">
        <v>5.6</v>
      </c>
      <c r="E34" s="209" t="s">
        <v>35</v>
      </c>
      <c r="F34" s="210" t="s">
        <v>53</v>
      </c>
      <c r="G34" s="308">
        <v>2.5499999999999998</v>
      </c>
      <c r="H34" s="634">
        <v>5.42</v>
      </c>
      <c r="I34" s="213"/>
      <c r="J34" s="214">
        <v>10.53</v>
      </c>
      <c r="K34" s="215"/>
      <c r="L34" s="215"/>
      <c r="M34" s="215"/>
      <c r="N34" s="215"/>
      <c r="O34" s="216"/>
      <c r="P34" s="217">
        <f t="shared" si="25"/>
        <v>2.6219699999999997</v>
      </c>
      <c r="Q34" s="219">
        <f t="shared" si="26"/>
        <v>4.2119999999999997</v>
      </c>
      <c r="R34" s="218">
        <f t="shared" si="11"/>
        <v>7.252542359814246</v>
      </c>
      <c r="S34" s="219">
        <f t="shared" si="0"/>
        <v>9.9824922079057981</v>
      </c>
      <c r="T34" s="220">
        <f t="shared" si="12"/>
        <v>2948.9359973268733</v>
      </c>
      <c r="U34" s="871">
        <f t="shared" si="13"/>
        <v>1853.2446221544378</v>
      </c>
      <c r="V34" s="1031">
        <v>2</v>
      </c>
      <c r="W34" s="211" t="s">
        <v>80</v>
      </c>
      <c r="X34" s="1251">
        <v>4</v>
      </c>
      <c r="Y34" s="211">
        <v>11</v>
      </c>
      <c r="Z34" s="211">
        <v>35</v>
      </c>
      <c r="AA34" s="211">
        <v>6.3</v>
      </c>
      <c r="AB34" s="1243">
        <v>6.26</v>
      </c>
      <c r="AC34" s="211" t="s">
        <v>81</v>
      </c>
      <c r="AD34" s="211">
        <v>5</v>
      </c>
      <c r="AE34" s="307">
        <f t="shared" si="19"/>
        <v>19.171250000000004</v>
      </c>
      <c r="AF34" s="217">
        <f t="shared" si="1"/>
        <v>26.065459563249604</v>
      </c>
      <c r="AG34" s="221">
        <f t="shared" si="2"/>
        <v>28.922343218408159</v>
      </c>
      <c r="AH34" s="179">
        <f t="shared" si="23"/>
        <v>0.84452088984928708</v>
      </c>
      <c r="AI34" s="180">
        <f t="shared" si="24"/>
        <v>0.93708392027642429</v>
      </c>
      <c r="AJ34" s="261">
        <f t="shared" si="5"/>
        <v>820.52200864122597</v>
      </c>
      <c r="AK34" s="220">
        <f t="shared" si="6"/>
        <v>639.64388570789572</v>
      </c>
      <c r="AL34" s="220">
        <f t="shared" si="21"/>
        <v>533.03657142324641</v>
      </c>
      <c r="AM34" s="220">
        <f t="shared" si="22"/>
        <v>426.42925713859717</v>
      </c>
      <c r="AN34" s="220">
        <f t="shared" si="7"/>
        <v>4312.0525979644017</v>
      </c>
      <c r="AO34" s="262">
        <f t="shared" si="8"/>
        <v>3361.4918918583107</v>
      </c>
    </row>
    <row r="35" spans="1:41" ht="12.75" customHeight="1" x14ac:dyDescent="0.2">
      <c r="A35" s="256">
        <v>1</v>
      </c>
      <c r="B35" s="2358" t="s">
        <v>452</v>
      </c>
      <c r="C35" s="2362" t="s">
        <v>454</v>
      </c>
      <c r="D35" s="675">
        <v>5.6</v>
      </c>
      <c r="E35" s="209" t="s">
        <v>35</v>
      </c>
      <c r="F35" s="210" t="s">
        <v>53</v>
      </c>
      <c r="G35" s="308">
        <v>2.5499999999999998</v>
      </c>
      <c r="H35" s="634">
        <v>5.42</v>
      </c>
      <c r="I35" s="213"/>
      <c r="J35" s="214">
        <v>10.53</v>
      </c>
      <c r="K35" s="215"/>
      <c r="L35" s="215"/>
      <c r="M35" s="215"/>
      <c r="N35" s="215"/>
      <c r="O35" s="216"/>
      <c r="P35" s="217">
        <f t="shared" si="25"/>
        <v>2.6219699999999997</v>
      </c>
      <c r="Q35" s="219">
        <f t="shared" si="26"/>
        <v>4.2119999999999997</v>
      </c>
      <c r="R35" s="218">
        <f t="shared" si="11"/>
        <v>7.252542359814246</v>
      </c>
      <c r="S35" s="219">
        <f t="shared" si="0"/>
        <v>9.9824922079057981</v>
      </c>
      <c r="T35" s="220">
        <f t="shared" si="12"/>
        <v>2948.9359973268733</v>
      </c>
      <c r="U35" s="871">
        <f t="shared" si="13"/>
        <v>1853.2446221544378</v>
      </c>
      <c r="V35" s="1031">
        <v>1</v>
      </c>
      <c r="W35" s="152" t="s">
        <v>453</v>
      </c>
      <c r="X35" s="1251">
        <v>6.3</v>
      </c>
      <c r="Y35" s="152">
        <v>11</v>
      </c>
      <c r="Z35" s="152">
        <v>35</v>
      </c>
      <c r="AA35" s="152">
        <v>6.3</v>
      </c>
      <c r="AB35" s="1243">
        <v>7.92</v>
      </c>
      <c r="AC35" s="211" t="s">
        <v>81</v>
      </c>
      <c r="AD35" s="211">
        <v>5</v>
      </c>
      <c r="AE35" s="307">
        <f t="shared" si="19"/>
        <v>15.4</v>
      </c>
      <c r="AF35" s="217">
        <f t="shared" si="1"/>
        <v>22.316562698607957</v>
      </c>
      <c r="AG35" s="221">
        <f t="shared" si="2"/>
        <v>25.168944170959978</v>
      </c>
      <c r="AH35" s="1125">
        <f>SQRT(POWER((AE35+Q35+G35),2)+POWER(P35,2))*POWER(6.3/Z35,2)</f>
        <v>0.72305663143489773</v>
      </c>
      <c r="AI35" s="1126">
        <f>SQRT(POWER((H35+Q35+AE35),2)+POWER(P35,2))*POWER(6.3/Z35,2)</f>
        <v>0.81547379113910312</v>
      </c>
      <c r="AJ35" s="261">
        <f t="shared" si="5"/>
        <v>958.35920279641903</v>
      </c>
      <c r="AK35" s="220">
        <f t="shared" si="6"/>
        <v>735.0328195866623</v>
      </c>
      <c r="AL35" s="220">
        <f t="shared" si="21"/>
        <v>612.52734965555192</v>
      </c>
      <c r="AM35" s="220">
        <f t="shared" si="22"/>
        <v>490.02187972444153</v>
      </c>
      <c r="AN35" s="220">
        <f t="shared" si="7"/>
        <v>5036.4222369181171</v>
      </c>
      <c r="AO35" s="262">
        <f t="shared" si="8"/>
        <v>3862.7850879178955</v>
      </c>
    </row>
    <row r="36" spans="1:41" ht="12.75" customHeight="1" x14ac:dyDescent="0.2">
      <c r="A36" s="256">
        <v>1</v>
      </c>
      <c r="B36" s="2359"/>
      <c r="C36" s="2363"/>
      <c r="D36" s="675">
        <v>5.6</v>
      </c>
      <c r="E36" s="209" t="s">
        <v>35</v>
      </c>
      <c r="F36" s="210" t="s">
        <v>53</v>
      </c>
      <c r="G36" s="308">
        <v>2.5499999999999998</v>
      </c>
      <c r="H36" s="634">
        <v>5.42</v>
      </c>
      <c r="I36" s="213"/>
      <c r="J36" s="214">
        <v>10.53</v>
      </c>
      <c r="K36" s="215"/>
      <c r="L36" s="215"/>
      <c r="M36" s="215"/>
      <c r="N36" s="215"/>
      <c r="O36" s="216"/>
      <c r="P36" s="217">
        <f t="shared" si="25"/>
        <v>2.6219699999999997</v>
      </c>
      <c r="Q36" s="219">
        <f t="shared" si="26"/>
        <v>4.2119999999999997</v>
      </c>
      <c r="R36" s="218">
        <f t="shared" si="11"/>
        <v>7.252542359814246</v>
      </c>
      <c r="S36" s="219">
        <f t="shared" si="0"/>
        <v>9.9824922079057981</v>
      </c>
      <c r="T36" s="220">
        <f t="shared" si="12"/>
        <v>2948.9359973268733</v>
      </c>
      <c r="U36" s="871">
        <f t="shared" si="13"/>
        <v>1853.2446221544378</v>
      </c>
      <c r="V36" s="1031">
        <v>2</v>
      </c>
      <c r="W36" s="152" t="s">
        <v>453</v>
      </c>
      <c r="X36" s="1251">
        <v>6.3</v>
      </c>
      <c r="Y36" s="152">
        <v>11</v>
      </c>
      <c r="Z36" s="152">
        <v>35</v>
      </c>
      <c r="AA36" s="152">
        <v>6.3</v>
      </c>
      <c r="AB36" s="1243">
        <v>8.1</v>
      </c>
      <c r="AC36" s="211" t="s">
        <v>81</v>
      </c>
      <c r="AD36" s="211">
        <v>5</v>
      </c>
      <c r="AE36" s="307">
        <f t="shared" si="19"/>
        <v>15.75</v>
      </c>
      <c r="AF36" s="217">
        <f t="shared" si="1"/>
        <v>22.664175932093801</v>
      </c>
      <c r="AG36" s="221">
        <f t="shared" si="2"/>
        <v>25.517065871312479</v>
      </c>
      <c r="AH36" s="1123">
        <f>SQRT(POWER((AE36+Q36+G36),2)+POWER(P36,2))*POWER(6.3/Z36,2)</f>
        <v>0.73431930019983915</v>
      </c>
      <c r="AI36" s="1124">
        <f>SQRT(POWER((H36+Q36+AE36),2)+POWER(P36,2))*POWER(6.3/Z36,2)</f>
        <v>0.82675293423052432</v>
      </c>
      <c r="AJ36" s="261">
        <f t="shared" si="5"/>
        <v>943.66030783888209</v>
      </c>
      <c r="AK36" s="220">
        <f t="shared" si="6"/>
        <v>725.00498659599407</v>
      </c>
      <c r="AL36" s="220">
        <f t="shared" si="21"/>
        <v>604.17082216332847</v>
      </c>
      <c r="AM36" s="220">
        <f t="shared" si="22"/>
        <v>483.33665773066269</v>
      </c>
      <c r="AN36" s="220">
        <f t="shared" si="7"/>
        <v>4959.175791946077</v>
      </c>
      <c r="AO36" s="262">
        <f t="shared" si="8"/>
        <v>3810.0862658948636</v>
      </c>
    </row>
    <row r="37" spans="1:41" ht="12.75" customHeight="1" x14ac:dyDescent="0.2">
      <c r="A37" s="256">
        <v>1</v>
      </c>
      <c r="B37" s="2369" t="s">
        <v>96</v>
      </c>
      <c r="C37" s="2370" t="s">
        <v>341</v>
      </c>
      <c r="D37" s="647">
        <v>3.4</v>
      </c>
      <c r="E37" s="209" t="s">
        <v>35</v>
      </c>
      <c r="F37" s="210" t="s">
        <v>46</v>
      </c>
      <c r="G37" s="2145">
        <f>G15</f>
        <v>4.9020181386774881</v>
      </c>
      <c r="H37" s="2152">
        <f>H15</f>
        <v>5.2862861120779669</v>
      </c>
      <c r="I37" s="213"/>
      <c r="J37" s="214">
        <v>8.99</v>
      </c>
      <c r="K37" s="215"/>
      <c r="L37" s="215"/>
      <c r="M37" s="215"/>
      <c r="N37" s="215"/>
      <c r="O37" s="216"/>
      <c r="P37" s="217">
        <f t="shared" si="25"/>
        <v>2.2385100000000002</v>
      </c>
      <c r="Q37" s="219">
        <f t="shared" si="26"/>
        <v>3.5960000000000001</v>
      </c>
      <c r="R37" s="218">
        <f t="shared" si="11"/>
        <v>8.7879030095576045</v>
      </c>
      <c r="S37" s="219">
        <f t="shared" si="0"/>
        <v>9.1600182094203895</v>
      </c>
      <c r="T37" s="220">
        <f t="shared" si="12"/>
        <v>2433.7186259035516</v>
      </c>
      <c r="U37" s="871">
        <f t="shared" si="13"/>
        <v>2019.646640109748</v>
      </c>
      <c r="V37" s="1031">
        <v>1</v>
      </c>
      <c r="W37" s="198" t="s">
        <v>41</v>
      </c>
      <c r="X37" s="1251">
        <v>6.3</v>
      </c>
      <c r="Y37" s="211">
        <v>11</v>
      </c>
      <c r="Z37" s="211">
        <v>35</v>
      </c>
      <c r="AA37" s="211">
        <v>6.3</v>
      </c>
      <c r="AB37" s="1243">
        <v>8.01</v>
      </c>
      <c r="AC37" s="198" t="s">
        <v>162</v>
      </c>
      <c r="AD37" s="211"/>
      <c r="AE37" s="307">
        <f t="shared" si="19"/>
        <v>15.575000000000001</v>
      </c>
      <c r="AF37" s="217">
        <f t="shared" si="1"/>
        <v>24.176871785348808</v>
      </c>
      <c r="AG37" s="221">
        <f t="shared" si="2"/>
        <v>24.559514876889196</v>
      </c>
      <c r="AH37" s="179">
        <f t="shared" si="23"/>
        <v>0.78333064584530132</v>
      </c>
      <c r="AI37" s="180">
        <f t="shared" si="24"/>
        <v>0.79572828201120993</v>
      </c>
      <c r="AJ37" s="261">
        <f t="shared" si="5"/>
        <v>884.61747354572628</v>
      </c>
      <c r="AK37" s="220">
        <f t="shared" si="6"/>
        <v>753.27220805198908</v>
      </c>
      <c r="AL37" s="220">
        <f t="shared" si="21"/>
        <v>627.72684004332427</v>
      </c>
      <c r="AM37" s="220">
        <f t="shared" si="22"/>
        <v>502.18147203465941</v>
      </c>
      <c r="AN37" s="220">
        <f t="shared" si="7"/>
        <v>4648.890626741806</v>
      </c>
      <c r="AO37" s="262">
        <f t="shared" si="8"/>
        <v>3958.6377300029458</v>
      </c>
    </row>
    <row r="38" spans="1:41" ht="12.75" customHeight="1" x14ac:dyDescent="0.2">
      <c r="A38" s="255">
        <v>1</v>
      </c>
      <c r="B38" s="2366"/>
      <c r="C38" s="2368"/>
      <c r="D38" s="675">
        <v>3.4</v>
      </c>
      <c r="E38" s="209" t="s">
        <v>35</v>
      </c>
      <c r="F38" s="210" t="s">
        <v>46</v>
      </c>
      <c r="G38" s="2145">
        <f>G16</f>
        <v>4.8982573492001933</v>
      </c>
      <c r="H38" s="2152">
        <f>H16</f>
        <v>5.2312064066132784</v>
      </c>
      <c r="I38" s="213"/>
      <c r="J38" s="214">
        <v>8.99</v>
      </c>
      <c r="K38" s="215"/>
      <c r="L38" s="215"/>
      <c r="M38" s="215"/>
      <c r="N38" s="215"/>
      <c r="O38" s="216"/>
      <c r="P38" s="217">
        <f t="shared" si="25"/>
        <v>2.2385100000000002</v>
      </c>
      <c r="Q38" s="219">
        <f t="shared" si="26"/>
        <v>3.5960000000000001</v>
      </c>
      <c r="R38" s="218">
        <f t="shared" si="11"/>
        <v>8.7842663287574272</v>
      </c>
      <c r="S38" s="219">
        <f t="shared" si="0"/>
        <v>9.1066184703793596</v>
      </c>
      <c r="T38" s="220">
        <f t="shared" si="12"/>
        <v>2434.7261839019793</v>
      </c>
      <c r="U38" s="871">
        <f t="shared" si="13"/>
        <v>2031.4895216236434</v>
      </c>
      <c r="V38" s="1031">
        <v>2</v>
      </c>
      <c r="W38" s="211" t="s">
        <v>41</v>
      </c>
      <c r="X38" s="1251">
        <v>6.3</v>
      </c>
      <c r="Y38" s="211">
        <v>11</v>
      </c>
      <c r="Z38" s="211">
        <v>35</v>
      </c>
      <c r="AA38" s="211">
        <v>6.3</v>
      </c>
      <c r="AB38" s="1243">
        <v>8.01</v>
      </c>
      <c r="AC38" s="211" t="s">
        <v>162</v>
      </c>
      <c r="AD38" s="211"/>
      <c r="AE38" s="307">
        <f t="shared" si="19"/>
        <v>15.575000000000001</v>
      </c>
      <c r="AF38" s="217">
        <f t="shared" si="1"/>
        <v>24.173127153145234</v>
      </c>
      <c r="AG38" s="221">
        <f t="shared" si="2"/>
        <v>24.504664954474649</v>
      </c>
      <c r="AH38" s="179">
        <f t="shared" si="23"/>
        <v>0.78320931976190555</v>
      </c>
      <c r="AI38" s="180">
        <f t="shared" si="24"/>
        <v>0.79395114452497872</v>
      </c>
      <c r="AJ38" s="261">
        <f t="shared" si="5"/>
        <v>884.75450865327775</v>
      </c>
      <c r="AK38" s="220">
        <f t="shared" si="6"/>
        <v>754.95829199745185</v>
      </c>
      <c r="AL38" s="220">
        <f t="shared" si="21"/>
        <v>629.13190999787662</v>
      </c>
      <c r="AM38" s="220">
        <f t="shared" si="22"/>
        <v>503.30552799830122</v>
      </c>
      <c r="AN38" s="220">
        <f t="shared" si="7"/>
        <v>4649.6107812109194</v>
      </c>
      <c r="AO38" s="262">
        <f t="shared" si="8"/>
        <v>3967.4985315181407</v>
      </c>
    </row>
    <row r="39" spans="1:41" ht="12.75" customHeight="1" x14ac:dyDescent="0.2">
      <c r="A39" s="409">
        <v>1</v>
      </c>
      <c r="B39" s="2365" t="s">
        <v>79</v>
      </c>
      <c r="C39" s="2373" t="s">
        <v>43</v>
      </c>
      <c r="D39" s="647">
        <v>5.6</v>
      </c>
      <c r="E39" s="197" t="s">
        <v>35</v>
      </c>
      <c r="F39" s="656" t="s">
        <v>53</v>
      </c>
      <c r="G39" s="976">
        <v>2.5499999999999998</v>
      </c>
      <c r="H39" s="636">
        <v>5.42</v>
      </c>
      <c r="I39" s="200"/>
      <c r="J39" s="201">
        <v>15.33</v>
      </c>
      <c r="K39" s="202"/>
      <c r="L39" s="202"/>
      <c r="M39" s="202"/>
      <c r="N39" s="202"/>
      <c r="O39" s="203"/>
      <c r="P39" s="338">
        <f t="shared" si="25"/>
        <v>3.81717</v>
      </c>
      <c r="Q39" s="206">
        <f t="shared" si="26"/>
        <v>6.1320000000000006</v>
      </c>
      <c r="R39" s="205">
        <f t="shared" si="11"/>
        <v>9.4840872417381323</v>
      </c>
      <c r="S39" s="206">
        <f t="shared" si="0"/>
        <v>12.166326101535336</v>
      </c>
      <c r="T39" s="207">
        <f t="shared" si="12"/>
        <v>2255.070276333161</v>
      </c>
      <c r="U39" s="1018">
        <f t="shared" si="13"/>
        <v>1520.5905090498422</v>
      </c>
      <c r="V39" s="1030">
        <v>1</v>
      </c>
      <c r="W39" s="198" t="s">
        <v>80</v>
      </c>
      <c r="X39" s="1252">
        <v>4</v>
      </c>
      <c r="Y39" s="198">
        <v>11</v>
      </c>
      <c r="Z39" s="198">
        <v>35</v>
      </c>
      <c r="AA39" s="198">
        <v>6.3</v>
      </c>
      <c r="AB39" s="1244">
        <v>6.23</v>
      </c>
      <c r="AC39" s="198" t="s">
        <v>81</v>
      </c>
      <c r="AD39" s="198">
        <v>5</v>
      </c>
      <c r="AE39" s="340">
        <f t="shared" si="19"/>
        <v>19.079374999999999</v>
      </c>
      <c r="AF39" s="204">
        <f t="shared" si="1"/>
        <v>28.022575340241751</v>
      </c>
      <c r="AG39" s="340">
        <f t="shared" si="2"/>
        <v>30.868299616265308</v>
      </c>
      <c r="AH39" s="179">
        <f t="shared" si="23"/>
        <v>0.90793144102383272</v>
      </c>
      <c r="AI39" s="180">
        <f t="shared" si="24"/>
        <v>1.000132907566996</v>
      </c>
      <c r="AJ39" s="259">
        <f t="shared" si="5"/>
        <v>763.21619184947156</v>
      </c>
      <c r="AK39" s="207">
        <f t="shared" si="6"/>
        <v>599.32034579098979</v>
      </c>
      <c r="AL39" s="207">
        <f t="shared" si="21"/>
        <v>499.43362149249151</v>
      </c>
      <c r="AM39" s="207">
        <f t="shared" si="22"/>
        <v>399.54689719399317</v>
      </c>
      <c r="AN39" s="207">
        <f t="shared" si="7"/>
        <v>4010.8959031128388</v>
      </c>
      <c r="AO39" s="260">
        <f t="shared" si="8"/>
        <v>3149.5813967994955</v>
      </c>
    </row>
    <row r="40" spans="1:41" ht="12.75" customHeight="1" x14ac:dyDescent="0.2">
      <c r="A40" s="256">
        <v>1</v>
      </c>
      <c r="B40" s="2366"/>
      <c r="C40" s="2372"/>
      <c r="D40" s="675">
        <v>5.6</v>
      </c>
      <c r="E40" s="209" t="s">
        <v>35</v>
      </c>
      <c r="F40" s="210" t="s">
        <v>53</v>
      </c>
      <c r="G40" s="308">
        <v>2.5499999999999998</v>
      </c>
      <c r="H40" s="634">
        <v>5.42</v>
      </c>
      <c r="I40" s="213"/>
      <c r="J40" s="214">
        <v>15.33</v>
      </c>
      <c r="K40" s="215"/>
      <c r="L40" s="215"/>
      <c r="M40" s="215"/>
      <c r="N40" s="215"/>
      <c r="O40" s="216"/>
      <c r="P40" s="305">
        <f t="shared" si="25"/>
        <v>3.81717</v>
      </c>
      <c r="Q40" s="219">
        <f t="shared" si="26"/>
        <v>6.1320000000000006</v>
      </c>
      <c r="R40" s="218">
        <f t="shared" si="11"/>
        <v>9.4840872417381323</v>
      </c>
      <c r="S40" s="219">
        <f t="shared" si="0"/>
        <v>12.166326101535336</v>
      </c>
      <c r="T40" s="220">
        <f t="shared" si="12"/>
        <v>2255.070276333161</v>
      </c>
      <c r="U40" s="871">
        <f t="shared" si="13"/>
        <v>1520.5905090498422</v>
      </c>
      <c r="V40" s="1031">
        <v>2</v>
      </c>
      <c r="W40" s="211" t="s">
        <v>80</v>
      </c>
      <c r="X40" s="1251">
        <v>4</v>
      </c>
      <c r="Y40" s="211">
        <v>11</v>
      </c>
      <c r="Z40" s="211">
        <v>35</v>
      </c>
      <c r="AA40" s="211">
        <v>6.3</v>
      </c>
      <c r="AB40" s="1243">
        <v>6.23</v>
      </c>
      <c r="AC40" s="211" t="s">
        <v>81</v>
      </c>
      <c r="AD40" s="211">
        <v>5</v>
      </c>
      <c r="AE40" s="307">
        <f t="shared" si="19"/>
        <v>19.079374999999999</v>
      </c>
      <c r="AF40" s="217">
        <f t="shared" si="1"/>
        <v>28.022575340241751</v>
      </c>
      <c r="AG40" s="307">
        <f t="shared" si="2"/>
        <v>30.868299616265308</v>
      </c>
      <c r="AH40" s="179">
        <f t="shared" si="23"/>
        <v>0.90793144102383272</v>
      </c>
      <c r="AI40" s="180">
        <f t="shared" si="24"/>
        <v>1.000132907566996</v>
      </c>
      <c r="AJ40" s="261">
        <f t="shared" si="5"/>
        <v>763.21619184947156</v>
      </c>
      <c r="AK40" s="220">
        <f t="shared" si="6"/>
        <v>599.32034579098979</v>
      </c>
      <c r="AL40" s="220">
        <f t="shared" si="21"/>
        <v>499.43362149249151</v>
      </c>
      <c r="AM40" s="220">
        <f t="shared" si="22"/>
        <v>399.54689719399317</v>
      </c>
      <c r="AN40" s="220">
        <f t="shared" si="7"/>
        <v>4010.8959031128388</v>
      </c>
      <c r="AO40" s="262">
        <f t="shared" si="8"/>
        <v>3149.5813967994955</v>
      </c>
    </row>
    <row r="41" spans="1:41" ht="12.75" customHeight="1" x14ac:dyDescent="0.2">
      <c r="A41" s="256">
        <v>1</v>
      </c>
      <c r="B41" s="2369" t="s">
        <v>86</v>
      </c>
      <c r="C41" s="2371" t="s">
        <v>43</v>
      </c>
      <c r="D41" s="675">
        <v>5.6</v>
      </c>
      <c r="E41" s="209" t="s">
        <v>35</v>
      </c>
      <c r="F41" s="210" t="s">
        <v>53</v>
      </c>
      <c r="G41" s="308">
        <v>2.5499999999999998</v>
      </c>
      <c r="H41" s="634">
        <v>5.42</v>
      </c>
      <c r="I41" s="213"/>
      <c r="J41" s="214">
        <v>22.83</v>
      </c>
      <c r="K41" s="215"/>
      <c r="L41" s="215"/>
      <c r="M41" s="215"/>
      <c r="N41" s="215"/>
      <c r="O41" s="216"/>
      <c r="P41" s="305">
        <f t="shared" si="25"/>
        <v>5.6846699999999997</v>
      </c>
      <c r="Q41" s="219">
        <f t="shared" si="26"/>
        <v>9.1319999999999997</v>
      </c>
      <c r="R41" s="218">
        <f t="shared" si="11"/>
        <v>12.991712628014058</v>
      </c>
      <c r="S41" s="219">
        <f t="shared" si="0"/>
        <v>15.622937528163517</v>
      </c>
      <c r="T41" s="220">
        <f t="shared" si="12"/>
        <v>1646.2250858964333</v>
      </c>
      <c r="U41" s="871">
        <f t="shared" si="13"/>
        <v>1184.1563064980573</v>
      </c>
      <c r="V41" s="1031">
        <v>1</v>
      </c>
      <c r="W41" s="211" t="s">
        <v>41</v>
      </c>
      <c r="X41" s="1251">
        <v>6.3</v>
      </c>
      <c r="Y41" s="211">
        <v>11</v>
      </c>
      <c r="Z41" s="211">
        <v>35</v>
      </c>
      <c r="AA41" s="211">
        <v>6.3</v>
      </c>
      <c r="AB41" s="1243">
        <v>7.66</v>
      </c>
      <c r="AC41" s="211" t="s">
        <v>162</v>
      </c>
      <c r="AD41" s="211">
        <v>5</v>
      </c>
      <c r="AE41" s="307">
        <f t="shared" si="19"/>
        <v>14.894444444444446</v>
      </c>
      <c r="AF41" s="217">
        <f t="shared" si="1"/>
        <v>27.177617119930545</v>
      </c>
      <c r="AG41" s="307">
        <f t="shared" si="2"/>
        <v>29.990141103846994</v>
      </c>
      <c r="AH41" s="179">
        <f t="shared" si="23"/>
        <v>0.8805547946857496</v>
      </c>
      <c r="AI41" s="180">
        <f t="shared" si="24"/>
        <v>0.97168057176464262</v>
      </c>
      <c r="AJ41" s="261">
        <f t="shared" si="5"/>
        <v>786.94475467129826</v>
      </c>
      <c r="AK41" s="220">
        <f t="shared" si="6"/>
        <v>616.86938837466516</v>
      </c>
      <c r="AL41" s="220">
        <f t="shared" si="21"/>
        <v>514.05782364555432</v>
      </c>
      <c r="AM41" s="220">
        <f t="shared" si="22"/>
        <v>411.24625891644342</v>
      </c>
      <c r="AN41" s="220">
        <f t="shared" si="7"/>
        <v>4135.595557581898</v>
      </c>
      <c r="AO41" s="262">
        <f t="shared" si="8"/>
        <v>3241.8060950620538</v>
      </c>
    </row>
    <row r="42" spans="1:41" ht="12.75" customHeight="1" x14ac:dyDescent="0.2">
      <c r="A42" s="256">
        <v>1</v>
      </c>
      <c r="B42" s="2366"/>
      <c r="C42" s="2372"/>
      <c r="D42" s="675">
        <v>5.6</v>
      </c>
      <c r="E42" s="209" t="s">
        <v>35</v>
      </c>
      <c r="F42" s="210" t="s">
        <v>53</v>
      </c>
      <c r="G42" s="308">
        <v>2.5499999999999998</v>
      </c>
      <c r="H42" s="634">
        <v>5.42</v>
      </c>
      <c r="I42" s="213"/>
      <c r="J42" s="214">
        <v>22.83</v>
      </c>
      <c r="K42" s="215"/>
      <c r="L42" s="215"/>
      <c r="M42" s="215"/>
      <c r="N42" s="215"/>
      <c r="O42" s="216"/>
      <c r="P42" s="305">
        <f t="shared" si="25"/>
        <v>5.6846699999999997</v>
      </c>
      <c r="Q42" s="219">
        <f t="shared" si="26"/>
        <v>9.1319999999999997</v>
      </c>
      <c r="R42" s="218">
        <f t="shared" si="11"/>
        <v>12.991712628014058</v>
      </c>
      <c r="S42" s="219">
        <f t="shared" si="0"/>
        <v>15.622937528163517</v>
      </c>
      <c r="T42" s="220">
        <f t="shared" si="12"/>
        <v>1646.2250858964333</v>
      </c>
      <c r="U42" s="871">
        <f t="shared" si="13"/>
        <v>1184.1563064980573</v>
      </c>
      <c r="V42" s="1031">
        <v>2</v>
      </c>
      <c r="W42" s="211" t="s">
        <v>41</v>
      </c>
      <c r="X42" s="1251">
        <v>6.3</v>
      </c>
      <c r="Y42" s="211">
        <v>11</v>
      </c>
      <c r="Z42" s="211">
        <v>35</v>
      </c>
      <c r="AA42" s="211">
        <v>6.3</v>
      </c>
      <c r="AB42" s="1243">
        <v>7.61</v>
      </c>
      <c r="AC42" s="211" t="s">
        <v>162</v>
      </c>
      <c r="AD42" s="211">
        <v>5</v>
      </c>
      <c r="AE42" s="307">
        <f t="shared" si="19"/>
        <v>14.797222222222222</v>
      </c>
      <c r="AF42" s="217">
        <f t="shared" si="1"/>
        <v>27.082553101632186</v>
      </c>
      <c r="AG42" s="307">
        <f t="shared" si="2"/>
        <v>29.894687120929746</v>
      </c>
      <c r="AH42" s="179">
        <f t="shared" si="23"/>
        <v>0.87747472049288278</v>
      </c>
      <c r="AI42" s="180">
        <f t="shared" si="24"/>
        <v>0.96858786271812369</v>
      </c>
      <c r="AJ42" s="261">
        <f t="shared" si="5"/>
        <v>789.70705445437761</v>
      </c>
      <c r="AK42" s="220">
        <f t="shared" si="6"/>
        <v>618.83905742729303</v>
      </c>
      <c r="AL42" s="220">
        <f t="shared" si="21"/>
        <v>515.69921452274423</v>
      </c>
      <c r="AM42" s="220">
        <f t="shared" si="22"/>
        <v>412.55937161819537</v>
      </c>
      <c r="AN42" s="220">
        <f t="shared" si="7"/>
        <v>4150.112148033516</v>
      </c>
      <c r="AO42" s="262">
        <f t="shared" si="8"/>
        <v>3252.1572087019904</v>
      </c>
    </row>
    <row r="43" spans="1:41" ht="12.75" customHeight="1" x14ac:dyDescent="0.2">
      <c r="A43" s="256">
        <v>1</v>
      </c>
      <c r="B43" s="2369" t="s">
        <v>171</v>
      </c>
      <c r="C43" s="2371" t="s">
        <v>342</v>
      </c>
      <c r="D43" s="675">
        <v>4.5999999999999996</v>
      </c>
      <c r="E43" s="209" t="s">
        <v>35</v>
      </c>
      <c r="F43" s="210" t="s">
        <v>49</v>
      </c>
      <c r="G43" s="308">
        <v>4.13</v>
      </c>
      <c r="H43" s="634">
        <v>6.96</v>
      </c>
      <c r="I43" s="213"/>
      <c r="J43" s="214">
        <v>15.75</v>
      </c>
      <c r="K43" s="215">
        <v>0.08</v>
      </c>
      <c r="L43" s="215"/>
      <c r="M43" s="215"/>
      <c r="N43" s="215"/>
      <c r="O43" s="216"/>
      <c r="P43" s="305">
        <f>0.314*I43+0.249*J43+0.37*K43+0.195*M43+0.159*N43+0.06*O43</f>
        <v>3.9513499999999997</v>
      </c>
      <c r="Q43" s="217">
        <f>0.4*I43+0.4*J43+0.083*K43+0.4*M43+0.4*N43+0.4*O43</f>
        <v>6.3066400000000007</v>
      </c>
      <c r="R43" s="218">
        <f t="shared" si="11"/>
        <v>11.15959772178639</v>
      </c>
      <c r="S43" s="219">
        <f t="shared" si="0"/>
        <v>13.842575761472286</v>
      </c>
      <c r="T43" s="220">
        <f t="shared" si="12"/>
        <v>1916.4923118367224</v>
      </c>
      <c r="U43" s="871">
        <f t="shared" si="13"/>
        <v>1336.4564744872564</v>
      </c>
      <c r="V43" s="1031">
        <v>1</v>
      </c>
      <c r="W43" s="211" t="s">
        <v>188</v>
      </c>
      <c r="X43" s="1251">
        <v>4</v>
      </c>
      <c r="Y43" s="211">
        <v>11</v>
      </c>
      <c r="Z43" s="211">
        <v>35</v>
      </c>
      <c r="AA43" s="211">
        <v>6.3</v>
      </c>
      <c r="AB43" s="1243">
        <v>7.6</v>
      </c>
      <c r="AC43" s="211" t="s">
        <v>81</v>
      </c>
      <c r="AD43" s="211">
        <v>10</v>
      </c>
      <c r="AE43" s="307">
        <f t="shared" si="19"/>
        <v>23.275000000000002</v>
      </c>
      <c r="AF43" s="217">
        <f t="shared" si="1"/>
        <v>33.942419452833654</v>
      </c>
      <c r="AG43" s="307">
        <f t="shared" si="2"/>
        <v>36.754654408824194</v>
      </c>
      <c r="AH43" s="179">
        <f t="shared" si="23"/>
        <v>1.0997343902718104</v>
      </c>
      <c r="AI43" s="180">
        <f t="shared" si="24"/>
        <v>1.1908508028459039</v>
      </c>
      <c r="AJ43" s="261">
        <f t="shared" si="5"/>
        <v>630.10485350680324</v>
      </c>
      <c r="AK43" s="220">
        <f t="shared" si="6"/>
        <v>503.33761254352731</v>
      </c>
      <c r="AL43" s="220">
        <f t="shared" si="21"/>
        <v>419.44801045293946</v>
      </c>
      <c r="AM43" s="220">
        <f t="shared" si="22"/>
        <v>335.55840836235154</v>
      </c>
      <c r="AN43" s="220">
        <f t="shared" si="7"/>
        <v>3311.3618427534707</v>
      </c>
      <c r="AO43" s="262">
        <f t="shared" si="8"/>
        <v>2645.1676334870053</v>
      </c>
    </row>
    <row r="44" spans="1:41" ht="12.75" customHeight="1" thickBot="1" x14ac:dyDescent="0.25">
      <c r="A44" s="258">
        <v>1</v>
      </c>
      <c r="B44" s="2381"/>
      <c r="C44" s="2382"/>
      <c r="D44" s="676">
        <v>4.5999999999999996</v>
      </c>
      <c r="E44" s="239" t="s">
        <v>35</v>
      </c>
      <c r="F44" s="240" t="s">
        <v>49</v>
      </c>
      <c r="G44" s="638">
        <v>4.13</v>
      </c>
      <c r="H44" s="639">
        <v>6.96</v>
      </c>
      <c r="I44" s="242"/>
      <c r="J44" s="243">
        <v>15.75</v>
      </c>
      <c r="K44" s="244">
        <v>0.08</v>
      </c>
      <c r="L44" s="244"/>
      <c r="M44" s="244"/>
      <c r="N44" s="244"/>
      <c r="O44" s="249"/>
      <c r="P44" s="245">
        <f>0.314*I44+0.249*J44+0.37*K44+0.195*M44+0.159*N44+0.06*O44</f>
        <v>3.9513499999999997</v>
      </c>
      <c r="Q44" s="250">
        <f>0.4*I44+0.4*J44+0.083*K44+0.4*M44+0.4*N44+0.4*O44</f>
        <v>6.3066400000000007</v>
      </c>
      <c r="R44" s="246">
        <f t="shared" si="11"/>
        <v>11.15959772178639</v>
      </c>
      <c r="S44" s="247">
        <f t="shared" si="0"/>
        <v>13.842575761472286</v>
      </c>
      <c r="T44" s="248">
        <f>37000/1.73/SQRT(POWER((G44+Q44),2)+P44*P44)</f>
        <v>1916.4923118367224</v>
      </c>
      <c r="U44" s="399">
        <f>37000/2/SQRT(P44*P44+POWER((H44+Q44),2))</f>
        <v>1336.4564744872564</v>
      </c>
      <c r="V44" s="1032">
        <v>2</v>
      </c>
      <c r="W44" s="241" t="s">
        <v>188</v>
      </c>
      <c r="X44" s="1253">
        <v>4</v>
      </c>
      <c r="Y44" s="241">
        <v>11</v>
      </c>
      <c r="Z44" s="241">
        <v>35</v>
      </c>
      <c r="AA44" s="241">
        <v>6.3</v>
      </c>
      <c r="AB44" s="1245">
        <v>7.69</v>
      </c>
      <c r="AC44" s="241" t="s">
        <v>81</v>
      </c>
      <c r="AD44" s="241">
        <v>10</v>
      </c>
      <c r="AE44" s="317">
        <f t="shared" si="19"/>
        <v>23.550625000000004</v>
      </c>
      <c r="AF44" s="250">
        <f t="shared" si="1"/>
        <v>34.216185482936659</v>
      </c>
      <c r="AG44" s="317">
        <f t="shared" si="2"/>
        <v>37.028693858988944</v>
      </c>
      <c r="AH44" s="407">
        <f t="shared" si="23"/>
        <v>1.1086044096471477</v>
      </c>
      <c r="AI44" s="408">
        <f t="shared" si="24"/>
        <v>1.1997296810312417</v>
      </c>
      <c r="AJ44" s="267">
        <f t="shared" si="5"/>
        <v>625.06334166501074</v>
      </c>
      <c r="AK44" s="248">
        <f t="shared" si="6"/>
        <v>499.61254562342634</v>
      </c>
      <c r="AL44" s="248">
        <f t="shared" si="21"/>
        <v>416.34378801952198</v>
      </c>
      <c r="AM44" s="248">
        <f t="shared" si="22"/>
        <v>333.07503041561756</v>
      </c>
      <c r="AN44" s="248">
        <f t="shared" si="7"/>
        <v>3284.8674111524592</v>
      </c>
      <c r="AO44" s="268">
        <f t="shared" si="8"/>
        <v>2625.5914559789676</v>
      </c>
    </row>
    <row r="45" spans="1:41" ht="12.75" customHeight="1" x14ac:dyDescent="0.2">
      <c r="A45" s="418">
        <v>1</v>
      </c>
      <c r="B45" s="2383" t="s">
        <v>96</v>
      </c>
      <c r="C45" s="2385" t="s">
        <v>341</v>
      </c>
      <c r="D45" s="652">
        <v>2.2999999999999998</v>
      </c>
      <c r="E45" s="419" t="s">
        <v>35</v>
      </c>
      <c r="F45" s="420" t="s">
        <v>197</v>
      </c>
      <c r="G45" s="771">
        <v>6.3479999999999999</v>
      </c>
      <c r="H45" s="817">
        <v>6.79</v>
      </c>
      <c r="I45" s="423"/>
      <c r="J45" s="424">
        <v>6.19</v>
      </c>
      <c r="K45" s="425"/>
      <c r="L45" s="425">
        <v>0.6</v>
      </c>
      <c r="M45" s="425"/>
      <c r="N45" s="425"/>
      <c r="O45" s="426"/>
      <c r="P45" s="427">
        <f>0.314*I45+0.249*J45+0.025*L45+0.195*M45+0.159*N45+0.06*O45</f>
        <v>1.5563100000000001</v>
      </c>
      <c r="Q45" s="429">
        <f>0.4*J45+0.04725*L45</f>
        <v>2.5043500000000005</v>
      </c>
      <c r="R45" s="428">
        <f>SQRT(POWER(P45,2)+POWER(Q45+G45,2))</f>
        <v>8.9881144484591449</v>
      </c>
      <c r="S45" s="429">
        <f>SQRT(POWER(P45,2)+POWER(Q45+H45,2))</f>
        <v>9.4237488686085022</v>
      </c>
      <c r="T45" s="430">
        <f>37000/1.73/SQRT(POWER((G45+Q45),2)+P45*P45)</f>
        <v>2379.5072214129063</v>
      </c>
      <c r="U45" s="1019">
        <f>37000/2/SQRT(P45*P45+POWER((H45+Q45),2))</f>
        <v>1963.125318590083</v>
      </c>
      <c r="V45" s="1033">
        <v>1</v>
      </c>
      <c r="W45" s="421" t="s">
        <v>41</v>
      </c>
      <c r="X45" s="1250">
        <v>6.3</v>
      </c>
      <c r="Y45" s="421">
        <v>11</v>
      </c>
      <c r="Z45" s="421">
        <v>35</v>
      </c>
      <c r="AA45" s="421">
        <v>6.3</v>
      </c>
      <c r="AB45" s="1242">
        <v>8.01</v>
      </c>
      <c r="AC45" s="421" t="s">
        <v>162</v>
      </c>
      <c r="AD45" s="421"/>
      <c r="AE45" s="525">
        <f t="shared" si="19"/>
        <v>15.575000000000001</v>
      </c>
      <c r="AF45" s="1022">
        <f>SQRT(POWER(P45,2)+POWER(Q45+AE45+G45,2))</f>
        <v>24.476877432356442</v>
      </c>
      <c r="AG45" s="532">
        <f>SQRT(POWER(P45,2)+POWER(Q45+AE45+H45,2))</f>
        <v>24.917998921233625</v>
      </c>
      <c r="AH45" s="179">
        <f>SQRT(POWER((AE45+Q45+G45),2)+POWER(P45,2))*POWER(6.3/Z45,2)</f>
        <v>0.79305082880834865</v>
      </c>
      <c r="AI45" s="180">
        <f>SQRT(POWER((H45+Q45+AE45),2)+POWER(P45,2))*POWER(6.3/Z45,2)</f>
        <v>0.80734316504796955</v>
      </c>
      <c r="AJ45" s="447">
        <f>37000/1.73/SQRT(POWER((G45+Q45+AE45),2)+P45*P45)</f>
        <v>873.77498604956713</v>
      </c>
      <c r="AK45" s="448">
        <f>37000/2/SQRT(POWER((H45+Q45+AE45),2)+P45*P45)</f>
        <v>742.4352195567119</v>
      </c>
      <c r="AL45" s="448">
        <f t="shared" si="21"/>
        <v>618.69601629725992</v>
      </c>
      <c r="AM45" s="448">
        <f t="shared" si="22"/>
        <v>494.95681303780793</v>
      </c>
      <c r="AN45" s="448">
        <f>6300/(1.73*AH45)</f>
        <v>4591.9105873475764</v>
      </c>
      <c r="AO45" s="449">
        <f>SUM(6300/(2*AI45))</f>
        <v>3901.6865892619999</v>
      </c>
    </row>
    <row r="46" spans="1:41" ht="12.75" customHeight="1" thickBot="1" x14ac:dyDescent="0.25">
      <c r="A46" s="432">
        <v>1</v>
      </c>
      <c r="B46" s="2384"/>
      <c r="C46" s="2386"/>
      <c r="D46" s="433">
        <v>2.2999999999999998</v>
      </c>
      <c r="E46" s="434" t="s">
        <v>35</v>
      </c>
      <c r="F46" s="435" t="s">
        <v>197</v>
      </c>
      <c r="G46" s="788">
        <v>6.3479999999999999</v>
      </c>
      <c r="H46" s="818">
        <v>6.79</v>
      </c>
      <c r="I46" s="438"/>
      <c r="J46" s="439">
        <v>6.19</v>
      </c>
      <c r="K46" s="440"/>
      <c r="L46" s="440">
        <v>0.6</v>
      </c>
      <c r="M46" s="440"/>
      <c r="N46" s="440"/>
      <c r="O46" s="441"/>
      <c r="P46" s="442">
        <f>0.314*I46+0.249*J46+0.025*L46+0.195*M46+0.159*N46+0.06*O46</f>
        <v>1.5563100000000001</v>
      </c>
      <c r="Q46" s="444">
        <f>0.4*J46+0.04725*L46</f>
        <v>2.5043500000000005</v>
      </c>
      <c r="R46" s="443">
        <f>SQRT(POWER(P46,2)+POWER(Q46+G46,2))</f>
        <v>8.9881144484591449</v>
      </c>
      <c r="S46" s="444">
        <f>SQRT(POWER(P46,2)+POWER(Q46+H46,2))</f>
        <v>9.4237488686085022</v>
      </c>
      <c r="T46" s="445">
        <f>37000/1.73/SQRT(POWER((G46+Q46),2)+P46*P46)</f>
        <v>2379.5072214129063</v>
      </c>
      <c r="U46" s="484">
        <f>37000/2/SQRT(P46*P46+POWER((H46+Q46),2))</f>
        <v>1963.125318590083</v>
      </c>
      <c r="V46" s="1034">
        <v>2</v>
      </c>
      <c r="W46" s="436" t="s">
        <v>41</v>
      </c>
      <c r="X46" s="1253">
        <v>6.3</v>
      </c>
      <c r="Y46" s="436">
        <v>11</v>
      </c>
      <c r="Z46" s="436">
        <v>35</v>
      </c>
      <c r="AA46" s="436">
        <v>6.3</v>
      </c>
      <c r="AB46" s="1245">
        <v>8.01</v>
      </c>
      <c r="AC46" s="436" t="s">
        <v>162</v>
      </c>
      <c r="AD46" s="436"/>
      <c r="AE46" s="527">
        <f t="shared" si="19"/>
        <v>15.575000000000001</v>
      </c>
      <c r="AF46" s="1023">
        <f>SQRT(POWER(P46,2)+POWER(Q46+AE46+G46,2))</f>
        <v>24.476877432356442</v>
      </c>
      <c r="AG46" s="527">
        <f>SQRT(POWER(P46,2)+POWER(Q46+AE46+H46,2))</f>
        <v>24.917998921233625</v>
      </c>
      <c r="AH46" s="405">
        <f>SQRT(POWER((AE46+Q46+G46),2)+POWER(P46,2))*POWER(6.3/Z46,2)</f>
        <v>0.79305082880834865</v>
      </c>
      <c r="AI46" s="406">
        <f>SQRT(POWER((H46+Q46+AE46),2)+POWER(P46,2))*POWER(6.3/Z46,2)</f>
        <v>0.80734316504796955</v>
      </c>
      <c r="AJ46" s="450">
        <f>37000/1.73/SQRT(POWER((G46+Q46+AE46),2)+P46*P46)</f>
        <v>873.77498604956713</v>
      </c>
      <c r="AK46" s="445">
        <f>37000/2/SQRT(POWER((H46+Q46+AE46),2)+P46*P46)</f>
        <v>742.4352195567119</v>
      </c>
      <c r="AL46" s="445">
        <f t="shared" si="21"/>
        <v>618.69601629725992</v>
      </c>
      <c r="AM46" s="445">
        <f t="shared" si="22"/>
        <v>494.95681303780793</v>
      </c>
      <c r="AN46" s="445">
        <f>6300/(1.73*AH46)</f>
        <v>4591.9105873475764</v>
      </c>
      <c r="AO46" s="451">
        <f>SUM(6300/(2*AI46))</f>
        <v>3901.6865892619999</v>
      </c>
    </row>
    <row r="47" spans="1:41" ht="12.75" customHeight="1" x14ac:dyDescent="0.2">
      <c r="A47" s="571">
        <v>1</v>
      </c>
      <c r="B47" s="2374" t="s">
        <v>96</v>
      </c>
      <c r="C47" s="2376" t="s">
        <v>341</v>
      </c>
      <c r="D47" s="712">
        <v>2.2999999999999998</v>
      </c>
      <c r="E47" s="572" t="s">
        <v>35</v>
      </c>
      <c r="F47" s="752" t="s">
        <v>100</v>
      </c>
      <c r="G47" s="2137">
        <f>'СР6 перевод на Баграс'!G5</f>
        <v>8.2869415032183689</v>
      </c>
      <c r="H47" s="2138">
        <f>'СР6 перевод на Баграс'!H5</f>
        <v>9.0895455227238635</v>
      </c>
      <c r="I47" s="574"/>
      <c r="J47" s="575">
        <v>13.95</v>
      </c>
      <c r="K47" s="576"/>
      <c r="L47" s="576"/>
      <c r="M47" s="576"/>
      <c r="N47" s="576"/>
      <c r="O47" s="577"/>
      <c r="P47" s="578">
        <f>0.314*I47+0.249*J47+0.195*M47+0.159*N47+0.06*O47</f>
        <v>3.4735499999999999</v>
      </c>
      <c r="Q47" s="581">
        <f>0.4*SUM(I47:O47)</f>
        <v>5.58</v>
      </c>
      <c r="R47" s="580">
        <f>SQRT(POWER(P47,2)+POWER(Q47+G47,2))</f>
        <v>14.295370448371742</v>
      </c>
      <c r="S47" s="581">
        <f>SQRT(POWER(P47,2)+POWER(Q47+H47,2))</f>
        <v>15.075182103237353</v>
      </c>
      <c r="T47" s="582">
        <f>37000/1.73/SQRT(POWER((G47+Q47),2)+P47*P47)</f>
        <v>1496.0985666118399</v>
      </c>
      <c r="U47" s="1020">
        <f>37000/2/SQRT(P47*P47+POWER((H47+Q47),2))</f>
        <v>1227.182522460354</v>
      </c>
      <c r="V47" s="1035">
        <v>1</v>
      </c>
      <c r="W47" s="579" t="s">
        <v>41</v>
      </c>
      <c r="X47" s="1250">
        <v>6.3</v>
      </c>
      <c r="Y47" s="579">
        <v>11</v>
      </c>
      <c r="Z47" s="579">
        <v>35</v>
      </c>
      <c r="AA47" s="579">
        <v>6.3</v>
      </c>
      <c r="AB47" s="1242">
        <v>8.01</v>
      </c>
      <c r="AC47" s="579" t="s">
        <v>162</v>
      </c>
      <c r="AD47" s="579"/>
      <c r="AE47" s="583">
        <f t="shared" si="19"/>
        <v>15.575000000000001</v>
      </c>
      <c r="AF47" s="907">
        <f>SQRT(POWER(P47,2)+POWER(Q47+AE47+G47,2))</f>
        <v>29.646137506957501</v>
      </c>
      <c r="AG47" s="583">
        <f>SQRT(POWER(P47,2)+POWER(Q47+AE47+H47,2))</f>
        <v>30.443358610354018</v>
      </c>
      <c r="AH47" s="139">
        <f>SQRT(POWER((AE47+Q47+G47),2)+POWER(P47,2))*POWER(6.3/Z47,2)</f>
        <v>0.96053485522542303</v>
      </c>
      <c r="AI47" s="140">
        <f>SQRT(POWER((H47+Q47+AE47),2)+POWER(P47,2))*POWER(6.3/Z47,2)</f>
        <v>0.98636481897547013</v>
      </c>
      <c r="AJ47" s="598">
        <f>37000/1.73/SQRT(POWER((G47+Q47+AE47),2)+P47*P47)</f>
        <v>721.41887731496035</v>
      </c>
      <c r="AK47" s="599">
        <f>37000/2/SQRT(POWER((H47+Q47+AE47),2)+P47*P47)</f>
        <v>607.68590735281123</v>
      </c>
      <c r="AL47" s="599">
        <f t="shared" si="21"/>
        <v>506.40492279400939</v>
      </c>
      <c r="AM47" s="599">
        <f t="shared" si="22"/>
        <v>405.1239382352075</v>
      </c>
      <c r="AN47" s="599">
        <f>6300/(1.73*AH47)</f>
        <v>3791.2403462497919</v>
      </c>
      <c r="AO47" s="600">
        <f>SUM(6300/(2*AI47))</f>
        <v>3193.5445581604195</v>
      </c>
    </row>
    <row r="48" spans="1:41" ht="12.75" customHeight="1" thickBot="1" x14ac:dyDescent="0.25">
      <c r="A48" s="584">
        <v>1</v>
      </c>
      <c r="B48" s="2375"/>
      <c r="C48" s="2377"/>
      <c r="D48" s="585">
        <v>2.2999999999999998</v>
      </c>
      <c r="E48" s="586" t="s">
        <v>35</v>
      </c>
      <c r="F48" s="587" t="s">
        <v>100</v>
      </c>
      <c r="G48" s="2139">
        <f>'СР6 перевод на Баграс'!G6</f>
        <v>8.2967555031037516</v>
      </c>
      <c r="H48" s="2140">
        <f>'СР6 перевод на Баграс'!H6</f>
        <v>9.1031996394772428</v>
      </c>
      <c r="I48" s="589"/>
      <c r="J48" s="590">
        <v>13.95</v>
      </c>
      <c r="K48" s="591"/>
      <c r="L48" s="591"/>
      <c r="M48" s="591"/>
      <c r="N48" s="591"/>
      <c r="O48" s="592"/>
      <c r="P48" s="593">
        <f>0.314*I48+0.249*J48+0.195*M48+0.159*N48+0.06*O48</f>
        <v>3.4735499999999999</v>
      </c>
      <c r="Q48" s="595">
        <f>0.4*SUM(I48:O48)</f>
        <v>5.58</v>
      </c>
      <c r="R48" s="594">
        <f>SQRT(POWER(P48,2)+POWER(Q48+G48,2))</f>
        <v>14.304890523713219</v>
      </c>
      <c r="S48" s="595">
        <f>SQRT(POWER(P48,2)+POWER(Q48+H48,2))</f>
        <v>15.088469148831654</v>
      </c>
      <c r="T48" s="596">
        <f>37000/1.73/SQRT(POWER((G48+Q48),2)+P48*P48)</f>
        <v>1495.1028951630574</v>
      </c>
      <c r="U48" s="733">
        <f>37000/2/SQRT(P48*P48+POWER((H48+Q48),2))</f>
        <v>1226.1018541720325</v>
      </c>
      <c r="V48" s="1036">
        <v>2</v>
      </c>
      <c r="W48" s="588" t="s">
        <v>41</v>
      </c>
      <c r="X48" s="1253">
        <v>6.3</v>
      </c>
      <c r="Y48" s="588">
        <v>11</v>
      </c>
      <c r="Z48" s="588">
        <v>35</v>
      </c>
      <c r="AA48" s="588">
        <v>6.3</v>
      </c>
      <c r="AB48" s="1245">
        <v>8.01</v>
      </c>
      <c r="AC48" s="588" t="s">
        <v>162</v>
      </c>
      <c r="AD48" s="588"/>
      <c r="AE48" s="597">
        <f t="shared" si="19"/>
        <v>15.575000000000001</v>
      </c>
      <c r="AF48" s="1024">
        <f>SQRT(POWER(P48,2)+POWER(Q48+AE48+G48,2))</f>
        <v>29.655883932486354</v>
      </c>
      <c r="AG48" s="597">
        <f>SQRT(POWER(P48,2)+POWER(Q48+AE48+H48,2))</f>
        <v>30.456923597516557</v>
      </c>
      <c r="AH48" s="407">
        <f>SQRT(POWER((AE48+Q48+G48),2)+POWER(P48,2))*POWER(6.3/Z48,2)</f>
        <v>0.96085063941255777</v>
      </c>
      <c r="AI48" s="408">
        <f>SQRT(POWER((H48+Q48+AE48),2)+POWER(P48,2))*POWER(6.3/Z48,2)</f>
        <v>0.98680432455953637</v>
      </c>
      <c r="AJ48" s="601">
        <f>37000/1.73/SQRT(POWER((G48+Q48+AE48),2)+P48*P48)</f>
        <v>721.1817825320544</v>
      </c>
      <c r="AK48" s="596">
        <f>37000/2/SQRT(POWER((H48+Q48+AE48),2)+P48*P48)</f>
        <v>607.41525455671695</v>
      </c>
      <c r="AL48" s="596">
        <f t="shared" si="21"/>
        <v>506.17937879726412</v>
      </c>
      <c r="AM48" s="596">
        <f t="shared" si="22"/>
        <v>404.9435030378113</v>
      </c>
      <c r="AN48" s="596">
        <f>6300/(1.73*AH48)</f>
        <v>3789.9943526459319</v>
      </c>
      <c r="AO48" s="602">
        <f>SUM(6300/(2*AI48))</f>
        <v>3192.122208631396</v>
      </c>
    </row>
    <row r="49" spans="2:32" x14ac:dyDescent="0.2">
      <c r="F49" s="187"/>
      <c r="P49" s="100"/>
    </row>
    <row r="50" spans="2:32" ht="15.75" x14ac:dyDescent="0.2">
      <c r="B50" s="192" t="s">
        <v>158</v>
      </c>
      <c r="E50" s="2378">
        <v>42647</v>
      </c>
      <c r="F50" s="2379"/>
      <c r="G50" s="188" t="s">
        <v>337</v>
      </c>
      <c r="P50" s="193"/>
      <c r="Q50" s="193"/>
      <c r="R50" s="193"/>
      <c r="S50" s="193"/>
      <c r="T50" s="193"/>
      <c r="U50" s="193"/>
      <c r="V50" s="193"/>
      <c r="W50" s="193"/>
      <c r="X50" s="1247"/>
      <c r="Y50" s="193"/>
      <c r="Z50" s="193"/>
      <c r="AA50" s="193"/>
      <c r="AB50" s="1247"/>
      <c r="AC50" s="193"/>
      <c r="AD50" s="193"/>
      <c r="AE50" s="193"/>
      <c r="AF50" s="193"/>
    </row>
    <row r="51" spans="2:32" ht="15" customHeight="1" x14ac:dyDescent="0.2">
      <c r="B51" s="185" t="s">
        <v>328</v>
      </c>
      <c r="E51" s="2380" t="s">
        <v>189</v>
      </c>
      <c r="F51" s="2380"/>
      <c r="G51" s="188" t="s">
        <v>391</v>
      </c>
      <c r="P51" s="193"/>
      <c r="Q51" s="194"/>
      <c r="R51" s="194"/>
      <c r="S51" s="194"/>
      <c r="T51" s="194"/>
      <c r="U51" s="194"/>
      <c r="V51" s="194"/>
      <c r="W51" s="194"/>
      <c r="X51" s="1248"/>
      <c r="Y51" s="194"/>
      <c r="Z51" s="194"/>
      <c r="AA51" s="194"/>
      <c r="AB51" s="1248"/>
      <c r="AC51" s="194"/>
      <c r="AD51" s="194"/>
      <c r="AE51" s="194"/>
      <c r="AF51" s="194"/>
    </row>
    <row r="52" spans="2:32" x14ac:dyDescent="0.2">
      <c r="B52" s="100"/>
      <c r="D52" s="100"/>
      <c r="E52" s="100"/>
    </row>
    <row r="53" spans="2:32" x14ac:dyDescent="0.2">
      <c r="B53" s="100"/>
      <c r="D53" s="100"/>
      <c r="E53" s="100"/>
    </row>
    <row r="54" spans="2:32" ht="12.75" customHeight="1" x14ac:dyDescent="0.2"/>
    <row r="57" spans="2:32" x14ac:dyDescent="0.2">
      <c r="M57" s="100"/>
      <c r="N57" s="100"/>
      <c r="O57" s="100"/>
      <c r="P57" s="100"/>
      <c r="Q57" s="100"/>
      <c r="T57" s="100"/>
      <c r="U57" s="100"/>
      <c r="V57" s="100"/>
    </row>
    <row r="125" spans="1:1" x14ac:dyDescent="0.2">
      <c r="A125" s="195"/>
    </row>
    <row r="126" spans="1:1" x14ac:dyDescent="0.2">
      <c r="A126" s="195"/>
    </row>
    <row r="127" spans="1:1" x14ac:dyDescent="0.2">
      <c r="A127" s="195"/>
    </row>
    <row r="128" spans="1:1" x14ac:dyDescent="0.2">
      <c r="A128" s="195"/>
    </row>
  </sheetData>
  <mergeCells count="74">
    <mergeCell ref="E51:F51"/>
    <mergeCell ref="B41:B42"/>
    <mergeCell ref="C41:C42"/>
    <mergeCell ref="B43:B44"/>
    <mergeCell ref="C43:C44"/>
    <mergeCell ref="B45:B46"/>
    <mergeCell ref="C45:C46"/>
    <mergeCell ref="B39:B40"/>
    <mergeCell ref="C39:C40"/>
    <mergeCell ref="B47:B48"/>
    <mergeCell ref="C47:C48"/>
    <mergeCell ref="E50:F50"/>
    <mergeCell ref="B33:B34"/>
    <mergeCell ref="C33:C34"/>
    <mergeCell ref="B35:B36"/>
    <mergeCell ref="C35:C36"/>
    <mergeCell ref="B37:B38"/>
    <mergeCell ref="C37:C38"/>
    <mergeCell ref="B27:B28"/>
    <mergeCell ref="C27:C28"/>
    <mergeCell ref="B29:B30"/>
    <mergeCell ref="C29:C30"/>
    <mergeCell ref="B31:B32"/>
    <mergeCell ref="C31:C32"/>
    <mergeCell ref="B21:B22"/>
    <mergeCell ref="C21:C22"/>
    <mergeCell ref="B23:B24"/>
    <mergeCell ref="C23:C24"/>
    <mergeCell ref="B25:B26"/>
    <mergeCell ref="C25:C26"/>
    <mergeCell ref="B15:B16"/>
    <mergeCell ref="C15:C16"/>
    <mergeCell ref="B17:B18"/>
    <mergeCell ref="C17:C18"/>
    <mergeCell ref="B19:B20"/>
    <mergeCell ref="C19:C20"/>
    <mergeCell ref="B9:B10"/>
    <mergeCell ref="C9:C10"/>
    <mergeCell ref="B11:B12"/>
    <mergeCell ref="C11:C12"/>
    <mergeCell ref="B13:B14"/>
    <mergeCell ref="C13:C14"/>
    <mergeCell ref="AM2:AM3"/>
    <mergeCell ref="AN2:AO2"/>
    <mergeCell ref="B5:B6"/>
    <mergeCell ref="C5:C6"/>
    <mergeCell ref="B7:B8"/>
    <mergeCell ref="C7:C8"/>
    <mergeCell ref="AE2:AE3"/>
    <mergeCell ref="AF2:AG2"/>
    <mergeCell ref="AH2:AI2"/>
    <mergeCell ref="AJ2:AK2"/>
    <mergeCell ref="AL2:AL3"/>
    <mergeCell ref="Z2:Z3"/>
    <mergeCell ref="AA2:AA3"/>
    <mergeCell ref="AB2:AB3"/>
    <mergeCell ref="AC2:AC3"/>
    <mergeCell ref="AD2:AD3"/>
    <mergeCell ref="A1:AO1"/>
    <mergeCell ref="A2:A4"/>
    <mergeCell ref="B2:B4"/>
    <mergeCell ref="C2:C4"/>
    <mergeCell ref="D2:D4"/>
    <mergeCell ref="E2:E4"/>
    <mergeCell ref="F2:F4"/>
    <mergeCell ref="G2:H2"/>
    <mergeCell ref="I2:O2"/>
    <mergeCell ref="P2:Q3"/>
    <mergeCell ref="R2:S2"/>
    <mergeCell ref="T2:U2"/>
    <mergeCell ref="V2:V4"/>
    <mergeCell ref="W2:W4"/>
    <mergeCell ref="X2:X3"/>
    <mergeCell ref="Y2:Y4"/>
  </mergeCells>
  <pageMargins left="0.27559055118110237" right="0.27559055118110237" top="0.39370078740157483" bottom="0.31496062992125984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EC176-3DE2-4138-BFB9-62790D14EED1}">
  <sheetPr codeName="Лист2"/>
  <dimension ref="A1:AO128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G15" sqref="G15"/>
    </sheetView>
  </sheetViews>
  <sheetFormatPr defaultRowHeight="12.75" x14ac:dyDescent="0.2"/>
  <cols>
    <col min="1" max="1" width="10.85546875" style="100" customWidth="1"/>
    <col min="2" max="2" width="16.140625" style="185" customWidth="1"/>
    <col min="3" max="3" width="6.42578125" style="100" customWidth="1"/>
    <col min="4" max="4" width="5.140625" style="186" customWidth="1"/>
    <col min="5" max="5" width="3.140625" style="186" customWidth="1"/>
    <col min="6" max="6" width="15.85546875" style="100" customWidth="1"/>
    <col min="7" max="8" width="7" style="100" customWidth="1"/>
    <col min="9" max="10" width="5.5703125" style="188" customWidth="1"/>
    <col min="11" max="13" width="5.5703125" style="189" customWidth="1"/>
    <col min="14" max="17" width="5.5703125" style="186" customWidth="1"/>
    <col min="18" max="19" width="6.7109375" style="100" customWidth="1"/>
    <col min="20" max="21" width="6.7109375" style="190" customWidth="1"/>
    <col min="22" max="22" width="3.5703125" style="186" customWidth="1"/>
    <col min="23" max="23" width="16" style="100" customWidth="1"/>
    <col min="24" max="24" width="5.7109375" style="1246" customWidth="1"/>
    <col min="25" max="25" width="7.42578125" style="100" customWidth="1"/>
    <col min="26" max="27" width="5.85546875" style="100" customWidth="1"/>
    <col min="28" max="28" width="6" style="1246" customWidth="1"/>
    <col min="29" max="29" width="11.42578125" style="100" hidden="1" customWidth="1"/>
    <col min="30" max="30" width="6" style="186" hidden="1" customWidth="1"/>
    <col min="31" max="31" width="6" style="100" customWidth="1"/>
    <col min="32" max="35" width="6.7109375" style="100" customWidth="1"/>
    <col min="36" max="37" width="6.7109375" style="190" customWidth="1"/>
    <col min="38" max="38" width="6.7109375" style="191" customWidth="1"/>
    <col min="39" max="41" width="6.7109375" style="190" customWidth="1"/>
    <col min="42" max="16384" width="9.140625" style="100"/>
  </cols>
  <sheetData>
    <row r="1" spans="1:41" ht="36.75" customHeight="1" thickBot="1" x14ac:dyDescent="0.25">
      <c r="A1" s="2302" t="s">
        <v>338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  <c r="AN1" s="2302"/>
      <c r="AO1" s="2302"/>
    </row>
    <row r="2" spans="1:41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1"/>
      <c r="N2" s="2321"/>
      <c r="O2" s="2322"/>
      <c r="P2" s="2323" t="s">
        <v>8</v>
      </c>
      <c r="Q2" s="2324"/>
      <c r="R2" s="2327" t="s">
        <v>385</v>
      </c>
      <c r="S2" s="2327"/>
      <c r="T2" s="2328" t="s">
        <v>388</v>
      </c>
      <c r="U2" s="2329"/>
      <c r="V2" s="2330" t="s">
        <v>9</v>
      </c>
      <c r="W2" s="2333" t="s">
        <v>10</v>
      </c>
      <c r="X2" s="2336" t="s">
        <v>12</v>
      </c>
      <c r="Y2" s="2338" t="s">
        <v>13</v>
      </c>
      <c r="Z2" s="2341" t="s">
        <v>335</v>
      </c>
      <c r="AA2" s="2341" t="s">
        <v>336</v>
      </c>
      <c r="AB2" s="2343" t="s">
        <v>16</v>
      </c>
      <c r="AC2" s="2341" t="s">
        <v>17</v>
      </c>
      <c r="AD2" s="2341" t="s">
        <v>18</v>
      </c>
      <c r="AE2" s="2345" t="s">
        <v>19</v>
      </c>
      <c r="AF2" s="2321" t="s">
        <v>386</v>
      </c>
      <c r="AG2" s="2321"/>
      <c r="AH2" s="2347" t="s">
        <v>387</v>
      </c>
      <c r="AI2" s="2348"/>
      <c r="AJ2" s="2349" t="s">
        <v>382</v>
      </c>
      <c r="AK2" s="2350"/>
      <c r="AL2" s="2351" t="s">
        <v>20</v>
      </c>
      <c r="AM2" s="2351" t="s">
        <v>21</v>
      </c>
      <c r="AN2" s="2349" t="s">
        <v>383</v>
      </c>
      <c r="AO2" s="2353"/>
    </row>
    <row r="3" spans="1:41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322" t="s">
        <v>24</v>
      </c>
      <c r="J3" s="323" t="s">
        <v>25</v>
      </c>
      <c r="K3" s="324" t="s">
        <v>172</v>
      </c>
      <c r="L3" s="323" t="s">
        <v>198</v>
      </c>
      <c r="M3" s="324" t="s">
        <v>26</v>
      </c>
      <c r="N3" s="324" t="s">
        <v>27</v>
      </c>
      <c r="O3" s="325" t="s">
        <v>28</v>
      </c>
      <c r="P3" s="2325"/>
      <c r="Q3" s="2326"/>
      <c r="R3" s="104" t="s">
        <v>216</v>
      </c>
      <c r="S3" s="104" t="s">
        <v>217</v>
      </c>
      <c r="T3" s="105" t="s">
        <v>218</v>
      </c>
      <c r="U3" s="110" t="s">
        <v>219</v>
      </c>
      <c r="V3" s="2331"/>
      <c r="W3" s="2334"/>
      <c r="X3" s="2337"/>
      <c r="Y3" s="2339"/>
      <c r="Z3" s="2342"/>
      <c r="AA3" s="2342"/>
      <c r="AB3" s="2344"/>
      <c r="AC3" s="2342"/>
      <c r="AD3" s="2342"/>
      <c r="AE3" s="2346"/>
      <c r="AF3" s="1021" t="s">
        <v>216</v>
      </c>
      <c r="AG3" s="106" t="s">
        <v>217</v>
      </c>
      <c r="AH3" s="107" t="s">
        <v>216</v>
      </c>
      <c r="AI3" s="108" t="s">
        <v>217</v>
      </c>
      <c r="AJ3" s="109" t="s">
        <v>218</v>
      </c>
      <c r="AK3" s="110" t="s">
        <v>219</v>
      </c>
      <c r="AL3" s="2352"/>
      <c r="AM3" s="2352"/>
      <c r="AN3" s="105" t="s">
        <v>218</v>
      </c>
      <c r="AO3" s="111" t="s">
        <v>219</v>
      </c>
    </row>
    <row r="4" spans="1:41" s="101" customFormat="1" ht="13.5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6" t="s">
        <v>31</v>
      </c>
      <c r="M4" s="116" t="s">
        <v>31</v>
      </c>
      <c r="N4" s="116" t="s">
        <v>31</v>
      </c>
      <c r="O4" s="117" t="s">
        <v>31</v>
      </c>
      <c r="P4" s="118" t="s">
        <v>30</v>
      </c>
      <c r="Q4" s="116" t="s">
        <v>30</v>
      </c>
      <c r="R4" s="116" t="s">
        <v>30</v>
      </c>
      <c r="S4" s="116" t="s">
        <v>30</v>
      </c>
      <c r="T4" s="119" t="s">
        <v>35</v>
      </c>
      <c r="U4" s="1017" t="s">
        <v>35</v>
      </c>
      <c r="V4" s="2332"/>
      <c r="W4" s="2335"/>
      <c r="X4" s="1249" t="s">
        <v>32</v>
      </c>
      <c r="Y4" s="2340"/>
      <c r="Z4" s="120" t="s">
        <v>33</v>
      </c>
      <c r="AA4" s="120" t="s">
        <v>33</v>
      </c>
      <c r="AB4" s="1241" t="s">
        <v>34</v>
      </c>
      <c r="AC4" s="120" t="s">
        <v>35</v>
      </c>
      <c r="AD4" s="120" t="s">
        <v>34</v>
      </c>
      <c r="AE4" s="1025" t="s">
        <v>30</v>
      </c>
      <c r="AF4" s="118" t="s">
        <v>30</v>
      </c>
      <c r="AG4" s="122" t="s">
        <v>30</v>
      </c>
      <c r="AH4" s="123" t="s">
        <v>30</v>
      </c>
      <c r="AI4" s="124" t="s">
        <v>30</v>
      </c>
      <c r="AJ4" s="125" t="s">
        <v>35</v>
      </c>
      <c r="AK4" s="119" t="s">
        <v>35</v>
      </c>
      <c r="AL4" s="119" t="s">
        <v>35</v>
      </c>
      <c r="AM4" s="119" t="s">
        <v>35</v>
      </c>
      <c r="AN4" s="119" t="s">
        <v>35</v>
      </c>
      <c r="AO4" s="126" t="s">
        <v>35</v>
      </c>
    </row>
    <row r="5" spans="1:41" ht="12.75" customHeight="1" x14ac:dyDescent="0.2">
      <c r="A5" s="127">
        <v>1</v>
      </c>
      <c r="B5" s="2306" t="s">
        <v>52</v>
      </c>
      <c r="C5" s="2387" t="s">
        <v>340</v>
      </c>
      <c r="D5" s="672">
        <v>5.6</v>
      </c>
      <c r="E5" s="128" t="s">
        <v>39</v>
      </c>
      <c r="F5" s="655" t="s">
        <v>53</v>
      </c>
      <c r="G5" s="615">
        <v>2.5499999999999998</v>
      </c>
      <c r="H5" s="616">
        <v>5.42</v>
      </c>
      <c r="I5" s="131"/>
      <c r="J5" s="132">
        <v>4.53</v>
      </c>
      <c r="K5" s="133"/>
      <c r="L5" s="133"/>
      <c r="M5" s="133"/>
      <c r="N5" s="133"/>
      <c r="O5" s="134"/>
      <c r="P5" s="534">
        <f>0.314*I5+0.249*J5+0.195*M5+0.159*N5+0.06*O5</f>
        <v>1.1279700000000001</v>
      </c>
      <c r="Q5" s="353">
        <f>0.4*SUM(I5:O5)</f>
        <v>1.8120000000000003</v>
      </c>
      <c r="R5" s="352">
        <f t="shared" ref="R5:R32" si="0">SQRT(POWER(P5,2)+POWER(Q5+G5,2))</f>
        <v>4.5054811419980441</v>
      </c>
      <c r="S5" s="353">
        <f t="shared" ref="S5:S44" si="1">SQRT(POWER(P5,2)+POWER(Q5+H5,2))</f>
        <v>7.3194357925252689</v>
      </c>
      <c r="T5" s="354">
        <f>37000/1.73/SQRT(POWER((G5+Q5),2)+P5*P5)</f>
        <v>4746.9476761608657</v>
      </c>
      <c r="U5" s="357">
        <f>37000/2/SQRT(P5*P5+POWER((H5+Q5),2))</f>
        <v>2527.5172191403758</v>
      </c>
      <c r="V5" s="1026">
        <v>1</v>
      </c>
      <c r="W5" s="349" t="s">
        <v>187</v>
      </c>
      <c r="X5" s="1250">
        <v>4</v>
      </c>
      <c r="Y5" s="349">
        <v>11</v>
      </c>
      <c r="Z5" s="349">
        <v>35</v>
      </c>
      <c r="AA5" s="349">
        <v>6.3</v>
      </c>
      <c r="AB5" s="1242">
        <v>7.67</v>
      </c>
      <c r="AC5" s="349" t="s">
        <v>54</v>
      </c>
      <c r="AD5" s="349">
        <v>9</v>
      </c>
      <c r="AE5" s="528">
        <f>AB5/100*Z5*Z5/X5</f>
        <v>23.489375000000003</v>
      </c>
      <c r="AF5" s="351">
        <f t="shared" ref="AF5:AF32" si="2">SQRT(POWER(P5,2)+POWER(Q5+AE5+G5,2))</f>
        <v>27.874206817621289</v>
      </c>
      <c r="AG5" s="528">
        <f t="shared" ref="AG5:AG44" si="3">SQRT(POWER(P5,2)+POWER(Q5+AE5+H5,2))</f>
        <v>30.742075372549674</v>
      </c>
      <c r="AH5" s="1237">
        <f t="shared" ref="AH5:AH11" si="4">SQRT(POWER((AE5+Q5+G5),2)+POWER(P5,2))*POWER(6.3/Z5,2)</f>
        <v>0.90312430089092977</v>
      </c>
      <c r="AI5" s="1238">
        <f t="shared" ref="AI5:AI12" si="5">SQRT(POWER((H5+Q5+AE5),2)+POWER(P5,2))*POWER(6.3/Z5,2)</f>
        <v>0.99604324207060935</v>
      </c>
      <c r="AJ5" s="159">
        <f>37000/1.73/SQRT(POWER((G5+Q5+AE5),2)+P5*P5)</f>
        <v>767.27863063259542</v>
      </c>
      <c r="AK5" s="137">
        <f>37000/2/SQRT(POWER((H5+Q5+AE5),2)+P5*P5)</f>
        <v>601.78110214768026</v>
      </c>
      <c r="AL5" s="137">
        <f>AK5/1.2</f>
        <v>501.48425178973355</v>
      </c>
      <c r="AM5" s="142">
        <f>AK5/1.5</f>
        <v>401.18740143178684</v>
      </c>
      <c r="AN5" s="137">
        <f>6300/(1.73*AH5)</f>
        <v>4032.2450558770029</v>
      </c>
      <c r="AO5" s="143">
        <f>SUM(6300/(2*AI5))</f>
        <v>3162.5132995748963</v>
      </c>
    </row>
    <row r="6" spans="1:41" ht="12.75" customHeight="1" x14ac:dyDescent="0.2">
      <c r="A6" s="144">
        <v>1</v>
      </c>
      <c r="B6" s="2359"/>
      <c r="C6" s="2361"/>
      <c r="D6" s="673">
        <v>5.6</v>
      </c>
      <c r="E6" s="145" t="s">
        <v>39</v>
      </c>
      <c r="F6" s="146" t="s">
        <v>53</v>
      </c>
      <c r="G6" s="615">
        <v>2.5499999999999998</v>
      </c>
      <c r="H6" s="616">
        <v>5.42</v>
      </c>
      <c r="I6" s="147"/>
      <c r="J6" s="148">
        <v>4.53</v>
      </c>
      <c r="K6" s="149"/>
      <c r="L6" s="149"/>
      <c r="M6" s="149"/>
      <c r="N6" s="149"/>
      <c r="O6" s="150"/>
      <c r="P6" s="273">
        <f>0.314*I6+0.249*J6+0.195*M6+0.159*N6+0.06*O6</f>
        <v>1.1279700000000001</v>
      </c>
      <c r="Q6" s="154">
        <f>0.4*SUM(I6:O6)</f>
        <v>1.8120000000000003</v>
      </c>
      <c r="R6" s="153">
        <f t="shared" si="0"/>
        <v>4.5054811419980441</v>
      </c>
      <c r="S6" s="154">
        <f t="shared" si="1"/>
        <v>7.3194357925252689</v>
      </c>
      <c r="T6" s="155">
        <f t="shared" ref="T6:T32" si="6">37000/1.73/SQRT(POWER((G6+Q6),2)+P6*P6)</f>
        <v>4746.9476761608657</v>
      </c>
      <c r="U6" s="361">
        <f t="shared" ref="U6:U43" si="7">37000/2/SQRT(P6*P6+POWER((H6+Q6),2))</f>
        <v>2527.5172191403758</v>
      </c>
      <c r="V6" s="1027">
        <v>2</v>
      </c>
      <c r="W6" s="152" t="s">
        <v>187</v>
      </c>
      <c r="X6" s="1251">
        <v>4</v>
      </c>
      <c r="Y6" s="152">
        <v>11</v>
      </c>
      <c r="Z6" s="152">
        <v>35</v>
      </c>
      <c r="AA6" s="152">
        <v>6.3</v>
      </c>
      <c r="AB6" s="1243">
        <v>7.6</v>
      </c>
      <c r="AC6" s="152" t="s">
        <v>54</v>
      </c>
      <c r="AD6" s="152">
        <v>12</v>
      </c>
      <c r="AE6" s="274">
        <f>AB6/100*Z6*Z6/X6</f>
        <v>23.275000000000002</v>
      </c>
      <c r="AF6" s="151">
        <f t="shared" si="2"/>
        <v>27.660008772972223</v>
      </c>
      <c r="AG6" s="274">
        <f t="shared" si="3"/>
        <v>30.527845736653287</v>
      </c>
      <c r="AH6" s="1237">
        <f t="shared" si="4"/>
        <v>0.89618428424429997</v>
      </c>
      <c r="AI6" s="1238">
        <f t="shared" si="5"/>
        <v>0.98910220186756637</v>
      </c>
      <c r="AJ6" s="159">
        <f t="shared" ref="AJ6:AJ32" si="8">37000/1.73/SQRT(POWER((G6+Q6+AE6),2)+P6*P6)</f>
        <v>773.22040685296724</v>
      </c>
      <c r="AK6" s="155">
        <f t="shared" ref="AK6:AK44" si="9">37000/2/SQRT(POWER((H6+Q6+AE6),2)+P6*P6)</f>
        <v>606.0041104632536</v>
      </c>
      <c r="AL6" s="155">
        <f>AK6/1.2</f>
        <v>505.00342538604468</v>
      </c>
      <c r="AM6" s="155">
        <f>AK6/1.5</f>
        <v>404.00274030883571</v>
      </c>
      <c r="AN6" s="155">
        <f>6300/(1.73*AH6)</f>
        <v>4063.4706065846622</v>
      </c>
      <c r="AO6" s="160">
        <f t="shared" ref="AO6:AO44" si="10">SUM(6300/(2*AI6))</f>
        <v>3184.7062862182993</v>
      </c>
    </row>
    <row r="7" spans="1:41" ht="12.75" customHeight="1" x14ac:dyDescent="0.2">
      <c r="A7" s="161">
        <v>1</v>
      </c>
      <c r="B7" s="2358" t="s">
        <v>69</v>
      </c>
      <c r="C7" s="2360" t="s">
        <v>340</v>
      </c>
      <c r="D7" s="673">
        <v>5.6</v>
      </c>
      <c r="E7" s="145" t="s">
        <v>39</v>
      </c>
      <c r="F7" s="146" t="s">
        <v>53</v>
      </c>
      <c r="G7" s="615">
        <v>2.5499999999999998</v>
      </c>
      <c r="H7" s="616">
        <v>5.42</v>
      </c>
      <c r="I7" s="147"/>
      <c r="J7" s="148">
        <v>0.35</v>
      </c>
      <c r="K7" s="149"/>
      <c r="L7" s="149"/>
      <c r="M7" s="149"/>
      <c r="N7" s="149"/>
      <c r="O7" s="150"/>
      <c r="P7" s="273">
        <f t="shared" ref="P7:P12" si="11">0.314*I7+0.249*J7+0.195*M7+0.159*N7+0.06*O7</f>
        <v>8.7149999999999991E-2</v>
      </c>
      <c r="Q7" s="154">
        <f t="shared" ref="Q7:Q12" si="12">0.4*SUM(I7:O7)</f>
        <v>0.13999999999999999</v>
      </c>
      <c r="R7" s="153">
        <f t="shared" si="0"/>
        <v>2.6914113625568277</v>
      </c>
      <c r="S7" s="154">
        <f t="shared" si="1"/>
        <v>5.5606829726662168</v>
      </c>
      <c r="T7" s="155">
        <f t="shared" si="6"/>
        <v>7946.4936258114049</v>
      </c>
      <c r="U7" s="361">
        <f t="shared" si="7"/>
        <v>3326.9294600928642</v>
      </c>
      <c r="V7" s="1027">
        <v>1</v>
      </c>
      <c r="W7" s="152" t="s">
        <v>41</v>
      </c>
      <c r="X7" s="1251">
        <v>6.3</v>
      </c>
      <c r="Y7" s="152">
        <v>11</v>
      </c>
      <c r="Z7" s="152">
        <v>35</v>
      </c>
      <c r="AA7" s="152">
        <v>6.3</v>
      </c>
      <c r="AB7" s="1243">
        <v>7.82</v>
      </c>
      <c r="AC7" s="152" t="s">
        <v>162</v>
      </c>
      <c r="AD7" s="152"/>
      <c r="AE7" s="274">
        <f t="shared" ref="AE7:AE12" si="13">AB7/100*Z7*Z7/X7</f>
        <v>15.205555555555556</v>
      </c>
      <c r="AF7" s="151">
        <f t="shared" si="2"/>
        <v>17.89576776124666</v>
      </c>
      <c r="AG7" s="274">
        <f t="shared" si="3"/>
        <v>20.765738432653059</v>
      </c>
      <c r="AH7" s="1237">
        <f t="shared" si="4"/>
        <v>0.57982287546439171</v>
      </c>
      <c r="AI7" s="1238">
        <f t="shared" si="5"/>
        <v>0.6728099252179589</v>
      </c>
      <c r="AJ7" s="159">
        <f t="shared" si="8"/>
        <v>1195.102860202983</v>
      </c>
      <c r="AK7" s="155">
        <f t="shared" si="9"/>
        <v>890.89054357487726</v>
      </c>
      <c r="AL7" s="155">
        <f t="shared" ref="AL7:AL12" si="14">AK7/1.2</f>
        <v>742.40878631239775</v>
      </c>
      <c r="AM7" s="155">
        <f t="shared" ref="AM7:AM12" si="15">AK7/1.5</f>
        <v>593.92702904991813</v>
      </c>
      <c r="AN7" s="155">
        <f t="shared" ref="AN7:AN24" si="16">6300/(1.73*AH7)</f>
        <v>6280.5705866523158</v>
      </c>
      <c r="AO7" s="160">
        <f t="shared" si="10"/>
        <v>4681.8572109790848</v>
      </c>
    </row>
    <row r="8" spans="1:41" ht="12.75" customHeight="1" x14ac:dyDescent="0.2">
      <c r="A8" s="161">
        <v>1</v>
      </c>
      <c r="B8" s="2359"/>
      <c r="C8" s="2361"/>
      <c r="D8" s="673">
        <v>5.6</v>
      </c>
      <c r="E8" s="145" t="s">
        <v>39</v>
      </c>
      <c r="F8" s="146" t="s">
        <v>53</v>
      </c>
      <c r="G8" s="615">
        <v>2.5499999999999998</v>
      </c>
      <c r="H8" s="616">
        <v>5.42</v>
      </c>
      <c r="I8" s="147"/>
      <c r="J8" s="148">
        <v>0.35</v>
      </c>
      <c r="K8" s="149"/>
      <c r="L8" s="149"/>
      <c r="M8" s="149"/>
      <c r="N8" s="149"/>
      <c r="O8" s="150"/>
      <c r="P8" s="273">
        <f t="shared" si="11"/>
        <v>8.7149999999999991E-2</v>
      </c>
      <c r="Q8" s="154">
        <f t="shared" si="12"/>
        <v>0.13999999999999999</v>
      </c>
      <c r="R8" s="153">
        <f t="shared" si="0"/>
        <v>2.6914113625568277</v>
      </c>
      <c r="S8" s="154">
        <f t="shared" si="1"/>
        <v>5.5606829726662168</v>
      </c>
      <c r="T8" s="155">
        <f t="shared" si="6"/>
        <v>7946.4936258114049</v>
      </c>
      <c r="U8" s="361">
        <f t="shared" si="7"/>
        <v>3326.9294600928642</v>
      </c>
      <c r="V8" s="1027">
        <v>2</v>
      </c>
      <c r="W8" s="152" t="s">
        <v>41</v>
      </c>
      <c r="X8" s="1251">
        <v>6.3</v>
      </c>
      <c r="Y8" s="152">
        <v>11</v>
      </c>
      <c r="Z8" s="152">
        <v>35</v>
      </c>
      <c r="AA8" s="152">
        <v>6.3</v>
      </c>
      <c r="AB8" s="1243">
        <v>7.94</v>
      </c>
      <c r="AC8" s="152" t="s">
        <v>162</v>
      </c>
      <c r="AD8" s="152"/>
      <c r="AE8" s="274">
        <f t="shared" si="13"/>
        <v>15.43888888888889</v>
      </c>
      <c r="AF8" s="151">
        <f t="shared" si="2"/>
        <v>18.129098363354398</v>
      </c>
      <c r="AG8" s="274">
        <f t="shared" si="3"/>
        <v>20.999069733928724</v>
      </c>
      <c r="AH8" s="1237">
        <f t="shared" si="4"/>
        <v>0.58738278697268242</v>
      </c>
      <c r="AI8" s="1238">
        <f t="shared" si="5"/>
        <v>0.68036985937929051</v>
      </c>
      <c r="AJ8" s="159">
        <f t="shared" si="8"/>
        <v>1179.7212860969312</v>
      </c>
      <c r="AK8" s="155">
        <f t="shared" si="9"/>
        <v>880.99140744835415</v>
      </c>
      <c r="AL8" s="155">
        <f t="shared" si="14"/>
        <v>734.15950620696185</v>
      </c>
      <c r="AM8" s="155">
        <f t="shared" si="15"/>
        <v>587.32760496556944</v>
      </c>
      <c r="AN8" s="155">
        <f t="shared" si="16"/>
        <v>6199.7364884973858</v>
      </c>
      <c r="AO8" s="160">
        <f t="shared" si="10"/>
        <v>4629.8347238276874</v>
      </c>
    </row>
    <row r="9" spans="1:41" x14ac:dyDescent="0.2">
      <c r="A9" s="161">
        <v>1</v>
      </c>
      <c r="B9" s="2358" t="s">
        <v>70</v>
      </c>
      <c r="C9" s="2360" t="s">
        <v>340</v>
      </c>
      <c r="D9" s="673">
        <v>4.5999999999999996</v>
      </c>
      <c r="E9" s="145" t="s">
        <v>39</v>
      </c>
      <c r="F9" s="146" t="s">
        <v>49</v>
      </c>
      <c r="G9" s="275">
        <v>4.13</v>
      </c>
      <c r="H9" s="278">
        <v>6.96</v>
      </c>
      <c r="I9" s="147"/>
      <c r="J9" s="148">
        <v>8.1999999999999993</v>
      </c>
      <c r="K9" s="149"/>
      <c r="L9" s="149"/>
      <c r="M9" s="149"/>
      <c r="N9" s="149"/>
      <c r="O9" s="150"/>
      <c r="P9" s="273">
        <f t="shared" si="11"/>
        <v>2.0417999999999998</v>
      </c>
      <c r="Q9" s="154">
        <f t="shared" si="12"/>
        <v>3.28</v>
      </c>
      <c r="R9" s="153">
        <f t="shared" si="0"/>
        <v>7.6861594597041769</v>
      </c>
      <c r="S9" s="154">
        <f t="shared" si="1"/>
        <v>10.44157781372145</v>
      </c>
      <c r="T9" s="155">
        <f t="shared" si="6"/>
        <v>2782.5708468735525</v>
      </c>
      <c r="U9" s="361">
        <f t="shared" si="7"/>
        <v>1771.7628820127975</v>
      </c>
      <c r="V9" s="1027">
        <v>1</v>
      </c>
      <c r="W9" s="152" t="s">
        <v>41</v>
      </c>
      <c r="X9" s="1251">
        <v>6.3</v>
      </c>
      <c r="Y9" s="152">
        <v>11</v>
      </c>
      <c r="Z9" s="152">
        <v>35</v>
      </c>
      <c r="AA9" s="152">
        <v>6.3</v>
      </c>
      <c r="AB9" s="1243">
        <v>7.94</v>
      </c>
      <c r="AC9" s="152" t="s">
        <v>162</v>
      </c>
      <c r="AD9" s="152">
        <v>5</v>
      </c>
      <c r="AE9" s="274">
        <f t="shared" si="13"/>
        <v>15.43888888888889</v>
      </c>
      <c r="AF9" s="151">
        <f t="shared" si="2"/>
        <v>22.939936152849036</v>
      </c>
      <c r="AG9" s="274">
        <f t="shared" si="3"/>
        <v>25.759935594016948</v>
      </c>
      <c r="AH9" s="1123">
        <f t="shared" si="4"/>
        <v>0.74325393135230877</v>
      </c>
      <c r="AI9" s="1124">
        <f t="shared" si="5"/>
        <v>0.83462191324614909</v>
      </c>
      <c r="AJ9" s="159">
        <f t="shared" si="8"/>
        <v>932.31659820195341</v>
      </c>
      <c r="AK9" s="155">
        <f>37000/2/SQRT(POWER((H9+Q9+AE9),2)+P9*P9)</f>
        <v>718.1694974539007</v>
      </c>
      <c r="AL9" s="155">
        <f t="shared" si="14"/>
        <v>598.474581211584</v>
      </c>
      <c r="AM9" s="155">
        <f t="shared" si="15"/>
        <v>478.77966496926712</v>
      </c>
      <c r="AN9" s="155">
        <f t="shared" si="16"/>
        <v>4899.5617022625183</v>
      </c>
      <c r="AO9" s="160">
        <f t="shared" si="10"/>
        <v>3774.1640256586375</v>
      </c>
    </row>
    <row r="10" spans="1:41" ht="12.75" customHeight="1" x14ac:dyDescent="0.2">
      <c r="A10" s="161">
        <v>1</v>
      </c>
      <c r="B10" s="2359"/>
      <c r="C10" s="2361"/>
      <c r="D10" s="673">
        <v>4.5999999999999996</v>
      </c>
      <c r="E10" s="145" t="s">
        <v>39</v>
      </c>
      <c r="F10" s="146" t="s">
        <v>49</v>
      </c>
      <c r="G10" s="275">
        <v>4.13</v>
      </c>
      <c r="H10" s="278">
        <v>6.96</v>
      </c>
      <c r="I10" s="147"/>
      <c r="J10" s="148">
        <v>8.1999999999999993</v>
      </c>
      <c r="K10" s="149"/>
      <c r="L10" s="149"/>
      <c r="M10" s="149"/>
      <c r="N10" s="149"/>
      <c r="O10" s="150"/>
      <c r="P10" s="273">
        <f t="shared" si="11"/>
        <v>2.0417999999999998</v>
      </c>
      <c r="Q10" s="154">
        <f t="shared" si="12"/>
        <v>3.28</v>
      </c>
      <c r="R10" s="153">
        <f t="shared" si="0"/>
        <v>7.6861594597041769</v>
      </c>
      <c r="S10" s="154">
        <f t="shared" si="1"/>
        <v>10.44157781372145</v>
      </c>
      <c r="T10" s="155">
        <f t="shared" si="6"/>
        <v>2782.5708468735525</v>
      </c>
      <c r="U10" s="361">
        <f t="shared" si="7"/>
        <v>1771.7628820127975</v>
      </c>
      <c r="V10" s="1027">
        <v>2</v>
      </c>
      <c r="W10" s="152" t="s">
        <v>41</v>
      </c>
      <c r="X10" s="1251">
        <v>6.3</v>
      </c>
      <c r="Y10" s="152">
        <v>11</v>
      </c>
      <c r="Z10" s="152">
        <v>35</v>
      </c>
      <c r="AA10" s="152">
        <v>6.3</v>
      </c>
      <c r="AB10" s="1243">
        <v>7.96</v>
      </c>
      <c r="AC10" s="152" t="s">
        <v>162</v>
      </c>
      <c r="AD10" s="152">
        <v>5</v>
      </c>
      <c r="AE10" s="274">
        <f t="shared" si="13"/>
        <v>15.47777777777778</v>
      </c>
      <c r="AF10" s="151">
        <f t="shared" si="2"/>
        <v>22.978670954712289</v>
      </c>
      <c r="AG10" s="274">
        <f t="shared" si="3"/>
        <v>25.798702313627338</v>
      </c>
      <c r="AH10" s="1237">
        <f t="shared" si="4"/>
        <v>0.74450893893267811</v>
      </c>
      <c r="AI10" s="1238">
        <f t="shared" si="5"/>
        <v>0.83587795496152573</v>
      </c>
      <c r="AJ10" s="159">
        <f t="shared" si="8"/>
        <v>930.7450060599906</v>
      </c>
      <c r="AK10" s="155">
        <f t="shared" si="9"/>
        <v>717.09033171904809</v>
      </c>
      <c r="AL10" s="155">
        <f t="shared" si="14"/>
        <v>597.57527643254014</v>
      </c>
      <c r="AM10" s="155">
        <f t="shared" si="15"/>
        <v>478.06022114603206</v>
      </c>
      <c r="AN10" s="155">
        <f>6300/(1.73*AH10)</f>
        <v>4891.3025843993501</v>
      </c>
      <c r="AO10" s="160">
        <f t="shared" si="10"/>
        <v>3768.4927342592614</v>
      </c>
    </row>
    <row r="11" spans="1:41" ht="12.75" customHeight="1" x14ac:dyDescent="0.2">
      <c r="A11" s="161">
        <v>1</v>
      </c>
      <c r="B11" s="2358" t="s">
        <v>75</v>
      </c>
      <c r="C11" s="2360" t="s">
        <v>340</v>
      </c>
      <c r="D11" s="673">
        <v>5.6</v>
      </c>
      <c r="E11" s="145" t="s">
        <v>39</v>
      </c>
      <c r="F11" s="146" t="s">
        <v>53</v>
      </c>
      <c r="G11" s="615">
        <v>2.5499999999999998</v>
      </c>
      <c r="H11" s="616">
        <v>5.42</v>
      </c>
      <c r="I11" s="147"/>
      <c r="J11" s="148">
        <v>4</v>
      </c>
      <c r="K11" s="149"/>
      <c r="L11" s="149"/>
      <c r="M11" s="149"/>
      <c r="N11" s="149"/>
      <c r="O11" s="150"/>
      <c r="P11" s="273">
        <f t="shared" si="11"/>
        <v>0.996</v>
      </c>
      <c r="Q11" s="154">
        <f t="shared" si="12"/>
        <v>1.6</v>
      </c>
      <c r="R11" s="153">
        <f t="shared" si="0"/>
        <v>4.2678467638845712</v>
      </c>
      <c r="S11" s="154">
        <f t="shared" si="1"/>
        <v>7.0903043658223863</v>
      </c>
      <c r="T11" s="155">
        <f t="shared" si="6"/>
        <v>5011.2584683166151</v>
      </c>
      <c r="U11" s="361">
        <f t="shared" si="7"/>
        <v>2609.1968758317516</v>
      </c>
      <c r="V11" s="1027">
        <v>1</v>
      </c>
      <c r="W11" s="152" t="s">
        <v>41</v>
      </c>
      <c r="X11" s="1251">
        <v>6.3</v>
      </c>
      <c r="Y11" s="152">
        <v>11</v>
      </c>
      <c r="Z11" s="152">
        <v>35</v>
      </c>
      <c r="AA11" s="152">
        <v>6.3</v>
      </c>
      <c r="AB11" s="1243">
        <v>7.41</v>
      </c>
      <c r="AC11" s="152" t="s">
        <v>67</v>
      </c>
      <c r="AD11" s="152">
        <v>12</v>
      </c>
      <c r="AE11" s="274">
        <f t="shared" si="13"/>
        <v>14.408333333333335</v>
      </c>
      <c r="AF11" s="151">
        <f t="shared" si="2"/>
        <v>18.585041084461214</v>
      </c>
      <c r="AG11" s="274">
        <f t="shared" si="3"/>
        <v>21.451468141934818</v>
      </c>
      <c r="AH11" s="1123">
        <f t="shared" si="4"/>
        <v>0.60215533113654329</v>
      </c>
      <c r="AI11" s="1124">
        <f t="shared" si="5"/>
        <v>0.69502756779868802</v>
      </c>
      <c r="AJ11" s="159">
        <f t="shared" si="8"/>
        <v>1150.7794435211626</v>
      </c>
      <c r="AK11" s="155">
        <f t="shared" si="9"/>
        <v>862.411834826117</v>
      </c>
      <c r="AL11" s="155">
        <f t="shared" si="14"/>
        <v>718.67652902176417</v>
      </c>
      <c r="AM11" s="155">
        <f t="shared" si="15"/>
        <v>574.94122321741133</v>
      </c>
      <c r="AN11" s="155">
        <f t="shared" si="16"/>
        <v>6047.6397182043074</v>
      </c>
      <c r="AO11" s="160">
        <f>SUM(6300/(2*AI11))</f>
        <v>4532.1943271642785</v>
      </c>
    </row>
    <row r="12" spans="1:41" ht="12.75" customHeight="1" x14ac:dyDescent="0.2">
      <c r="A12" s="161">
        <v>1</v>
      </c>
      <c r="B12" s="2359"/>
      <c r="C12" s="2361"/>
      <c r="D12" s="673">
        <v>5.6</v>
      </c>
      <c r="E12" s="145" t="s">
        <v>39</v>
      </c>
      <c r="F12" s="146" t="s">
        <v>53</v>
      </c>
      <c r="G12" s="615">
        <v>2.5499999999999998</v>
      </c>
      <c r="H12" s="616">
        <v>5.42</v>
      </c>
      <c r="I12" s="147"/>
      <c r="J12" s="148">
        <v>4</v>
      </c>
      <c r="K12" s="149"/>
      <c r="L12" s="149"/>
      <c r="M12" s="149"/>
      <c r="N12" s="149"/>
      <c r="O12" s="150"/>
      <c r="P12" s="273">
        <f t="shared" si="11"/>
        <v>0.996</v>
      </c>
      <c r="Q12" s="154">
        <f t="shared" si="12"/>
        <v>1.6</v>
      </c>
      <c r="R12" s="153">
        <f t="shared" si="0"/>
        <v>4.2678467638845712</v>
      </c>
      <c r="S12" s="154">
        <f t="shared" si="1"/>
        <v>7.0903043658223863</v>
      </c>
      <c r="T12" s="155">
        <f t="shared" si="6"/>
        <v>5011.2584683166151</v>
      </c>
      <c r="U12" s="361">
        <f t="shared" si="7"/>
        <v>2609.1968758317516</v>
      </c>
      <c r="V12" s="1027">
        <v>2</v>
      </c>
      <c r="W12" s="152" t="s">
        <v>41</v>
      </c>
      <c r="X12" s="1251">
        <v>6.3</v>
      </c>
      <c r="Y12" s="152">
        <v>11</v>
      </c>
      <c r="Z12" s="152">
        <v>35</v>
      </c>
      <c r="AA12" s="152">
        <v>6.3</v>
      </c>
      <c r="AB12" s="1243">
        <v>8.02</v>
      </c>
      <c r="AC12" s="152" t="s">
        <v>67</v>
      </c>
      <c r="AD12" s="152">
        <v>12</v>
      </c>
      <c r="AE12" s="274">
        <f t="shared" si="13"/>
        <v>15.594444444444445</v>
      </c>
      <c r="AF12" s="151">
        <f t="shared" si="2"/>
        <v>19.769549879037541</v>
      </c>
      <c r="AG12" s="274">
        <f t="shared" si="3"/>
        <v>22.636367056815107</v>
      </c>
      <c r="AH12" s="1237">
        <f t="shared" ref="AH12:AH19" si="17">SQRT(POWER((AE12+Q12+G12),2)+POWER(P12,2))*POWER(6.3/Z12,2)</f>
        <v>0.64053341608081626</v>
      </c>
      <c r="AI12" s="1238">
        <f t="shared" si="5"/>
        <v>0.73341829264080949</v>
      </c>
      <c r="AJ12" s="159">
        <f t="shared" si="8"/>
        <v>1081.8295493754274</v>
      </c>
      <c r="AK12" s="155">
        <f t="shared" si="9"/>
        <v>817.26895281238274</v>
      </c>
      <c r="AL12" s="155">
        <f t="shared" si="14"/>
        <v>681.05746067698567</v>
      </c>
      <c r="AM12" s="155">
        <f t="shared" si="15"/>
        <v>544.84596854158849</v>
      </c>
      <c r="AN12" s="155">
        <f t="shared" si="16"/>
        <v>5685.2904246456401</v>
      </c>
      <c r="AO12" s="160">
        <f t="shared" si="10"/>
        <v>4294.9569592242333</v>
      </c>
    </row>
    <row r="13" spans="1:41" ht="12.75" customHeight="1" x14ac:dyDescent="0.2">
      <c r="A13" s="144">
        <v>1</v>
      </c>
      <c r="B13" s="2358" t="s">
        <v>452</v>
      </c>
      <c r="C13" s="2362" t="s">
        <v>454</v>
      </c>
      <c r="D13" s="673">
        <v>4.5999999999999996</v>
      </c>
      <c r="E13" s="145" t="s">
        <v>39</v>
      </c>
      <c r="F13" s="146" t="s">
        <v>49</v>
      </c>
      <c r="G13" s="275">
        <v>4.13</v>
      </c>
      <c r="H13" s="278">
        <v>6.96</v>
      </c>
      <c r="I13" s="147"/>
      <c r="J13" s="148">
        <v>8.1</v>
      </c>
      <c r="K13" s="149"/>
      <c r="L13" s="149"/>
      <c r="M13" s="149"/>
      <c r="N13" s="149"/>
      <c r="O13" s="150"/>
      <c r="P13" s="273">
        <f>0.314*I13+0.249*J13+0.195*M13+0.159*N13+0.06*O13</f>
        <v>2.0168999999999997</v>
      </c>
      <c r="Q13" s="154">
        <f>0.4*SUM(I13:O13)</f>
        <v>3.24</v>
      </c>
      <c r="R13" s="153">
        <f>SQRT(POWER(P13,2)+POWER(Q13+G13,2))</f>
        <v>7.6409937580134173</v>
      </c>
      <c r="S13" s="154">
        <f>SQRT(POWER(P13,2)+POWER(Q13+H13,2))</f>
        <v>10.397494198603816</v>
      </c>
      <c r="T13" s="155">
        <f>37000/1.73/SQRT(POWER((G13+Q13),2)+P13*P13)</f>
        <v>2799.0185457964176</v>
      </c>
      <c r="U13" s="361">
        <f>37000/2/SQRT(P13*P13+POWER((H13+Q13),2))</f>
        <v>1779.2748566750049</v>
      </c>
      <c r="V13" s="1027">
        <v>1</v>
      </c>
      <c r="W13" s="152" t="s">
        <v>453</v>
      </c>
      <c r="X13" s="1251">
        <v>6.3</v>
      </c>
      <c r="Y13" s="152">
        <v>11</v>
      </c>
      <c r="Z13" s="152">
        <v>35</v>
      </c>
      <c r="AA13" s="152">
        <v>6.3</v>
      </c>
      <c r="AB13" s="1243">
        <v>7.92</v>
      </c>
      <c r="AC13" s="152" t="s">
        <v>81</v>
      </c>
      <c r="AD13" s="152">
        <v>5</v>
      </c>
      <c r="AE13" s="274">
        <f>AB13/100*Z13*Z13/X13</f>
        <v>15.4</v>
      </c>
      <c r="AF13" s="151">
        <f>SQRT(POWER(P13,2)+POWER(Q13+AE13+G13,2))</f>
        <v>22.859151025573979</v>
      </c>
      <c r="AG13" s="274">
        <f>SQRT(POWER(P13,2)+POWER(Q13+AE13+H13,2))</f>
        <v>25.67932798205592</v>
      </c>
      <c r="AH13" s="1123">
        <f>SQRT(POWER((AE13+Q13+G13),2)+POWER(P13,2))*POWER(6.3/Z13,2)</f>
        <v>0.74063649322859693</v>
      </c>
      <c r="AI13" s="1124">
        <f>SQRT(POWER((H13+Q13+AE13),2)+POWER(P13,2))*POWER(6.3/Z13,2)</f>
        <v>0.83201022661861179</v>
      </c>
      <c r="AJ13" s="159">
        <f>37000/1.73/SQRT(POWER((G13+Q13+AE13),2)+P13*P13)</f>
        <v>935.61144125899125</v>
      </c>
      <c r="AK13" s="155">
        <f>37000/2/SQRT(POWER((H13+Q13+AE13),2)+P13*P13)</f>
        <v>720.42383713963784</v>
      </c>
      <c r="AL13" s="155">
        <f>AK13/1.2</f>
        <v>600.35319761636492</v>
      </c>
      <c r="AM13" s="155">
        <f>AK13/1.5</f>
        <v>480.28255809309189</v>
      </c>
      <c r="AN13" s="155">
        <f>6300/(1.73*AH13)</f>
        <v>4916.8769435532577</v>
      </c>
      <c r="AO13" s="160">
        <f>SUM(6300/(2*AI13))</f>
        <v>3786.0111561392382</v>
      </c>
    </row>
    <row r="14" spans="1:41" ht="12.75" customHeight="1" x14ac:dyDescent="0.2">
      <c r="A14" s="144">
        <v>1</v>
      </c>
      <c r="B14" s="2359"/>
      <c r="C14" s="2363"/>
      <c r="D14" s="673">
        <v>4.5999999999999996</v>
      </c>
      <c r="E14" s="145" t="s">
        <v>39</v>
      </c>
      <c r="F14" s="146" t="s">
        <v>49</v>
      </c>
      <c r="G14" s="275">
        <v>4.13</v>
      </c>
      <c r="H14" s="278">
        <v>6.96</v>
      </c>
      <c r="I14" s="147"/>
      <c r="J14" s="148">
        <v>8.1</v>
      </c>
      <c r="K14" s="149"/>
      <c r="L14" s="149"/>
      <c r="M14" s="149"/>
      <c r="N14" s="149"/>
      <c r="O14" s="150"/>
      <c r="P14" s="273">
        <f>0.314*I14+0.249*J14+0.195*M14+0.159*N14+0.06*O14</f>
        <v>2.0168999999999997</v>
      </c>
      <c r="Q14" s="154">
        <f>0.4*SUM(I14:O14)</f>
        <v>3.24</v>
      </c>
      <c r="R14" s="153">
        <f>SQRT(POWER(P14,2)+POWER(Q14+G14,2))</f>
        <v>7.6409937580134173</v>
      </c>
      <c r="S14" s="154">
        <f>SQRT(POWER(P14,2)+POWER(Q14+H14,2))</f>
        <v>10.397494198603816</v>
      </c>
      <c r="T14" s="155">
        <f>37000/1.73/SQRT(POWER((G14+Q14),2)+P14*P14)</f>
        <v>2799.0185457964176</v>
      </c>
      <c r="U14" s="361">
        <f>37000/2/SQRT(P14*P14+POWER((H14+Q14),2))</f>
        <v>1779.2748566750049</v>
      </c>
      <c r="V14" s="1027">
        <v>2</v>
      </c>
      <c r="W14" s="152" t="s">
        <v>453</v>
      </c>
      <c r="X14" s="1251">
        <v>6.3</v>
      </c>
      <c r="Y14" s="152">
        <v>11</v>
      </c>
      <c r="Z14" s="152">
        <v>35</v>
      </c>
      <c r="AA14" s="152">
        <v>6.3</v>
      </c>
      <c r="AB14" s="1243">
        <v>8.1</v>
      </c>
      <c r="AC14" s="152" t="s">
        <v>81</v>
      </c>
      <c r="AD14" s="152">
        <v>5</v>
      </c>
      <c r="AE14" s="274">
        <f>AB14/100*Z14*Z14/X14</f>
        <v>15.75</v>
      </c>
      <c r="AF14" s="151">
        <f>SQRT(POWER(P14,2)+POWER(Q14+AE14+G14,2))</f>
        <v>23.207806566110463</v>
      </c>
      <c r="AG14" s="274">
        <f>SQRT(POWER(P14,2)+POWER(Q14+AE14+H14,2))</f>
        <v>26.028261286724476</v>
      </c>
      <c r="AH14" s="1123">
        <f>SQRT(POWER((AE14+Q14+G14),2)+POWER(P14,2))*POWER(6.3/Z14,2)</f>
        <v>0.75193293274197892</v>
      </c>
      <c r="AI14" s="1124">
        <f>SQRT(POWER((H14+Q14+AE14),2)+POWER(P14,2))*POWER(6.3/Z14,2)</f>
        <v>0.84331566568987282</v>
      </c>
      <c r="AJ14" s="159">
        <f>37000/1.73/SQRT(POWER((G14+Q14+AE14),2)+P14*P14)</f>
        <v>921.55556261078584</v>
      </c>
      <c r="AK14" s="155">
        <f>37000/2/SQRT(POWER((H14+Q14+AE14),2)+P14*P14)</f>
        <v>710.76587852742171</v>
      </c>
      <c r="AL14" s="155">
        <f>AK14/1.2</f>
        <v>592.3048987728514</v>
      </c>
      <c r="AM14" s="155">
        <f>AK14/1.5</f>
        <v>473.84391901828116</v>
      </c>
      <c r="AN14" s="155">
        <f>6300/(1.73*AH14)</f>
        <v>4843.0097134200469</v>
      </c>
      <c r="AO14" s="160">
        <f>SUM(6300/(2*AI14))</f>
        <v>3735.2561183873518</v>
      </c>
    </row>
    <row r="15" spans="1:41" ht="12.75" customHeight="1" x14ac:dyDescent="0.2">
      <c r="A15" s="144">
        <v>1</v>
      </c>
      <c r="B15" s="2358" t="s">
        <v>96</v>
      </c>
      <c r="C15" s="2360" t="s">
        <v>341</v>
      </c>
      <c r="D15" s="673">
        <v>1.2</v>
      </c>
      <c r="E15" s="145" t="s">
        <v>39</v>
      </c>
      <c r="F15" s="146" t="s">
        <v>46</v>
      </c>
      <c r="G15" s="2145">
        <f>Мартыновская!G15</f>
        <v>4.9020181386774881</v>
      </c>
      <c r="H15" s="2152">
        <f>Мартыновская!H15</f>
        <v>5.2862861120779669</v>
      </c>
      <c r="I15" s="147"/>
      <c r="J15" s="148">
        <v>6.21</v>
      </c>
      <c r="K15" s="149"/>
      <c r="L15" s="149"/>
      <c r="M15" s="149"/>
      <c r="N15" s="149"/>
      <c r="O15" s="150"/>
      <c r="P15" s="273">
        <f t="shared" ref="P15:P22" si="18">0.314*I15+0.249*J15+0.195*M15+0.159*N15+0.06*O15</f>
        <v>1.5462899999999999</v>
      </c>
      <c r="Q15" s="154">
        <f t="shared" ref="Q15:Q22" si="19">0.4*SUM(I15:O15)</f>
        <v>2.484</v>
      </c>
      <c r="R15" s="153">
        <f>SQRT(POWER(P15,2)+POWER(Q15+G15,2))</f>
        <v>7.5461431678025344</v>
      </c>
      <c r="S15" s="154">
        <f>SQRT(POWER(P15,2)+POWER(Q15+H15,2))</f>
        <v>7.922648485680261</v>
      </c>
      <c r="T15" s="155">
        <f>37000/1.73/SQRT(POWER((G15+Q15),2)+P15*P15)</f>
        <v>2834.2005659590841</v>
      </c>
      <c r="U15" s="361">
        <f>37000/2/SQRT(P15*P15+POWER((H15+Q15),2))</f>
        <v>2335.0777247580409</v>
      </c>
      <c r="V15" s="1027">
        <v>1</v>
      </c>
      <c r="W15" s="152" t="s">
        <v>41</v>
      </c>
      <c r="X15" s="1251">
        <v>6.3</v>
      </c>
      <c r="Y15" s="152">
        <v>11</v>
      </c>
      <c r="Z15" s="152">
        <v>35</v>
      </c>
      <c r="AA15" s="152">
        <v>6.3</v>
      </c>
      <c r="AB15" s="1243">
        <v>8.01</v>
      </c>
      <c r="AC15" s="152" t="s">
        <v>162</v>
      </c>
      <c r="AD15" s="152"/>
      <c r="AE15" s="274">
        <f t="shared" ref="AE15:AE26" si="20">AB15/100*Z15*Z15/X15</f>
        <v>15.575000000000001</v>
      </c>
      <c r="AF15" s="151">
        <f>SQRT(POWER(P15,2)+POWER(Q15+AE15+G15,2))</f>
        <v>23.013026022858806</v>
      </c>
      <c r="AG15" s="274">
        <f>SQRT(POWER(P15,2)+POWER(Q15+AE15+H15,2))</f>
        <v>23.396439823590264</v>
      </c>
      <c r="AH15" s="2081">
        <f t="shared" si="17"/>
        <v>0.7456220431406253</v>
      </c>
      <c r="AI15" s="2082">
        <f t="shared" ref="AI15:AI20" si="21">SQRT(POWER((H15+Q15+AE15),2)+POWER(P15,2))*POWER(6.3/Z15,2)</f>
        <v>0.75804465028432455</v>
      </c>
      <c r="AJ15" s="159">
        <f>37000/1.73/SQRT(POWER((G15+Q15+AE15),2)+P15*P15)</f>
        <v>929.3555404556646</v>
      </c>
      <c r="AK15" s="155">
        <f>37000/2/SQRT(POWER((H15+Q15+AE15),2)+P15*P15)</f>
        <v>790.71859391815417</v>
      </c>
      <c r="AL15" s="155">
        <f t="shared" ref="AL15:AL26" si="22">AK15/1.2</f>
        <v>658.93216159846179</v>
      </c>
      <c r="AM15" s="155">
        <f t="shared" ref="AM15:AM26" si="23">AK15/1.5</f>
        <v>527.14572927876941</v>
      </c>
      <c r="AN15" s="163">
        <f>6300/(1.73*AH15)</f>
        <v>4884.0005879802193</v>
      </c>
      <c r="AO15" s="160">
        <f>SUM(6300/(2*AI15))</f>
        <v>4155.4280461164253</v>
      </c>
    </row>
    <row r="16" spans="1:41" ht="12.75" customHeight="1" x14ac:dyDescent="0.2">
      <c r="A16" s="144">
        <v>1</v>
      </c>
      <c r="B16" s="2359"/>
      <c r="C16" s="2361"/>
      <c r="D16" s="673">
        <v>1.2</v>
      </c>
      <c r="E16" s="145" t="s">
        <v>39</v>
      </c>
      <c r="F16" s="146" t="s">
        <v>46</v>
      </c>
      <c r="G16" s="2145">
        <f>Мартыновская!G16</f>
        <v>4.8982573492001933</v>
      </c>
      <c r="H16" s="2152">
        <f>Мартыновская!H16</f>
        <v>5.2312064066132784</v>
      </c>
      <c r="I16" s="147"/>
      <c r="J16" s="148">
        <v>6.21</v>
      </c>
      <c r="K16" s="149"/>
      <c r="L16" s="149"/>
      <c r="M16" s="149"/>
      <c r="N16" s="149"/>
      <c r="O16" s="150"/>
      <c r="P16" s="273">
        <f t="shared" si="18"/>
        <v>1.5462899999999999</v>
      </c>
      <c r="Q16" s="154">
        <f t="shared" si="19"/>
        <v>2.484</v>
      </c>
      <c r="R16" s="153">
        <f>SQRT(POWER(P16,2)+POWER(Q16+G16,2))</f>
        <v>7.5424622195885256</v>
      </c>
      <c r="S16" s="154">
        <f>SQRT(POWER(P16,2)+POWER(Q16+H16,2))</f>
        <v>7.8686353747486972</v>
      </c>
      <c r="T16" s="155">
        <f>37000/1.73/SQRT(POWER((G16+Q16),2)+P16*P16)</f>
        <v>2835.5837410029467</v>
      </c>
      <c r="U16" s="361">
        <f>37000/2/SQRT(P16*P16+POWER((H16+Q16),2))</f>
        <v>2351.1065285053751</v>
      </c>
      <c r="V16" s="1027">
        <v>2</v>
      </c>
      <c r="W16" s="152" t="s">
        <v>41</v>
      </c>
      <c r="X16" s="1251">
        <v>6.3</v>
      </c>
      <c r="Y16" s="152">
        <v>11</v>
      </c>
      <c r="Z16" s="152">
        <v>35</v>
      </c>
      <c r="AA16" s="152">
        <v>6.3</v>
      </c>
      <c r="AB16" s="1243">
        <v>8.01</v>
      </c>
      <c r="AC16" s="152" t="s">
        <v>162</v>
      </c>
      <c r="AD16" s="152"/>
      <c r="AE16" s="274">
        <f t="shared" si="20"/>
        <v>15.575000000000001</v>
      </c>
      <c r="AF16" s="151">
        <f>SQRT(POWER(P16,2)+POWER(Q16+AE16+G16,2))</f>
        <v>23.00927373389926</v>
      </c>
      <c r="AG16" s="274">
        <f>SQRT(POWER(P16,2)+POWER(Q16+AE16+H16,2))</f>
        <v>23.341480827632815</v>
      </c>
      <c r="AH16" s="2081">
        <f t="shared" si="17"/>
        <v>0.745500468978336</v>
      </c>
      <c r="AI16" s="2082">
        <f t="shared" si="21"/>
        <v>0.75626397881530316</v>
      </c>
      <c r="AJ16" s="159">
        <f>37000/1.73/SQRT(POWER((G16+Q16+AE16),2)+P16*P16)</f>
        <v>929.50709719640633</v>
      </c>
      <c r="AK16" s="155">
        <f>37000/2/SQRT(POWER((H16+Q16+AE16),2)+P16*P16)</f>
        <v>792.58039096211814</v>
      </c>
      <c r="AL16" s="155">
        <f t="shared" si="22"/>
        <v>660.48365913509849</v>
      </c>
      <c r="AM16" s="155">
        <f t="shared" si="23"/>
        <v>528.38692730807873</v>
      </c>
      <c r="AN16" s="155">
        <f>6300/(1.73*AH16)</f>
        <v>4884.7970573384719</v>
      </c>
      <c r="AO16" s="160">
        <f>SUM(6300/(2*AI16))</f>
        <v>4165.2122648159357</v>
      </c>
    </row>
    <row r="17" spans="1:41" ht="12.75" customHeight="1" x14ac:dyDescent="0.2">
      <c r="A17" s="161">
        <v>1</v>
      </c>
      <c r="B17" s="2358" t="s">
        <v>79</v>
      </c>
      <c r="C17" s="2362" t="s">
        <v>43</v>
      </c>
      <c r="D17" s="673">
        <v>4.5999999999999996</v>
      </c>
      <c r="E17" s="145" t="s">
        <v>39</v>
      </c>
      <c r="F17" s="146" t="s">
        <v>49</v>
      </c>
      <c r="G17" s="275">
        <v>4.13</v>
      </c>
      <c r="H17" s="278">
        <v>6.96</v>
      </c>
      <c r="I17" s="147"/>
      <c r="J17" s="148">
        <v>12.9</v>
      </c>
      <c r="K17" s="149"/>
      <c r="L17" s="149"/>
      <c r="M17" s="149"/>
      <c r="N17" s="149"/>
      <c r="O17" s="150"/>
      <c r="P17" s="273">
        <f t="shared" si="18"/>
        <v>3.2121</v>
      </c>
      <c r="Q17" s="154">
        <f t="shared" si="19"/>
        <v>5.16</v>
      </c>
      <c r="R17" s="153">
        <f t="shared" si="0"/>
        <v>9.8296330760613841</v>
      </c>
      <c r="S17" s="154">
        <f t="shared" si="1"/>
        <v>12.538420411279883</v>
      </c>
      <c r="T17" s="155">
        <f t="shared" si="6"/>
        <v>2175.7967028372382</v>
      </c>
      <c r="U17" s="361">
        <f t="shared" si="7"/>
        <v>1475.4649623454106</v>
      </c>
      <c r="V17" s="1027">
        <v>1</v>
      </c>
      <c r="W17" s="152" t="s">
        <v>80</v>
      </c>
      <c r="X17" s="1251">
        <v>4</v>
      </c>
      <c r="Y17" s="152">
        <v>11</v>
      </c>
      <c r="Z17" s="152">
        <v>35</v>
      </c>
      <c r="AA17" s="152">
        <v>6.3</v>
      </c>
      <c r="AB17" s="1243">
        <v>6.23</v>
      </c>
      <c r="AC17" s="152" t="s">
        <v>81</v>
      </c>
      <c r="AD17" s="152">
        <v>5</v>
      </c>
      <c r="AE17" s="274">
        <f t="shared" si="20"/>
        <v>19.079374999999999</v>
      </c>
      <c r="AF17" s="151">
        <f t="shared" si="2"/>
        <v>28.5506396478367</v>
      </c>
      <c r="AG17" s="274">
        <f t="shared" si="3"/>
        <v>31.364288399398209</v>
      </c>
      <c r="AH17" s="1237">
        <f t="shared" si="17"/>
        <v>0.92504072458990905</v>
      </c>
      <c r="AI17" s="1238">
        <f t="shared" si="21"/>
        <v>1.0162029441405018</v>
      </c>
      <c r="AJ17" s="159">
        <f>37000/1.73/SQRT(POWER((G17+Q17+AE17),2)+P17*P17)</f>
        <v>749.09996766446341</v>
      </c>
      <c r="AK17" s="155">
        <f t="shared" si="9"/>
        <v>589.84280989952128</v>
      </c>
      <c r="AL17" s="155">
        <f t="shared" si="22"/>
        <v>491.53567491626774</v>
      </c>
      <c r="AM17" s="155">
        <f t="shared" si="23"/>
        <v>393.22853993301419</v>
      </c>
      <c r="AN17" s="155">
        <f t="shared" si="16"/>
        <v>3936.7115417802133</v>
      </c>
      <c r="AO17" s="160">
        <f t="shared" si="10"/>
        <v>3099.7745264989862</v>
      </c>
    </row>
    <row r="18" spans="1:41" ht="12.75" customHeight="1" x14ac:dyDescent="0.2">
      <c r="A18" s="161">
        <v>1</v>
      </c>
      <c r="B18" s="2359"/>
      <c r="C18" s="2363"/>
      <c r="D18" s="673">
        <v>4.5999999999999996</v>
      </c>
      <c r="E18" s="145" t="s">
        <v>39</v>
      </c>
      <c r="F18" s="146" t="s">
        <v>49</v>
      </c>
      <c r="G18" s="275">
        <v>4.13</v>
      </c>
      <c r="H18" s="278">
        <v>6.96</v>
      </c>
      <c r="I18" s="147"/>
      <c r="J18" s="148">
        <v>12.9</v>
      </c>
      <c r="K18" s="149"/>
      <c r="L18" s="149"/>
      <c r="M18" s="149"/>
      <c r="N18" s="149"/>
      <c r="O18" s="150"/>
      <c r="P18" s="273">
        <f t="shared" si="18"/>
        <v>3.2121</v>
      </c>
      <c r="Q18" s="154">
        <f t="shared" si="19"/>
        <v>5.16</v>
      </c>
      <c r="R18" s="153">
        <f t="shared" si="0"/>
        <v>9.8296330760613841</v>
      </c>
      <c r="S18" s="154">
        <f t="shared" si="1"/>
        <v>12.538420411279883</v>
      </c>
      <c r="T18" s="155">
        <f t="shared" si="6"/>
        <v>2175.7967028372382</v>
      </c>
      <c r="U18" s="361">
        <f t="shared" si="7"/>
        <v>1475.4649623454106</v>
      </c>
      <c r="V18" s="1027">
        <v>2</v>
      </c>
      <c r="W18" s="152" t="s">
        <v>80</v>
      </c>
      <c r="X18" s="1251">
        <v>4</v>
      </c>
      <c r="Y18" s="152">
        <v>11</v>
      </c>
      <c r="Z18" s="152">
        <v>35</v>
      </c>
      <c r="AA18" s="152">
        <v>6.3</v>
      </c>
      <c r="AB18" s="1243">
        <v>6.23</v>
      </c>
      <c r="AC18" s="152" t="s">
        <v>81</v>
      </c>
      <c r="AD18" s="152">
        <v>5</v>
      </c>
      <c r="AE18" s="274">
        <f t="shared" si="20"/>
        <v>19.079374999999999</v>
      </c>
      <c r="AF18" s="151">
        <f t="shared" si="2"/>
        <v>28.5506396478367</v>
      </c>
      <c r="AG18" s="274">
        <f t="shared" si="3"/>
        <v>31.364288399398209</v>
      </c>
      <c r="AH18" s="1237">
        <f t="shared" si="17"/>
        <v>0.92504072458990905</v>
      </c>
      <c r="AI18" s="1238">
        <f t="shared" si="21"/>
        <v>1.0162029441405018</v>
      </c>
      <c r="AJ18" s="159">
        <f t="shared" si="8"/>
        <v>749.09996766446341</v>
      </c>
      <c r="AK18" s="155">
        <f t="shared" si="9"/>
        <v>589.84280989952128</v>
      </c>
      <c r="AL18" s="155">
        <f t="shared" si="22"/>
        <v>491.53567491626774</v>
      </c>
      <c r="AM18" s="155">
        <f t="shared" si="23"/>
        <v>393.22853993301419</v>
      </c>
      <c r="AN18" s="155">
        <f t="shared" si="16"/>
        <v>3936.7115417802133</v>
      </c>
      <c r="AO18" s="160">
        <f t="shared" si="10"/>
        <v>3099.7745264989862</v>
      </c>
    </row>
    <row r="19" spans="1:41" ht="12.75" customHeight="1" x14ac:dyDescent="0.2">
      <c r="A19" s="161">
        <v>1</v>
      </c>
      <c r="B19" s="2358" t="s">
        <v>86</v>
      </c>
      <c r="C19" s="2362" t="s">
        <v>43</v>
      </c>
      <c r="D19" s="673">
        <v>4.5999999999999996</v>
      </c>
      <c r="E19" s="145" t="s">
        <v>39</v>
      </c>
      <c r="F19" s="146" t="s">
        <v>49</v>
      </c>
      <c r="G19" s="275">
        <v>4.13</v>
      </c>
      <c r="H19" s="278">
        <v>6.96</v>
      </c>
      <c r="I19" s="147"/>
      <c r="J19" s="148">
        <v>20.399999999999999</v>
      </c>
      <c r="K19" s="149"/>
      <c r="L19" s="149"/>
      <c r="M19" s="149"/>
      <c r="N19" s="149"/>
      <c r="O19" s="150"/>
      <c r="P19" s="273">
        <f t="shared" si="18"/>
        <v>5.0795999999999992</v>
      </c>
      <c r="Q19" s="154">
        <f t="shared" si="19"/>
        <v>8.16</v>
      </c>
      <c r="R19" s="153">
        <f t="shared" si="0"/>
        <v>13.298362160807622</v>
      </c>
      <c r="S19" s="154">
        <f t="shared" si="1"/>
        <v>15.950446268365033</v>
      </c>
      <c r="T19" s="155">
        <f t="shared" si="6"/>
        <v>1608.264459816407</v>
      </c>
      <c r="U19" s="361">
        <f t="shared" si="7"/>
        <v>1159.8421566857078</v>
      </c>
      <c r="V19" s="1027">
        <v>1</v>
      </c>
      <c r="W19" s="152" t="s">
        <v>41</v>
      </c>
      <c r="X19" s="1251">
        <v>6.3</v>
      </c>
      <c r="Y19" s="152">
        <v>11</v>
      </c>
      <c r="Z19" s="152">
        <v>35</v>
      </c>
      <c r="AA19" s="152">
        <v>6.3</v>
      </c>
      <c r="AB19" s="1243">
        <v>7.66</v>
      </c>
      <c r="AC19" s="152" t="s">
        <v>162</v>
      </c>
      <c r="AD19" s="152">
        <v>5</v>
      </c>
      <c r="AE19" s="274">
        <f t="shared" si="20"/>
        <v>14.894444444444446</v>
      </c>
      <c r="AF19" s="151">
        <f t="shared" si="2"/>
        <v>27.654951743098135</v>
      </c>
      <c r="AG19" s="274">
        <f t="shared" si="3"/>
        <v>30.441241950167573</v>
      </c>
      <c r="AH19" s="1237">
        <f t="shared" si="17"/>
        <v>0.89602043647637952</v>
      </c>
      <c r="AI19" s="1238">
        <f t="shared" si="21"/>
        <v>0.9862962391854293</v>
      </c>
      <c r="AJ19" s="159">
        <f t="shared" si="8"/>
        <v>773.36179920588211</v>
      </c>
      <c r="AK19" s="155">
        <f t="shared" si="9"/>
        <v>607.72816136360564</v>
      </c>
      <c r="AL19" s="155">
        <f t="shared" si="22"/>
        <v>506.44013446967136</v>
      </c>
      <c r="AM19" s="155">
        <f t="shared" si="23"/>
        <v>405.15210757573709</v>
      </c>
      <c r="AN19" s="155">
        <f t="shared" si="16"/>
        <v>4064.2136594903723</v>
      </c>
      <c r="AO19" s="160">
        <f t="shared" si="10"/>
        <v>3193.7666137727024</v>
      </c>
    </row>
    <row r="20" spans="1:41" ht="12.75" customHeight="1" x14ac:dyDescent="0.2">
      <c r="A20" s="161">
        <v>1</v>
      </c>
      <c r="B20" s="2359"/>
      <c r="C20" s="2363"/>
      <c r="D20" s="673">
        <v>4.5999999999999996</v>
      </c>
      <c r="E20" s="145" t="s">
        <v>39</v>
      </c>
      <c r="F20" s="146" t="s">
        <v>49</v>
      </c>
      <c r="G20" s="275">
        <v>4.13</v>
      </c>
      <c r="H20" s="278">
        <v>6.96</v>
      </c>
      <c r="I20" s="147"/>
      <c r="J20" s="148">
        <v>20.399999999999999</v>
      </c>
      <c r="K20" s="149"/>
      <c r="L20" s="149"/>
      <c r="M20" s="149"/>
      <c r="N20" s="149"/>
      <c r="O20" s="150"/>
      <c r="P20" s="273">
        <f t="shared" si="18"/>
        <v>5.0795999999999992</v>
      </c>
      <c r="Q20" s="154">
        <f t="shared" si="19"/>
        <v>8.16</v>
      </c>
      <c r="R20" s="153">
        <f t="shared" si="0"/>
        <v>13.298362160807622</v>
      </c>
      <c r="S20" s="154">
        <f t="shared" si="1"/>
        <v>15.950446268365033</v>
      </c>
      <c r="T20" s="155">
        <f t="shared" si="6"/>
        <v>1608.264459816407</v>
      </c>
      <c r="U20" s="361">
        <f t="shared" si="7"/>
        <v>1159.8421566857078</v>
      </c>
      <c r="V20" s="1027">
        <v>2</v>
      </c>
      <c r="W20" s="152" t="s">
        <v>41</v>
      </c>
      <c r="X20" s="1251">
        <v>6.3</v>
      </c>
      <c r="Y20" s="152">
        <v>11</v>
      </c>
      <c r="Z20" s="152">
        <v>35</v>
      </c>
      <c r="AA20" s="152">
        <v>6.3</v>
      </c>
      <c r="AB20" s="1243">
        <v>7.61</v>
      </c>
      <c r="AC20" s="152" t="s">
        <v>162</v>
      </c>
      <c r="AD20" s="152">
        <v>5</v>
      </c>
      <c r="AE20" s="274">
        <f t="shared" si="20"/>
        <v>14.797222222222222</v>
      </c>
      <c r="AF20" s="151">
        <f t="shared" si="2"/>
        <v>27.559389395921841</v>
      </c>
      <c r="AG20" s="274">
        <f t="shared" si="3"/>
        <v>30.345387156103762</v>
      </c>
      <c r="AH20" s="1237">
        <f>SQRT(POWER((AE20+Q20+G20),2)+POWER(P20,2))*POWER(6.3/Z20,2)</f>
        <v>0.89292421642786757</v>
      </c>
      <c r="AI20" s="1238">
        <f t="shared" si="21"/>
        <v>0.98319054385776183</v>
      </c>
      <c r="AJ20" s="159">
        <f t="shared" si="8"/>
        <v>776.04343585925187</v>
      </c>
      <c r="AK20" s="155">
        <f t="shared" si="9"/>
        <v>609.64784877621355</v>
      </c>
      <c r="AL20" s="155">
        <f t="shared" si="22"/>
        <v>508.03987398017796</v>
      </c>
      <c r="AM20" s="155">
        <f t="shared" si="23"/>
        <v>406.43189918414237</v>
      </c>
      <c r="AN20" s="155">
        <f t="shared" si="16"/>
        <v>4078.306344605679</v>
      </c>
      <c r="AO20" s="160">
        <f t="shared" si="10"/>
        <v>3203.8550611362575</v>
      </c>
    </row>
    <row r="21" spans="1:41" ht="12.75" customHeight="1" x14ac:dyDescent="0.2">
      <c r="A21" s="161">
        <v>1</v>
      </c>
      <c r="B21" s="2307" t="s">
        <v>119</v>
      </c>
      <c r="C21" s="2362" t="s">
        <v>43</v>
      </c>
      <c r="D21" s="649">
        <v>3.4</v>
      </c>
      <c r="E21" s="128" t="s">
        <v>39</v>
      </c>
      <c r="F21" s="655" t="s">
        <v>53</v>
      </c>
      <c r="G21" s="615">
        <v>2.5499999999999998</v>
      </c>
      <c r="H21" s="616">
        <v>5.42</v>
      </c>
      <c r="I21" s="131">
        <v>5.3</v>
      </c>
      <c r="J21" s="132"/>
      <c r="K21" s="133"/>
      <c r="L21" s="133"/>
      <c r="M21" s="133"/>
      <c r="N21" s="133"/>
      <c r="O21" s="134"/>
      <c r="P21" s="535">
        <f t="shared" si="18"/>
        <v>1.6641999999999999</v>
      </c>
      <c r="Q21" s="136">
        <f>0.4*SUM(I21:O21)</f>
        <v>2.12</v>
      </c>
      <c r="R21" s="135">
        <f>SQRT(POWER(P21,2)+POWER(Q21+G21,2))</f>
        <v>4.9576669553329209</v>
      </c>
      <c r="S21" s="136">
        <f>SQRT(POWER(P21,2)+POWER(Q21+H21,2))</f>
        <v>7.7214740587532891</v>
      </c>
      <c r="T21" s="137">
        <f>37000/1.73/SQRT(POWER((G21+Q21),2)+P21*P21)</f>
        <v>4313.9814412075621</v>
      </c>
      <c r="U21" s="142">
        <f>37000/2/SQRT(P21*P21+POWER((H21+Q21),2))</f>
        <v>2395.9155802677155</v>
      </c>
      <c r="V21" s="1028">
        <v>1</v>
      </c>
      <c r="W21" s="129" t="s">
        <v>55</v>
      </c>
      <c r="X21" s="1252">
        <v>4</v>
      </c>
      <c r="Y21" s="152">
        <v>11</v>
      </c>
      <c r="Z21" s="129">
        <v>35</v>
      </c>
      <c r="AA21" s="129">
        <v>6.3</v>
      </c>
      <c r="AB21" s="1244">
        <v>7.2</v>
      </c>
      <c r="AC21" s="129" t="s">
        <v>81</v>
      </c>
      <c r="AD21" s="129"/>
      <c r="AE21" s="529">
        <f t="shared" si="20"/>
        <v>22.050000000000004</v>
      </c>
      <c r="AF21" s="878">
        <f>SQRT(POWER(P21,2)+POWER(Q21+AE21+G21,2))</f>
        <v>26.771775466711212</v>
      </c>
      <c r="AG21" s="529">
        <f>SQRT(POWER(P21,2)+POWER(Q21+AE21+H21,2))</f>
        <v>29.636761996547467</v>
      </c>
      <c r="AH21" s="1237">
        <f>SQRT(POWER((AE21+Q21+G21),2)+POWER(P21,2))*POWER(6.3/Z21,2)</f>
        <v>0.8674055251214432</v>
      </c>
      <c r="AI21" s="1238">
        <f>SQRT(POWER((H21+Q21+AE21),2)+POWER(P21,2))*POWER(6.3/Z21,2)</f>
        <v>0.96023108868813789</v>
      </c>
      <c r="AJ21" s="141">
        <f>37000/1.73/SQRT(POWER((G21+Q21+AE21),2)+P21*P21)</f>
        <v>798.8742944444524</v>
      </c>
      <c r="AK21" s="137">
        <f>37000/2/SQRT(POWER((H21+Q21+AE21),2)+P21*P21)</f>
        <v>624.22473825430586</v>
      </c>
      <c r="AL21" s="137">
        <f t="shared" si="22"/>
        <v>520.18728187858824</v>
      </c>
      <c r="AM21" s="137">
        <f t="shared" si="23"/>
        <v>416.14982550287056</v>
      </c>
      <c r="AN21" s="137">
        <f>6300/(1.73*AH21)</f>
        <v>4198.2883341675433</v>
      </c>
      <c r="AO21" s="143">
        <f>SUM(6300/(2*AI21))</f>
        <v>3280.460336171277</v>
      </c>
    </row>
    <row r="22" spans="1:41" ht="12.75" customHeight="1" x14ac:dyDescent="0.2">
      <c r="A22" s="161">
        <v>1</v>
      </c>
      <c r="B22" s="2359"/>
      <c r="C22" s="2363"/>
      <c r="D22" s="673">
        <v>3.4</v>
      </c>
      <c r="E22" s="145" t="s">
        <v>39</v>
      </c>
      <c r="F22" s="146" t="s">
        <v>53</v>
      </c>
      <c r="G22" s="615">
        <v>2.5499999999999998</v>
      </c>
      <c r="H22" s="616">
        <v>5.42</v>
      </c>
      <c r="I22" s="147">
        <v>5.3</v>
      </c>
      <c r="J22" s="148"/>
      <c r="K22" s="149"/>
      <c r="L22" s="149"/>
      <c r="M22" s="149"/>
      <c r="N22" s="149"/>
      <c r="O22" s="150"/>
      <c r="P22" s="273">
        <f t="shared" si="18"/>
        <v>1.6641999999999999</v>
      </c>
      <c r="Q22" s="154">
        <f t="shared" si="19"/>
        <v>2.12</v>
      </c>
      <c r="R22" s="153">
        <f>SQRT(POWER(P22,2)+POWER(Q22+G22,2))</f>
        <v>4.9576669553329209</v>
      </c>
      <c r="S22" s="154">
        <f>SQRT(POWER(P22,2)+POWER(Q22+H22,2))</f>
        <v>7.7214740587532891</v>
      </c>
      <c r="T22" s="155">
        <f>37000/1.73/SQRT(POWER((G22+Q22),2)+P22*P22)</f>
        <v>4313.9814412075621</v>
      </c>
      <c r="U22" s="361">
        <f>37000/2/SQRT(P22*P22+POWER((H22+Q22),2))</f>
        <v>2395.9155802677155</v>
      </c>
      <c r="V22" s="1027">
        <v>2</v>
      </c>
      <c r="W22" s="152" t="s">
        <v>55</v>
      </c>
      <c r="X22" s="1251">
        <v>4</v>
      </c>
      <c r="Y22" s="152">
        <v>11</v>
      </c>
      <c r="Z22" s="152">
        <v>35</v>
      </c>
      <c r="AA22" s="152">
        <v>6.3</v>
      </c>
      <c r="AB22" s="1243">
        <v>7.2</v>
      </c>
      <c r="AC22" s="152" t="s">
        <v>81</v>
      </c>
      <c r="AD22" s="152"/>
      <c r="AE22" s="274">
        <f t="shared" si="20"/>
        <v>22.050000000000004</v>
      </c>
      <c r="AF22" s="151">
        <f>SQRT(POWER(P22,2)+POWER(Q22+AE22+G22,2))</f>
        <v>26.771775466711212</v>
      </c>
      <c r="AG22" s="274">
        <f>SQRT(POWER(P22,2)+POWER(Q22+AE22+H22,2))</f>
        <v>29.636761996547467</v>
      </c>
      <c r="AH22" s="1237">
        <f t="shared" ref="AH22:AH34" si="24">SQRT(POWER((AE22+Q22+G22),2)+POWER(P22,2))*POWER(6.3/Z22,2)</f>
        <v>0.8674055251214432</v>
      </c>
      <c r="AI22" s="1238">
        <f t="shared" ref="AI22:AI44" si="25">SQRT(POWER((H22+Q22+AE22),2)+POWER(P22,2))*POWER(6.3/Z22,2)</f>
        <v>0.96023108868813789</v>
      </c>
      <c r="AJ22" s="159">
        <f>37000/1.73/SQRT(POWER((G22+Q22+AE22),2)+P22*P22)</f>
        <v>798.8742944444524</v>
      </c>
      <c r="AK22" s="155">
        <f>37000/2/SQRT(POWER((H22+Q22+AE22),2)+P22*P22)</f>
        <v>624.22473825430586</v>
      </c>
      <c r="AL22" s="155">
        <f t="shared" si="22"/>
        <v>520.18728187858824</v>
      </c>
      <c r="AM22" s="155">
        <f t="shared" si="23"/>
        <v>416.14982550287056</v>
      </c>
      <c r="AN22" s="155">
        <f>6300/(1.73*AH22)</f>
        <v>4198.2883341675433</v>
      </c>
      <c r="AO22" s="160">
        <f>SUM(6300/(2*AI22))</f>
        <v>3280.460336171277</v>
      </c>
    </row>
    <row r="23" spans="1:41" ht="12.75" customHeight="1" x14ac:dyDescent="0.2">
      <c r="A23" s="144">
        <v>1</v>
      </c>
      <c r="B23" s="2358" t="s">
        <v>171</v>
      </c>
      <c r="C23" s="2362" t="s">
        <v>342</v>
      </c>
      <c r="D23" s="673">
        <v>5.6</v>
      </c>
      <c r="E23" s="145" t="s">
        <v>39</v>
      </c>
      <c r="F23" s="146" t="s">
        <v>53</v>
      </c>
      <c r="G23" s="615">
        <v>2.5499999999999998</v>
      </c>
      <c r="H23" s="616">
        <v>5.42</v>
      </c>
      <c r="I23" s="147"/>
      <c r="J23" s="148">
        <v>10.92</v>
      </c>
      <c r="K23" s="149">
        <v>0.08</v>
      </c>
      <c r="L23" s="149"/>
      <c r="M23" s="149"/>
      <c r="N23" s="149"/>
      <c r="O23" s="150"/>
      <c r="P23" s="273">
        <f>0.314*I23+0.249*J23+0.37*K23+0.195*M23+0.159*N23+0.06*O23</f>
        <v>2.7486799999999998</v>
      </c>
      <c r="Q23" s="151">
        <f>0.4*I23+0.4*J23+0.083*K23+0.4*M23+0.4*N23+0.4*O23</f>
        <v>4.3746400000000003</v>
      </c>
      <c r="R23" s="153">
        <f t="shared" si="0"/>
        <v>7.4502269007057764</v>
      </c>
      <c r="S23" s="154">
        <f t="shared" si="1"/>
        <v>10.173014030856343</v>
      </c>
      <c r="T23" s="155">
        <f t="shared" si="6"/>
        <v>2870.6888423717878</v>
      </c>
      <c r="U23" s="361">
        <f t="shared" si="7"/>
        <v>1818.5367624468624</v>
      </c>
      <c r="V23" s="1027">
        <v>1</v>
      </c>
      <c r="W23" s="152" t="s">
        <v>188</v>
      </c>
      <c r="X23" s="1251">
        <v>4</v>
      </c>
      <c r="Y23" s="152">
        <v>11</v>
      </c>
      <c r="Z23" s="152">
        <v>35</v>
      </c>
      <c r="AA23" s="152">
        <v>6.3</v>
      </c>
      <c r="AB23" s="1243">
        <v>7.6</v>
      </c>
      <c r="AC23" s="152" t="s">
        <v>81</v>
      </c>
      <c r="AD23" s="152">
        <v>10</v>
      </c>
      <c r="AE23" s="274">
        <f t="shared" si="20"/>
        <v>23.275000000000002</v>
      </c>
      <c r="AF23" s="151">
        <f t="shared" si="2"/>
        <v>30.324470281803769</v>
      </c>
      <c r="AG23" s="274">
        <f t="shared" si="3"/>
        <v>33.183675677537593</v>
      </c>
      <c r="AH23" s="1237">
        <f t="shared" si="24"/>
        <v>0.98251283713044213</v>
      </c>
      <c r="AI23" s="1238">
        <f t="shared" si="25"/>
        <v>1.0751510919522183</v>
      </c>
      <c r="AJ23" s="159">
        <f t="shared" si="8"/>
        <v>705.28134665645518</v>
      </c>
      <c r="AK23" s="155">
        <f t="shared" si="9"/>
        <v>557.50303793268017</v>
      </c>
      <c r="AL23" s="155">
        <f t="shared" si="22"/>
        <v>464.58586494390016</v>
      </c>
      <c r="AM23" s="155">
        <f t="shared" si="23"/>
        <v>371.6686919551201</v>
      </c>
      <c r="AN23" s="155">
        <f t="shared" si="16"/>
        <v>3706.4335034498399</v>
      </c>
      <c r="AO23" s="160">
        <f t="shared" si="10"/>
        <v>2929.8207699164873</v>
      </c>
    </row>
    <row r="24" spans="1:41" ht="12.75" customHeight="1" thickBot="1" x14ac:dyDescent="0.25">
      <c r="A24" s="196">
        <v>1</v>
      </c>
      <c r="B24" s="2308"/>
      <c r="C24" s="2364"/>
      <c r="D24" s="830">
        <v>5.6</v>
      </c>
      <c r="E24" s="164" t="s">
        <v>39</v>
      </c>
      <c r="F24" s="165" t="s">
        <v>53</v>
      </c>
      <c r="G24" s="1015">
        <v>2.5499999999999998</v>
      </c>
      <c r="H24" s="1016">
        <v>5.42</v>
      </c>
      <c r="I24" s="167"/>
      <c r="J24" s="168">
        <v>10.92</v>
      </c>
      <c r="K24" s="169">
        <v>0.08</v>
      </c>
      <c r="L24" s="169"/>
      <c r="M24" s="169"/>
      <c r="N24" s="169"/>
      <c r="O24" s="170"/>
      <c r="P24" s="536">
        <f>0.314*I24+0.249*J24+0.37*K24+0.195*M24+0.159*N24+0.06*O24</f>
        <v>2.7486799999999998</v>
      </c>
      <c r="Q24" s="171">
        <f>0.4*I24+0.4*J24+0.083*K24+0.4*M24+0.4*N24+0.4*O24</f>
        <v>4.3746400000000003</v>
      </c>
      <c r="R24" s="172">
        <f t="shared" si="0"/>
        <v>7.4502269007057764</v>
      </c>
      <c r="S24" s="173">
        <f t="shared" si="1"/>
        <v>10.173014030856343</v>
      </c>
      <c r="T24" s="174">
        <f t="shared" si="6"/>
        <v>2870.6888423717878</v>
      </c>
      <c r="U24" s="372">
        <f t="shared" si="7"/>
        <v>1818.5367624468624</v>
      </c>
      <c r="V24" s="1029">
        <v>2</v>
      </c>
      <c r="W24" s="166" t="s">
        <v>188</v>
      </c>
      <c r="X24" s="1253">
        <v>4</v>
      </c>
      <c r="Y24" s="166">
        <v>11</v>
      </c>
      <c r="Z24" s="166">
        <v>35</v>
      </c>
      <c r="AA24" s="166">
        <v>6.3</v>
      </c>
      <c r="AB24" s="1245">
        <v>7.69</v>
      </c>
      <c r="AC24" s="166" t="s">
        <v>81</v>
      </c>
      <c r="AD24" s="166">
        <v>10</v>
      </c>
      <c r="AE24" s="531">
        <f t="shared" si="20"/>
        <v>23.550625000000004</v>
      </c>
      <c r="AF24" s="171">
        <f t="shared" si="2"/>
        <v>30.59897087424061</v>
      </c>
      <c r="AG24" s="531">
        <f t="shared" si="3"/>
        <v>33.458361281787624</v>
      </c>
      <c r="AH24" s="1254">
        <f t="shared" si="24"/>
        <v>0.99140665632539571</v>
      </c>
      <c r="AI24" s="1255">
        <f t="shared" si="25"/>
        <v>1.084050905529919</v>
      </c>
      <c r="AJ24" s="177">
        <f t="shared" si="8"/>
        <v>698.95433166345003</v>
      </c>
      <c r="AK24" s="174">
        <f t="shared" si="9"/>
        <v>552.92606365841641</v>
      </c>
      <c r="AL24" s="174">
        <f t="shared" si="22"/>
        <v>460.77171971534705</v>
      </c>
      <c r="AM24" s="174">
        <f t="shared" si="23"/>
        <v>368.61737577227763</v>
      </c>
      <c r="AN24" s="174">
        <f t="shared" si="16"/>
        <v>3673.183424657771</v>
      </c>
      <c r="AO24" s="178">
        <f t="shared" si="10"/>
        <v>2905.7676018084949</v>
      </c>
    </row>
    <row r="25" spans="1:41" ht="12.75" customHeight="1" x14ac:dyDescent="0.2">
      <c r="A25" s="254">
        <v>1</v>
      </c>
      <c r="B25" s="2365" t="s">
        <v>52</v>
      </c>
      <c r="C25" s="2367" t="s">
        <v>340</v>
      </c>
      <c r="D25" s="647">
        <v>4.5999999999999996</v>
      </c>
      <c r="E25" s="197" t="s">
        <v>35</v>
      </c>
      <c r="F25" s="656" t="s">
        <v>49</v>
      </c>
      <c r="G25" s="976">
        <v>4.13</v>
      </c>
      <c r="H25" s="636">
        <v>6.96</v>
      </c>
      <c r="I25" s="200"/>
      <c r="J25" s="201">
        <v>6.1</v>
      </c>
      <c r="K25" s="202"/>
      <c r="L25" s="202"/>
      <c r="M25" s="202"/>
      <c r="N25" s="202"/>
      <c r="O25" s="203"/>
      <c r="P25" s="204">
        <f>0.314*I25+0.249*J25+0.195*M25+0.159*N25+0.06*O25</f>
        <v>1.5188999999999999</v>
      </c>
      <c r="Q25" s="206">
        <f>0.4*SUM(I25:O25)</f>
        <v>2.44</v>
      </c>
      <c r="R25" s="205">
        <f t="shared" si="0"/>
        <v>6.7432897913407217</v>
      </c>
      <c r="S25" s="206">
        <f t="shared" si="1"/>
        <v>9.5219250789953183</v>
      </c>
      <c r="T25" s="207">
        <f t="shared" si="6"/>
        <v>3171.6393479720132</v>
      </c>
      <c r="U25" s="1018">
        <f t="shared" si="7"/>
        <v>1942.8844321417387</v>
      </c>
      <c r="V25" s="1030">
        <v>1</v>
      </c>
      <c r="W25" s="198" t="s">
        <v>187</v>
      </c>
      <c r="X25" s="1252">
        <v>4</v>
      </c>
      <c r="Y25" s="198">
        <v>11</v>
      </c>
      <c r="Z25" s="198">
        <v>35</v>
      </c>
      <c r="AA25" s="198">
        <v>6.3</v>
      </c>
      <c r="AB25" s="1244">
        <v>7.67</v>
      </c>
      <c r="AC25" s="198" t="s">
        <v>81</v>
      </c>
      <c r="AD25" s="198">
        <v>9</v>
      </c>
      <c r="AE25" s="340">
        <f t="shared" si="20"/>
        <v>23.489375000000003</v>
      </c>
      <c r="AF25" s="204">
        <f t="shared" si="2"/>
        <v>30.097725538661976</v>
      </c>
      <c r="AG25" s="208">
        <f t="shared" si="3"/>
        <v>32.924429305617814</v>
      </c>
      <c r="AH25" s="1239">
        <f t="shared" si="24"/>
        <v>0.97516630745264798</v>
      </c>
      <c r="AI25" s="1240">
        <f t="shared" si="25"/>
        <v>1.066751509502017</v>
      </c>
      <c r="AJ25" s="259">
        <f t="shared" si="8"/>
        <v>710.59466634849946</v>
      </c>
      <c r="AK25" s="207">
        <f t="shared" si="9"/>
        <v>561.89280695727632</v>
      </c>
      <c r="AL25" s="207">
        <f t="shared" si="22"/>
        <v>468.24400579773027</v>
      </c>
      <c r="AM25" s="207">
        <f t="shared" si="23"/>
        <v>374.59520463818421</v>
      </c>
      <c r="AN25" s="207">
        <f t="shared" ref="AN25:AN44" si="26">6300/(1.73*AH25)</f>
        <v>3734.356354684307</v>
      </c>
      <c r="AO25" s="260">
        <f t="shared" si="10"/>
        <v>2952.890126652353</v>
      </c>
    </row>
    <row r="26" spans="1:41" ht="12.75" customHeight="1" x14ac:dyDescent="0.2">
      <c r="A26" s="255">
        <v>1</v>
      </c>
      <c r="B26" s="2366"/>
      <c r="C26" s="2368"/>
      <c r="D26" s="675">
        <v>4.5999999999999996</v>
      </c>
      <c r="E26" s="209" t="s">
        <v>35</v>
      </c>
      <c r="F26" s="210" t="s">
        <v>49</v>
      </c>
      <c r="G26" s="308">
        <v>4.13</v>
      </c>
      <c r="H26" s="634">
        <v>6.96</v>
      </c>
      <c r="I26" s="213"/>
      <c r="J26" s="214">
        <v>6.1</v>
      </c>
      <c r="K26" s="215"/>
      <c r="L26" s="215"/>
      <c r="M26" s="215"/>
      <c r="N26" s="215"/>
      <c r="O26" s="216"/>
      <c r="P26" s="217">
        <f>0.314*I26+0.249*J26+0.195*M26+0.159*N26+0.06*O26</f>
        <v>1.5188999999999999</v>
      </c>
      <c r="Q26" s="219">
        <f>0.4*SUM(I26:O26)</f>
        <v>2.44</v>
      </c>
      <c r="R26" s="218">
        <f t="shared" si="0"/>
        <v>6.7432897913407217</v>
      </c>
      <c r="S26" s="219">
        <f t="shared" si="1"/>
        <v>9.5219250789953183</v>
      </c>
      <c r="T26" s="220">
        <f t="shared" si="6"/>
        <v>3171.6393479720132</v>
      </c>
      <c r="U26" s="871">
        <f t="shared" si="7"/>
        <v>1942.8844321417387</v>
      </c>
      <c r="V26" s="1031">
        <v>2</v>
      </c>
      <c r="W26" s="211" t="s">
        <v>187</v>
      </c>
      <c r="X26" s="1251">
        <v>4</v>
      </c>
      <c r="Y26" s="211">
        <v>11</v>
      </c>
      <c r="Z26" s="211">
        <v>35</v>
      </c>
      <c r="AA26" s="211">
        <v>6.3</v>
      </c>
      <c r="AB26" s="1243">
        <v>7.6</v>
      </c>
      <c r="AC26" s="211" t="s">
        <v>81</v>
      </c>
      <c r="AD26" s="211">
        <v>12</v>
      </c>
      <c r="AE26" s="307">
        <f t="shared" si="20"/>
        <v>23.275000000000002</v>
      </c>
      <c r="AF26" s="217">
        <f t="shared" si="2"/>
        <v>29.883625653692025</v>
      </c>
      <c r="AG26" s="221">
        <f t="shared" si="3"/>
        <v>32.71028404355426</v>
      </c>
      <c r="AH26" s="1237">
        <f t="shared" si="24"/>
        <v>0.96822947117962155</v>
      </c>
      <c r="AI26" s="1238">
        <f t="shared" si="25"/>
        <v>1.059813203011158</v>
      </c>
      <c r="AJ26" s="261">
        <f t="shared" si="8"/>
        <v>715.68568970987258</v>
      </c>
      <c r="AK26" s="220">
        <f t="shared" si="9"/>
        <v>565.57136512073566</v>
      </c>
      <c r="AL26" s="220">
        <f t="shared" si="22"/>
        <v>471.30947093394639</v>
      </c>
      <c r="AM26" s="220">
        <f t="shared" si="23"/>
        <v>377.04757674715711</v>
      </c>
      <c r="AN26" s="220">
        <f t="shared" si="26"/>
        <v>3761.1109819587905</v>
      </c>
      <c r="AO26" s="262">
        <f t="shared" si="10"/>
        <v>2972.2218887726349</v>
      </c>
    </row>
    <row r="27" spans="1:41" ht="12.75" customHeight="1" x14ac:dyDescent="0.2">
      <c r="A27" s="256">
        <v>1</v>
      </c>
      <c r="B27" s="2369" t="s">
        <v>69</v>
      </c>
      <c r="C27" s="2370" t="s">
        <v>340</v>
      </c>
      <c r="D27" s="675">
        <v>4.5999999999999996</v>
      </c>
      <c r="E27" s="209" t="s">
        <v>35</v>
      </c>
      <c r="F27" s="210" t="s">
        <v>49</v>
      </c>
      <c r="G27" s="308">
        <v>4.13</v>
      </c>
      <c r="H27" s="634">
        <v>6.96</v>
      </c>
      <c r="I27" s="213"/>
      <c r="J27" s="214">
        <v>10.58</v>
      </c>
      <c r="K27" s="215"/>
      <c r="L27" s="215"/>
      <c r="M27" s="215"/>
      <c r="N27" s="215"/>
      <c r="O27" s="216"/>
      <c r="P27" s="217">
        <f t="shared" ref="P27:P42" si="27">0.314*I27+0.249*J27+0.195*M27+0.159*N27+0.06*O27</f>
        <v>2.63442</v>
      </c>
      <c r="Q27" s="219">
        <f t="shared" ref="Q27:Q42" si="28">0.4*SUM(I27:O27)</f>
        <v>4.2320000000000002</v>
      </c>
      <c r="R27" s="218">
        <f t="shared" si="0"/>
        <v>8.767166745100722</v>
      </c>
      <c r="S27" s="219">
        <f t="shared" si="1"/>
        <v>11.497870791429168</v>
      </c>
      <c r="T27" s="220">
        <f t="shared" si="6"/>
        <v>2439.4749020766467</v>
      </c>
      <c r="U27" s="871">
        <f t="shared" si="7"/>
        <v>1608.9935550319815</v>
      </c>
      <c r="V27" s="1031">
        <v>1</v>
      </c>
      <c r="W27" s="211" t="s">
        <v>41</v>
      </c>
      <c r="X27" s="1251">
        <v>6.3</v>
      </c>
      <c r="Y27" s="211">
        <v>11</v>
      </c>
      <c r="Z27" s="211">
        <v>35</v>
      </c>
      <c r="AA27" s="211">
        <v>6.3</v>
      </c>
      <c r="AB27" s="1243">
        <v>7.82</v>
      </c>
      <c r="AC27" s="211" t="s">
        <v>162</v>
      </c>
      <c r="AD27" s="211"/>
      <c r="AE27" s="307">
        <f t="shared" ref="AE27:AE42" si="29">AB27/100*Z27*Z27/X27</f>
        <v>15.205555555555556</v>
      </c>
      <c r="AF27" s="217">
        <f t="shared" si="2"/>
        <v>23.714338354687388</v>
      </c>
      <c r="AG27" s="221">
        <f t="shared" si="3"/>
        <v>26.528684627117151</v>
      </c>
      <c r="AH27" s="1237">
        <f t="shared" si="24"/>
        <v>0.76834456269187135</v>
      </c>
      <c r="AI27" s="1238">
        <f t="shared" si="25"/>
        <v>0.85952938191859563</v>
      </c>
      <c r="AJ27" s="261">
        <f t="shared" si="8"/>
        <v>901.87138755936621</v>
      </c>
      <c r="AK27" s="220">
        <f t="shared" si="9"/>
        <v>697.35835982948163</v>
      </c>
      <c r="AL27" s="220">
        <f t="shared" ref="AL27:AL42" si="30">AK27/1.2</f>
        <v>581.13196652456804</v>
      </c>
      <c r="AM27" s="220">
        <f t="shared" ref="AM27:AM42" si="31">AK27/1.5</f>
        <v>464.9055732196544</v>
      </c>
      <c r="AN27" s="220">
        <f t="shared" si="26"/>
        <v>4739.5643490357106</v>
      </c>
      <c r="AO27" s="262">
        <f t="shared" si="10"/>
        <v>3664.7961852900689</v>
      </c>
    </row>
    <row r="28" spans="1:41" ht="12.75" customHeight="1" x14ac:dyDescent="0.2">
      <c r="A28" s="256">
        <v>1</v>
      </c>
      <c r="B28" s="2366"/>
      <c r="C28" s="2368"/>
      <c r="D28" s="675">
        <v>4.5999999999999996</v>
      </c>
      <c r="E28" s="209" t="s">
        <v>35</v>
      </c>
      <c r="F28" s="210" t="s">
        <v>49</v>
      </c>
      <c r="G28" s="308">
        <v>4.13</v>
      </c>
      <c r="H28" s="634">
        <v>6.96</v>
      </c>
      <c r="I28" s="213"/>
      <c r="J28" s="214">
        <v>10.58</v>
      </c>
      <c r="K28" s="215"/>
      <c r="L28" s="215"/>
      <c r="M28" s="215"/>
      <c r="N28" s="215"/>
      <c r="O28" s="216"/>
      <c r="P28" s="217">
        <f>0.314*I28+0.249*J28+0.195*M28+0.159*N28+0.06*O28</f>
        <v>2.63442</v>
      </c>
      <c r="Q28" s="219">
        <f t="shared" si="28"/>
        <v>4.2320000000000002</v>
      </c>
      <c r="R28" s="218">
        <f t="shared" si="0"/>
        <v>8.767166745100722</v>
      </c>
      <c r="S28" s="219">
        <f t="shared" si="1"/>
        <v>11.497870791429168</v>
      </c>
      <c r="T28" s="220">
        <f t="shared" si="6"/>
        <v>2439.4749020766467</v>
      </c>
      <c r="U28" s="871">
        <f t="shared" si="7"/>
        <v>1608.9935550319815</v>
      </c>
      <c r="V28" s="1031">
        <v>2</v>
      </c>
      <c r="W28" s="211" t="s">
        <v>41</v>
      </c>
      <c r="X28" s="1251">
        <v>6.3</v>
      </c>
      <c r="Y28" s="211">
        <v>11</v>
      </c>
      <c r="Z28" s="211">
        <v>35</v>
      </c>
      <c r="AA28" s="211">
        <v>6.3</v>
      </c>
      <c r="AB28" s="1243">
        <v>7.94</v>
      </c>
      <c r="AC28" s="211" t="s">
        <v>162</v>
      </c>
      <c r="AD28" s="211"/>
      <c r="AE28" s="307">
        <f t="shared" si="29"/>
        <v>15.43888888888889</v>
      </c>
      <c r="AF28" s="217">
        <f t="shared" si="2"/>
        <v>23.946241472048062</v>
      </c>
      <c r="AG28" s="221">
        <f t="shared" si="3"/>
        <v>26.760874644688759</v>
      </c>
      <c r="AH28" s="1237">
        <f t="shared" si="24"/>
        <v>0.7758582236943572</v>
      </c>
      <c r="AI28" s="1238">
        <f t="shared" si="25"/>
        <v>0.86705233848791574</v>
      </c>
      <c r="AJ28" s="261">
        <f t="shared" si="8"/>
        <v>893.13737447937865</v>
      </c>
      <c r="AK28" s="220">
        <f t="shared" si="9"/>
        <v>691.3077485556588</v>
      </c>
      <c r="AL28" s="220">
        <f t="shared" si="30"/>
        <v>576.08979046304898</v>
      </c>
      <c r="AM28" s="220">
        <f t="shared" si="31"/>
        <v>460.87183237043922</v>
      </c>
      <c r="AN28" s="220">
        <f t="shared" si="26"/>
        <v>4693.6648808976361</v>
      </c>
      <c r="AO28" s="262">
        <f t="shared" si="10"/>
        <v>3632.9986785958044</v>
      </c>
    </row>
    <row r="29" spans="1:41" ht="12.75" customHeight="1" x14ac:dyDescent="0.2">
      <c r="A29" s="256">
        <v>1</v>
      </c>
      <c r="B29" s="2369" t="s">
        <v>70</v>
      </c>
      <c r="C29" s="2370" t="s">
        <v>340</v>
      </c>
      <c r="D29" s="675">
        <v>5.6</v>
      </c>
      <c r="E29" s="209" t="s">
        <v>35</v>
      </c>
      <c r="F29" s="210" t="s">
        <v>53</v>
      </c>
      <c r="G29" s="308">
        <v>2.5499999999999998</v>
      </c>
      <c r="H29" s="634">
        <v>5.42</v>
      </c>
      <c r="I29" s="213"/>
      <c r="J29" s="214">
        <v>10.63</v>
      </c>
      <c r="K29" s="215"/>
      <c r="L29" s="215"/>
      <c r="M29" s="215"/>
      <c r="N29" s="215"/>
      <c r="O29" s="216"/>
      <c r="P29" s="217">
        <f t="shared" si="27"/>
        <v>2.6468700000000003</v>
      </c>
      <c r="Q29" s="219">
        <f t="shared" si="28"/>
        <v>4.2520000000000007</v>
      </c>
      <c r="R29" s="218">
        <f t="shared" si="0"/>
        <v>7.2988440726528747</v>
      </c>
      <c r="S29" s="219">
        <f t="shared" si="1"/>
        <v>10.027637049519694</v>
      </c>
      <c r="T29" s="220">
        <f t="shared" si="6"/>
        <v>2930.2288176188822</v>
      </c>
      <c r="U29" s="871">
        <f t="shared" si="7"/>
        <v>1844.9012373145395</v>
      </c>
      <c r="V29" s="1031">
        <v>1</v>
      </c>
      <c r="W29" s="211" t="s">
        <v>41</v>
      </c>
      <c r="X29" s="1251">
        <v>6.3</v>
      </c>
      <c r="Y29" s="211">
        <v>11</v>
      </c>
      <c r="Z29" s="211">
        <v>35</v>
      </c>
      <c r="AA29" s="211">
        <v>6.3</v>
      </c>
      <c r="AB29" s="1243">
        <v>7.94</v>
      </c>
      <c r="AC29" s="211" t="s">
        <v>162</v>
      </c>
      <c r="AD29" s="211">
        <v>5</v>
      </c>
      <c r="AE29" s="307">
        <f t="shared" si="29"/>
        <v>15.43888888888889</v>
      </c>
      <c r="AF29" s="217">
        <f t="shared" si="2"/>
        <v>22.397836042010876</v>
      </c>
      <c r="AG29" s="221">
        <f t="shared" si="3"/>
        <v>25.250003199742842</v>
      </c>
      <c r="AH29" s="1256">
        <f t="shared" si="24"/>
        <v>0.7256898877611524</v>
      </c>
      <c r="AI29" s="1257">
        <f t="shared" si="25"/>
        <v>0.81810010367166797</v>
      </c>
      <c r="AJ29" s="261">
        <f t="shared" si="8"/>
        <v>954.88167682265407</v>
      </c>
      <c r="AK29" s="220">
        <f t="shared" si="9"/>
        <v>732.67317448056463</v>
      </c>
      <c r="AL29" s="220">
        <f t="shared" si="30"/>
        <v>610.56097873380384</v>
      </c>
      <c r="AM29" s="220">
        <f t="shared" si="31"/>
        <v>488.4487829870431</v>
      </c>
      <c r="AN29" s="220">
        <f t="shared" si="26"/>
        <v>5018.1469502692025</v>
      </c>
      <c r="AO29" s="262">
        <f t="shared" si="10"/>
        <v>3850.384550573538</v>
      </c>
    </row>
    <row r="30" spans="1:41" ht="12.75" customHeight="1" x14ac:dyDescent="0.2">
      <c r="A30" s="256">
        <v>1</v>
      </c>
      <c r="B30" s="2366"/>
      <c r="C30" s="2368"/>
      <c r="D30" s="675">
        <v>5.6</v>
      </c>
      <c r="E30" s="209" t="s">
        <v>35</v>
      </c>
      <c r="F30" s="210" t="s">
        <v>53</v>
      </c>
      <c r="G30" s="308">
        <v>2.5499999999999998</v>
      </c>
      <c r="H30" s="634">
        <v>5.42</v>
      </c>
      <c r="I30" s="213"/>
      <c r="J30" s="214">
        <v>10.63</v>
      </c>
      <c r="K30" s="215"/>
      <c r="L30" s="215"/>
      <c r="M30" s="215"/>
      <c r="N30" s="215"/>
      <c r="O30" s="216"/>
      <c r="P30" s="217">
        <f t="shared" si="27"/>
        <v>2.6468700000000003</v>
      </c>
      <c r="Q30" s="219">
        <f t="shared" si="28"/>
        <v>4.2520000000000007</v>
      </c>
      <c r="R30" s="218">
        <f t="shared" si="0"/>
        <v>7.2988440726528747</v>
      </c>
      <c r="S30" s="219">
        <f t="shared" si="1"/>
        <v>10.027637049519694</v>
      </c>
      <c r="T30" s="220">
        <f t="shared" si="6"/>
        <v>2930.2288176188822</v>
      </c>
      <c r="U30" s="871">
        <f t="shared" si="7"/>
        <v>1844.9012373145395</v>
      </c>
      <c r="V30" s="1031">
        <v>2</v>
      </c>
      <c r="W30" s="211" t="s">
        <v>41</v>
      </c>
      <c r="X30" s="1251">
        <v>6.3</v>
      </c>
      <c r="Y30" s="211">
        <v>11</v>
      </c>
      <c r="Z30" s="211">
        <v>35</v>
      </c>
      <c r="AA30" s="211">
        <v>6.3</v>
      </c>
      <c r="AB30" s="1243">
        <v>7.96</v>
      </c>
      <c r="AC30" s="211" t="s">
        <v>162</v>
      </c>
      <c r="AD30" s="211">
        <v>5</v>
      </c>
      <c r="AE30" s="307">
        <f t="shared" si="29"/>
        <v>15.47777777777778</v>
      </c>
      <c r="AF30" s="217">
        <f t="shared" si="2"/>
        <v>22.436452897551803</v>
      </c>
      <c r="AG30" s="221">
        <f t="shared" si="3"/>
        <v>25.288678159771518</v>
      </c>
      <c r="AH30" s="1256">
        <f t="shared" si="24"/>
        <v>0.72694107388067841</v>
      </c>
      <c r="AI30" s="1257">
        <f t="shared" si="25"/>
        <v>0.81935317237659711</v>
      </c>
      <c r="AJ30" s="261">
        <f t="shared" si="8"/>
        <v>953.23816713148688</v>
      </c>
      <c r="AK30" s="220">
        <f t="shared" si="9"/>
        <v>731.55266887097537</v>
      </c>
      <c r="AL30" s="220">
        <f t="shared" si="30"/>
        <v>609.62722405914622</v>
      </c>
      <c r="AM30" s="220">
        <f t="shared" si="31"/>
        <v>487.70177924731689</v>
      </c>
      <c r="AN30" s="220">
        <f t="shared" si="26"/>
        <v>5009.5098873276347</v>
      </c>
      <c r="AO30" s="262">
        <f t="shared" si="10"/>
        <v>3844.4960075802014</v>
      </c>
    </row>
    <row r="31" spans="1:41" ht="12.75" customHeight="1" x14ac:dyDescent="0.2">
      <c r="A31" s="256">
        <v>1</v>
      </c>
      <c r="B31" s="2369" t="s">
        <v>75</v>
      </c>
      <c r="C31" s="2370" t="s">
        <v>340</v>
      </c>
      <c r="D31" s="675">
        <v>4.5999999999999996</v>
      </c>
      <c r="E31" s="209" t="s">
        <v>35</v>
      </c>
      <c r="F31" s="210" t="s">
        <v>49</v>
      </c>
      <c r="G31" s="308">
        <v>4.13</v>
      </c>
      <c r="H31" s="634">
        <v>6.96</v>
      </c>
      <c r="I31" s="213"/>
      <c r="J31" s="214">
        <v>6.83</v>
      </c>
      <c r="K31" s="215"/>
      <c r="L31" s="215"/>
      <c r="M31" s="215"/>
      <c r="N31" s="215"/>
      <c r="O31" s="216"/>
      <c r="P31" s="217">
        <f t="shared" si="27"/>
        <v>1.7006699999999999</v>
      </c>
      <c r="Q31" s="219">
        <f t="shared" si="28"/>
        <v>2.7320000000000002</v>
      </c>
      <c r="R31" s="218">
        <f t="shared" si="0"/>
        <v>7.0696055370084121</v>
      </c>
      <c r="S31" s="219">
        <f t="shared" si="1"/>
        <v>9.8400783761563613</v>
      </c>
      <c r="T31" s="220">
        <f t="shared" si="6"/>
        <v>3025.2442127123973</v>
      </c>
      <c r="U31" s="871">
        <f t="shared" si="7"/>
        <v>1880.0663259784212</v>
      </c>
      <c r="V31" s="1031">
        <v>1</v>
      </c>
      <c r="W31" s="211" t="s">
        <v>41</v>
      </c>
      <c r="X31" s="1251">
        <v>6.3</v>
      </c>
      <c r="Y31" s="211">
        <v>11</v>
      </c>
      <c r="Z31" s="211">
        <v>35</v>
      </c>
      <c r="AA31" s="211">
        <v>6.3</v>
      </c>
      <c r="AB31" s="1243">
        <v>7.41</v>
      </c>
      <c r="AC31" s="211" t="s">
        <v>162</v>
      </c>
      <c r="AD31" s="211">
        <v>12</v>
      </c>
      <c r="AE31" s="307">
        <f t="shared" si="29"/>
        <v>14.408333333333335</v>
      </c>
      <c r="AF31" s="217">
        <f t="shared" si="2"/>
        <v>21.338213574711713</v>
      </c>
      <c r="AG31" s="221">
        <f t="shared" si="3"/>
        <v>24.160263765668574</v>
      </c>
      <c r="AH31" s="179">
        <f t="shared" si="24"/>
        <v>0.69135811982065942</v>
      </c>
      <c r="AI31" s="180">
        <f t="shared" si="25"/>
        <v>0.78279254600766179</v>
      </c>
      <c r="AJ31" s="261">
        <f t="shared" si="8"/>
        <v>1002.2996143566892</v>
      </c>
      <c r="AK31" s="220">
        <f t="shared" si="9"/>
        <v>765.72011710767265</v>
      </c>
      <c r="AL31" s="220">
        <f t="shared" si="30"/>
        <v>638.10009758972728</v>
      </c>
      <c r="AM31" s="220">
        <f t="shared" si="31"/>
        <v>510.48007807178175</v>
      </c>
      <c r="AN31" s="220">
        <f t="shared" si="26"/>
        <v>5267.3403156883069</v>
      </c>
      <c r="AO31" s="262">
        <f t="shared" si="10"/>
        <v>4024.0546694847662</v>
      </c>
    </row>
    <row r="32" spans="1:41" ht="12.75" customHeight="1" x14ac:dyDescent="0.2">
      <c r="A32" s="256">
        <v>1</v>
      </c>
      <c r="B32" s="2366"/>
      <c r="C32" s="2368"/>
      <c r="D32" s="675">
        <v>4.5999999999999996</v>
      </c>
      <c r="E32" s="209" t="s">
        <v>35</v>
      </c>
      <c r="F32" s="210" t="s">
        <v>49</v>
      </c>
      <c r="G32" s="308">
        <v>4.13</v>
      </c>
      <c r="H32" s="634">
        <v>6.96</v>
      </c>
      <c r="I32" s="213"/>
      <c r="J32" s="214">
        <v>6.83</v>
      </c>
      <c r="K32" s="215"/>
      <c r="L32" s="215"/>
      <c r="M32" s="215"/>
      <c r="N32" s="215"/>
      <c r="O32" s="216"/>
      <c r="P32" s="217">
        <f t="shared" si="27"/>
        <v>1.7006699999999999</v>
      </c>
      <c r="Q32" s="219">
        <f t="shared" si="28"/>
        <v>2.7320000000000002</v>
      </c>
      <c r="R32" s="218">
        <f t="shared" si="0"/>
        <v>7.0696055370084121</v>
      </c>
      <c r="S32" s="219">
        <f t="shared" si="1"/>
        <v>9.8400783761563613</v>
      </c>
      <c r="T32" s="220">
        <f t="shared" si="6"/>
        <v>3025.2442127123973</v>
      </c>
      <c r="U32" s="871">
        <f t="shared" si="7"/>
        <v>1880.0663259784212</v>
      </c>
      <c r="V32" s="1031">
        <v>2</v>
      </c>
      <c r="W32" s="211" t="s">
        <v>41</v>
      </c>
      <c r="X32" s="1251">
        <v>6.3</v>
      </c>
      <c r="Y32" s="211">
        <v>11</v>
      </c>
      <c r="Z32" s="211">
        <v>35</v>
      </c>
      <c r="AA32" s="211">
        <v>6.3</v>
      </c>
      <c r="AB32" s="1243">
        <v>8.02</v>
      </c>
      <c r="AC32" s="211" t="s">
        <v>162</v>
      </c>
      <c r="AD32" s="211">
        <v>12</v>
      </c>
      <c r="AE32" s="307">
        <f t="shared" si="29"/>
        <v>15.594444444444445</v>
      </c>
      <c r="AF32" s="217">
        <f t="shared" si="2"/>
        <v>22.520749888387812</v>
      </c>
      <c r="AG32" s="221">
        <f t="shared" si="3"/>
        <v>25.34357021200595</v>
      </c>
      <c r="AH32" s="179">
        <f t="shared" si="24"/>
        <v>0.72967229638376507</v>
      </c>
      <c r="AI32" s="180">
        <f t="shared" si="25"/>
        <v>0.82113167486899274</v>
      </c>
      <c r="AJ32" s="261">
        <f t="shared" si="8"/>
        <v>949.67011946711273</v>
      </c>
      <c r="AK32" s="220">
        <f t="shared" si="9"/>
        <v>729.96818700926508</v>
      </c>
      <c r="AL32" s="220">
        <f t="shared" si="30"/>
        <v>608.30682250772088</v>
      </c>
      <c r="AM32" s="220">
        <f t="shared" si="31"/>
        <v>486.64545800617674</v>
      </c>
      <c r="AN32" s="220">
        <f t="shared" si="26"/>
        <v>4990.7588860884307</v>
      </c>
      <c r="AO32" s="262">
        <f t="shared" si="10"/>
        <v>3836.1691509495918</v>
      </c>
    </row>
    <row r="33" spans="1:41" ht="12.75" customHeight="1" x14ac:dyDescent="0.2">
      <c r="A33" s="256">
        <v>1</v>
      </c>
      <c r="B33" s="2369" t="s">
        <v>94</v>
      </c>
      <c r="C33" s="2371" t="s">
        <v>43</v>
      </c>
      <c r="D33" s="675">
        <v>5.6</v>
      </c>
      <c r="E33" s="209" t="s">
        <v>35</v>
      </c>
      <c r="F33" s="210" t="s">
        <v>53</v>
      </c>
      <c r="G33" s="308">
        <v>2.5499999999999998</v>
      </c>
      <c r="H33" s="634">
        <v>5.42</v>
      </c>
      <c r="I33" s="213"/>
      <c r="J33" s="214">
        <v>10.53</v>
      </c>
      <c r="K33" s="215"/>
      <c r="L33" s="215"/>
      <c r="M33" s="215"/>
      <c r="N33" s="215"/>
      <c r="O33" s="216"/>
      <c r="P33" s="217">
        <f t="shared" ref="P33:P38" si="32">0.314*I33+0.249*J33+0.195*M33+0.159*N33+0.06*O33</f>
        <v>2.6219699999999997</v>
      </c>
      <c r="Q33" s="219">
        <f t="shared" ref="Q33:Q38" si="33">0.4*SUM(I33:O33)</f>
        <v>4.2119999999999997</v>
      </c>
      <c r="R33" s="218">
        <f t="shared" ref="R33:R48" si="34">SQRT(POWER(P33,2)+POWER(Q33+G33,2))</f>
        <v>7.252542359814246</v>
      </c>
      <c r="S33" s="219">
        <f t="shared" ref="S33:S38" si="35">SQRT(POWER(P33,2)+POWER(Q33+H33,2))</f>
        <v>9.9824922079057981</v>
      </c>
      <c r="T33" s="220">
        <f t="shared" ref="T33:T48" si="36">37000/1.73/SQRT(POWER((G33+Q33),2)+P33*P33)</f>
        <v>2948.9359973268733</v>
      </c>
      <c r="U33" s="871">
        <f t="shared" ref="U33:U38" si="37">37000/2/SQRT(P33*P33+POWER((H33+Q33),2))</f>
        <v>1853.2446221544378</v>
      </c>
      <c r="V33" s="1031">
        <v>1</v>
      </c>
      <c r="W33" s="211" t="s">
        <v>80</v>
      </c>
      <c r="X33" s="1251">
        <v>4</v>
      </c>
      <c r="Y33" s="211">
        <v>11</v>
      </c>
      <c r="Z33" s="211">
        <v>35</v>
      </c>
      <c r="AA33" s="211">
        <v>6.3</v>
      </c>
      <c r="AB33" s="1243">
        <v>6.14</v>
      </c>
      <c r="AC33" s="211" t="s">
        <v>81</v>
      </c>
      <c r="AD33" s="211">
        <v>5</v>
      </c>
      <c r="AE33" s="307">
        <f t="shared" ref="AE33:AE38" si="38">AB33/100*Z33*Z33/X33</f>
        <v>18.803750000000001</v>
      </c>
      <c r="AF33" s="217">
        <f t="shared" ref="AF33:AF48" si="39">SQRT(POWER(P33,2)+POWER(Q33+AE33+G33,2))</f>
        <v>25.699850189123673</v>
      </c>
      <c r="AG33" s="221">
        <f t="shared" ref="AG33:AG38" si="40">SQRT(POWER(P33,2)+POWER(Q33+AE33+H33,2))</f>
        <v>28.556375903524593</v>
      </c>
      <c r="AH33" s="157">
        <f t="shared" si="24"/>
        <v>0.83267514612760696</v>
      </c>
      <c r="AI33" s="158">
        <f t="shared" si="25"/>
        <v>0.92522657927419671</v>
      </c>
      <c r="AJ33" s="261">
        <f t="shared" ref="AJ33:AJ48" si="41">37000/1.73/SQRT(POWER((G33+Q33+AE33),2)+P33*P33)</f>
        <v>832.19486026597315</v>
      </c>
      <c r="AK33" s="220">
        <f t="shared" ref="AK33:AK38" si="42">37000/2/SQRT(POWER((H33+Q33+AE33),2)+P33*P33)</f>
        <v>647.84131090376297</v>
      </c>
      <c r="AL33" s="220">
        <f t="shared" ref="AL33:AL38" si="43">AK33/1.2</f>
        <v>539.86775908646916</v>
      </c>
      <c r="AM33" s="220">
        <f t="shared" ref="AM33:AM38" si="44">AK33/1.5</f>
        <v>431.8942072691753</v>
      </c>
      <c r="AN33" s="220">
        <f t="shared" ref="AN33:AN38" si="45">6300/(1.73*AH33)</f>
        <v>4373.3964128091684</v>
      </c>
      <c r="AO33" s="262">
        <f t="shared" ref="AO33:AO38" si="46">SUM(6300/(2*AI33))</f>
        <v>3404.5714536984542</v>
      </c>
    </row>
    <row r="34" spans="1:41" ht="12.75" customHeight="1" x14ac:dyDescent="0.2">
      <c r="A34" s="256">
        <v>1</v>
      </c>
      <c r="B34" s="2366"/>
      <c r="C34" s="2372"/>
      <c r="D34" s="675">
        <v>5.6</v>
      </c>
      <c r="E34" s="209" t="s">
        <v>35</v>
      </c>
      <c r="F34" s="210" t="s">
        <v>53</v>
      </c>
      <c r="G34" s="308">
        <v>2.5499999999999998</v>
      </c>
      <c r="H34" s="634">
        <v>5.42</v>
      </c>
      <c r="I34" s="213"/>
      <c r="J34" s="214">
        <v>10.53</v>
      </c>
      <c r="K34" s="215"/>
      <c r="L34" s="215"/>
      <c r="M34" s="215"/>
      <c r="N34" s="215"/>
      <c r="O34" s="216"/>
      <c r="P34" s="217">
        <f t="shared" si="32"/>
        <v>2.6219699999999997</v>
      </c>
      <c r="Q34" s="219">
        <f t="shared" si="33"/>
        <v>4.2119999999999997</v>
      </c>
      <c r="R34" s="218">
        <f t="shared" si="34"/>
        <v>7.252542359814246</v>
      </c>
      <c r="S34" s="219">
        <f t="shared" si="35"/>
        <v>9.9824922079057981</v>
      </c>
      <c r="T34" s="220">
        <f t="shared" si="36"/>
        <v>2948.9359973268733</v>
      </c>
      <c r="U34" s="871">
        <f t="shared" si="37"/>
        <v>1853.2446221544378</v>
      </c>
      <c r="V34" s="1031">
        <v>2</v>
      </c>
      <c r="W34" s="211" t="s">
        <v>80</v>
      </c>
      <c r="X34" s="1251">
        <v>4</v>
      </c>
      <c r="Y34" s="211">
        <v>11</v>
      </c>
      <c r="Z34" s="211">
        <v>35</v>
      </c>
      <c r="AA34" s="211">
        <v>6.3</v>
      </c>
      <c r="AB34" s="1243">
        <v>6.26</v>
      </c>
      <c r="AC34" s="211" t="s">
        <v>81</v>
      </c>
      <c r="AD34" s="211">
        <v>5</v>
      </c>
      <c r="AE34" s="307">
        <f t="shared" si="38"/>
        <v>19.171250000000004</v>
      </c>
      <c r="AF34" s="217">
        <f t="shared" si="39"/>
        <v>26.065459563249604</v>
      </c>
      <c r="AG34" s="221">
        <f t="shared" si="40"/>
        <v>28.922343218408159</v>
      </c>
      <c r="AH34" s="179">
        <f t="shared" si="24"/>
        <v>0.84452088984928708</v>
      </c>
      <c r="AI34" s="180">
        <f t="shared" si="25"/>
        <v>0.93708392027642429</v>
      </c>
      <c r="AJ34" s="261">
        <f t="shared" si="41"/>
        <v>820.52200864122597</v>
      </c>
      <c r="AK34" s="220">
        <f t="shared" si="42"/>
        <v>639.64388570789572</v>
      </c>
      <c r="AL34" s="220">
        <f t="shared" si="43"/>
        <v>533.03657142324641</v>
      </c>
      <c r="AM34" s="220">
        <f t="shared" si="44"/>
        <v>426.42925713859717</v>
      </c>
      <c r="AN34" s="220">
        <f t="shared" si="45"/>
        <v>4312.0525979644017</v>
      </c>
      <c r="AO34" s="262">
        <f t="shared" si="46"/>
        <v>3361.4918918583107</v>
      </c>
    </row>
    <row r="35" spans="1:41" ht="12.75" customHeight="1" x14ac:dyDescent="0.2">
      <c r="A35" s="256">
        <v>1</v>
      </c>
      <c r="B35" s="2358" t="s">
        <v>452</v>
      </c>
      <c r="C35" s="2362" t="s">
        <v>454</v>
      </c>
      <c r="D35" s="675">
        <v>5.6</v>
      </c>
      <c r="E35" s="209" t="s">
        <v>35</v>
      </c>
      <c r="F35" s="210" t="s">
        <v>53</v>
      </c>
      <c r="G35" s="308">
        <v>2.5499999999999998</v>
      </c>
      <c r="H35" s="634">
        <v>5.42</v>
      </c>
      <c r="I35" s="213"/>
      <c r="J35" s="214">
        <v>10.53</v>
      </c>
      <c r="K35" s="215"/>
      <c r="L35" s="215"/>
      <c r="M35" s="215"/>
      <c r="N35" s="215"/>
      <c r="O35" s="216"/>
      <c r="P35" s="217">
        <f t="shared" si="32"/>
        <v>2.6219699999999997</v>
      </c>
      <c r="Q35" s="219">
        <f t="shared" si="33"/>
        <v>4.2119999999999997</v>
      </c>
      <c r="R35" s="218">
        <f t="shared" si="34"/>
        <v>7.252542359814246</v>
      </c>
      <c r="S35" s="219">
        <f t="shared" si="35"/>
        <v>9.9824922079057981</v>
      </c>
      <c r="T35" s="220">
        <f t="shared" si="36"/>
        <v>2948.9359973268733</v>
      </c>
      <c r="U35" s="871">
        <f t="shared" si="37"/>
        <v>1853.2446221544378</v>
      </c>
      <c r="V35" s="1031">
        <v>1</v>
      </c>
      <c r="W35" s="152" t="s">
        <v>453</v>
      </c>
      <c r="X35" s="1251">
        <v>6.3</v>
      </c>
      <c r="Y35" s="152">
        <v>11</v>
      </c>
      <c r="Z35" s="152">
        <v>35</v>
      </c>
      <c r="AA35" s="152">
        <v>6.3</v>
      </c>
      <c r="AB35" s="1243">
        <v>7.92</v>
      </c>
      <c r="AC35" s="211" t="s">
        <v>81</v>
      </c>
      <c r="AD35" s="211">
        <v>5</v>
      </c>
      <c r="AE35" s="307">
        <f t="shared" si="38"/>
        <v>15.4</v>
      </c>
      <c r="AF35" s="217">
        <f t="shared" si="39"/>
        <v>22.316562698607957</v>
      </c>
      <c r="AG35" s="221">
        <f t="shared" si="40"/>
        <v>25.168944170959978</v>
      </c>
      <c r="AH35" s="1125">
        <f t="shared" ref="AH35:AH48" si="47">SQRT(POWER((AE35+Q35+G35),2)+POWER(P35,2))*POWER(6.3/Z35,2)</f>
        <v>0.72305663143489773</v>
      </c>
      <c r="AI35" s="1126">
        <f>SQRT(POWER((H35+Q35+AE35),2)+POWER(P35,2))*POWER(6.3/Z35,2)</f>
        <v>0.81547379113910312</v>
      </c>
      <c r="AJ35" s="261">
        <f t="shared" si="41"/>
        <v>958.35920279641903</v>
      </c>
      <c r="AK35" s="220">
        <f t="shared" si="42"/>
        <v>735.0328195866623</v>
      </c>
      <c r="AL35" s="220">
        <f t="shared" si="43"/>
        <v>612.52734965555192</v>
      </c>
      <c r="AM35" s="220">
        <f t="shared" si="44"/>
        <v>490.02187972444153</v>
      </c>
      <c r="AN35" s="220">
        <f t="shared" si="45"/>
        <v>5036.4222369181171</v>
      </c>
      <c r="AO35" s="262">
        <f t="shared" si="46"/>
        <v>3862.7850879178955</v>
      </c>
    </row>
    <row r="36" spans="1:41" ht="12.75" customHeight="1" x14ac:dyDescent="0.2">
      <c r="A36" s="256">
        <v>1</v>
      </c>
      <c r="B36" s="2359"/>
      <c r="C36" s="2363"/>
      <c r="D36" s="675">
        <v>5.6</v>
      </c>
      <c r="E36" s="209" t="s">
        <v>35</v>
      </c>
      <c r="F36" s="210" t="s">
        <v>53</v>
      </c>
      <c r="G36" s="308">
        <v>2.5499999999999998</v>
      </c>
      <c r="H36" s="634">
        <v>5.42</v>
      </c>
      <c r="I36" s="213"/>
      <c r="J36" s="214">
        <v>10.53</v>
      </c>
      <c r="K36" s="215"/>
      <c r="L36" s="215"/>
      <c r="M36" s="215"/>
      <c r="N36" s="215"/>
      <c r="O36" s="216"/>
      <c r="P36" s="217">
        <f t="shared" si="32"/>
        <v>2.6219699999999997</v>
      </c>
      <c r="Q36" s="219">
        <f t="shared" si="33"/>
        <v>4.2119999999999997</v>
      </c>
      <c r="R36" s="218">
        <f t="shared" si="34"/>
        <v>7.252542359814246</v>
      </c>
      <c r="S36" s="219">
        <f t="shared" si="35"/>
        <v>9.9824922079057981</v>
      </c>
      <c r="T36" s="220">
        <f t="shared" si="36"/>
        <v>2948.9359973268733</v>
      </c>
      <c r="U36" s="871">
        <f t="shared" si="37"/>
        <v>1853.2446221544378</v>
      </c>
      <c r="V36" s="1031">
        <v>2</v>
      </c>
      <c r="W36" s="152" t="s">
        <v>453</v>
      </c>
      <c r="X36" s="1251">
        <v>6.3</v>
      </c>
      <c r="Y36" s="152">
        <v>11</v>
      </c>
      <c r="Z36" s="152">
        <v>35</v>
      </c>
      <c r="AA36" s="152">
        <v>6.3</v>
      </c>
      <c r="AB36" s="1243">
        <v>8.1</v>
      </c>
      <c r="AC36" s="211" t="s">
        <v>81</v>
      </c>
      <c r="AD36" s="211">
        <v>5</v>
      </c>
      <c r="AE36" s="307">
        <f t="shared" si="38"/>
        <v>15.75</v>
      </c>
      <c r="AF36" s="217">
        <f t="shared" si="39"/>
        <v>22.664175932093801</v>
      </c>
      <c r="AG36" s="221">
        <f t="shared" si="40"/>
        <v>25.517065871312479</v>
      </c>
      <c r="AH36" s="1123">
        <f t="shared" si="47"/>
        <v>0.73431930019983915</v>
      </c>
      <c r="AI36" s="1124">
        <f>SQRT(POWER((H36+Q36+AE36),2)+POWER(P36,2))*POWER(6.3/Z36,2)</f>
        <v>0.82675293423052432</v>
      </c>
      <c r="AJ36" s="261">
        <f t="shared" si="41"/>
        <v>943.66030783888209</v>
      </c>
      <c r="AK36" s="220">
        <f t="shared" si="42"/>
        <v>725.00498659599407</v>
      </c>
      <c r="AL36" s="220">
        <f t="shared" si="43"/>
        <v>604.17082216332847</v>
      </c>
      <c r="AM36" s="220">
        <f t="shared" si="44"/>
        <v>483.33665773066269</v>
      </c>
      <c r="AN36" s="220">
        <f t="shared" si="45"/>
        <v>4959.175791946077</v>
      </c>
      <c r="AO36" s="262">
        <f t="shared" si="46"/>
        <v>3810.0862658948636</v>
      </c>
    </row>
    <row r="37" spans="1:41" ht="12.75" customHeight="1" x14ac:dyDescent="0.2">
      <c r="A37" s="256">
        <v>1</v>
      </c>
      <c r="B37" s="2369" t="s">
        <v>96</v>
      </c>
      <c r="C37" s="2370" t="s">
        <v>341</v>
      </c>
      <c r="D37" s="647">
        <v>3.4</v>
      </c>
      <c r="E37" s="209" t="s">
        <v>35</v>
      </c>
      <c r="F37" s="210" t="s">
        <v>46</v>
      </c>
      <c r="G37" s="2145">
        <f>Мартыновская!G15</f>
        <v>4.9020181386774881</v>
      </c>
      <c r="H37" s="2152">
        <f>Мартыновская!H15</f>
        <v>5.2862861120779669</v>
      </c>
      <c r="I37" s="213"/>
      <c r="J37" s="214">
        <v>8.99</v>
      </c>
      <c r="K37" s="215"/>
      <c r="L37" s="215"/>
      <c r="M37" s="215"/>
      <c r="N37" s="215"/>
      <c r="O37" s="216"/>
      <c r="P37" s="217">
        <f t="shared" si="32"/>
        <v>2.2385100000000002</v>
      </c>
      <c r="Q37" s="219">
        <f t="shared" si="33"/>
        <v>3.5960000000000001</v>
      </c>
      <c r="R37" s="218">
        <f t="shared" si="34"/>
        <v>8.7879030095576045</v>
      </c>
      <c r="S37" s="219">
        <f t="shared" si="35"/>
        <v>9.1600182094203895</v>
      </c>
      <c r="T37" s="220">
        <f t="shared" si="36"/>
        <v>2433.7186259035516</v>
      </c>
      <c r="U37" s="871">
        <f t="shared" si="37"/>
        <v>2019.646640109748</v>
      </c>
      <c r="V37" s="1031">
        <v>1</v>
      </c>
      <c r="W37" s="198" t="s">
        <v>41</v>
      </c>
      <c r="X37" s="1251">
        <v>6.3</v>
      </c>
      <c r="Y37" s="211">
        <v>11</v>
      </c>
      <c r="Z37" s="211">
        <v>35</v>
      </c>
      <c r="AA37" s="211">
        <v>6.3</v>
      </c>
      <c r="AB37" s="1243">
        <v>8.01</v>
      </c>
      <c r="AC37" s="198" t="s">
        <v>162</v>
      </c>
      <c r="AD37" s="211"/>
      <c r="AE37" s="307">
        <f t="shared" si="38"/>
        <v>15.575000000000001</v>
      </c>
      <c r="AF37" s="217">
        <f t="shared" si="39"/>
        <v>24.176871785348808</v>
      </c>
      <c r="AG37" s="221">
        <f t="shared" si="40"/>
        <v>24.559514876889196</v>
      </c>
      <c r="AH37" s="179">
        <f t="shared" si="47"/>
        <v>0.78333064584530132</v>
      </c>
      <c r="AI37" s="180">
        <f t="shared" si="25"/>
        <v>0.79572828201120993</v>
      </c>
      <c r="AJ37" s="261">
        <f t="shared" si="41"/>
        <v>884.61747354572628</v>
      </c>
      <c r="AK37" s="220">
        <f t="shared" si="42"/>
        <v>753.27220805198908</v>
      </c>
      <c r="AL37" s="220">
        <f t="shared" si="43"/>
        <v>627.72684004332427</v>
      </c>
      <c r="AM37" s="220">
        <f t="shared" si="44"/>
        <v>502.18147203465941</v>
      </c>
      <c r="AN37" s="220">
        <f t="shared" si="45"/>
        <v>4648.890626741806</v>
      </c>
      <c r="AO37" s="262">
        <f t="shared" si="46"/>
        <v>3958.6377300029458</v>
      </c>
    </row>
    <row r="38" spans="1:41" ht="12.75" customHeight="1" x14ac:dyDescent="0.2">
      <c r="A38" s="255">
        <v>1</v>
      </c>
      <c r="B38" s="2366"/>
      <c r="C38" s="2368"/>
      <c r="D38" s="675">
        <v>3.4</v>
      </c>
      <c r="E38" s="209" t="s">
        <v>35</v>
      </c>
      <c r="F38" s="210" t="s">
        <v>46</v>
      </c>
      <c r="G38" s="2145">
        <f>Мартыновская!G16</f>
        <v>4.8982573492001933</v>
      </c>
      <c r="H38" s="2152">
        <f>Мартыновская!H16</f>
        <v>5.2312064066132784</v>
      </c>
      <c r="I38" s="213"/>
      <c r="J38" s="214">
        <v>8.99</v>
      </c>
      <c r="K38" s="215"/>
      <c r="L38" s="215"/>
      <c r="M38" s="215"/>
      <c r="N38" s="215"/>
      <c r="O38" s="216"/>
      <c r="P38" s="217">
        <f t="shared" si="32"/>
        <v>2.2385100000000002</v>
      </c>
      <c r="Q38" s="219">
        <f t="shared" si="33"/>
        <v>3.5960000000000001</v>
      </c>
      <c r="R38" s="218">
        <f t="shared" si="34"/>
        <v>8.7842663287574272</v>
      </c>
      <c r="S38" s="219">
        <f t="shared" si="35"/>
        <v>9.1066184703793596</v>
      </c>
      <c r="T38" s="220">
        <f t="shared" si="36"/>
        <v>2434.7261839019793</v>
      </c>
      <c r="U38" s="871">
        <f t="shared" si="37"/>
        <v>2031.4895216236434</v>
      </c>
      <c r="V38" s="1031">
        <v>2</v>
      </c>
      <c r="W38" s="211" t="s">
        <v>41</v>
      </c>
      <c r="X38" s="1251">
        <v>6.3</v>
      </c>
      <c r="Y38" s="211">
        <v>11</v>
      </c>
      <c r="Z38" s="211">
        <v>35</v>
      </c>
      <c r="AA38" s="211">
        <v>6.3</v>
      </c>
      <c r="AB38" s="1243">
        <v>8.01</v>
      </c>
      <c r="AC38" s="211" t="s">
        <v>162</v>
      </c>
      <c r="AD38" s="211"/>
      <c r="AE38" s="307">
        <f t="shared" si="38"/>
        <v>15.575000000000001</v>
      </c>
      <c r="AF38" s="217">
        <f t="shared" si="39"/>
        <v>24.173127153145234</v>
      </c>
      <c r="AG38" s="221">
        <f t="shared" si="40"/>
        <v>24.504664954474649</v>
      </c>
      <c r="AH38" s="179">
        <f t="shared" si="47"/>
        <v>0.78320931976190555</v>
      </c>
      <c r="AI38" s="180">
        <f t="shared" si="25"/>
        <v>0.79395114452497872</v>
      </c>
      <c r="AJ38" s="261">
        <f t="shared" si="41"/>
        <v>884.75450865327775</v>
      </c>
      <c r="AK38" s="220">
        <f t="shared" si="42"/>
        <v>754.95829199745185</v>
      </c>
      <c r="AL38" s="220">
        <f t="shared" si="43"/>
        <v>629.13190999787662</v>
      </c>
      <c r="AM38" s="220">
        <f t="shared" si="44"/>
        <v>503.30552799830122</v>
      </c>
      <c r="AN38" s="220">
        <f t="shared" si="45"/>
        <v>4649.6107812109194</v>
      </c>
      <c r="AO38" s="262">
        <f t="shared" si="46"/>
        <v>3967.4985315181407</v>
      </c>
    </row>
    <row r="39" spans="1:41" ht="12.75" customHeight="1" x14ac:dyDescent="0.2">
      <c r="A39" s="409">
        <v>1</v>
      </c>
      <c r="B39" s="2365" t="s">
        <v>79</v>
      </c>
      <c r="C39" s="2373" t="s">
        <v>43</v>
      </c>
      <c r="D39" s="647">
        <v>5.6</v>
      </c>
      <c r="E39" s="197" t="s">
        <v>35</v>
      </c>
      <c r="F39" s="656" t="s">
        <v>53</v>
      </c>
      <c r="G39" s="976">
        <v>2.5499999999999998</v>
      </c>
      <c r="H39" s="636">
        <v>5.42</v>
      </c>
      <c r="I39" s="200"/>
      <c r="J39" s="201">
        <v>15.33</v>
      </c>
      <c r="K39" s="202"/>
      <c r="L39" s="202"/>
      <c r="M39" s="202"/>
      <c r="N39" s="202"/>
      <c r="O39" s="203"/>
      <c r="P39" s="338">
        <f t="shared" si="27"/>
        <v>3.81717</v>
      </c>
      <c r="Q39" s="206">
        <f t="shared" si="28"/>
        <v>6.1320000000000006</v>
      </c>
      <c r="R39" s="205">
        <f t="shared" si="34"/>
        <v>9.4840872417381323</v>
      </c>
      <c r="S39" s="206">
        <f t="shared" si="1"/>
        <v>12.166326101535336</v>
      </c>
      <c r="T39" s="207">
        <f t="shared" si="36"/>
        <v>2255.070276333161</v>
      </c>
      <c r="U39" s="1018">
        <f t="shared" si="7"/>
        <v>1520.5905090498422</v>
      </c>
      <c r="V39" s="1030">
        <v>1</v>
      </c>
      <c r="W39" s="198" t="s">
        <v>80</v>
      </c>
      <c r="X39" s="1252">
        <v>4</v>
      </c>
      <c r="Y39" s="198">
        <v>11</v>
      </c>
      <c r="Z39" s="198">
        <v>35</v>
      </c>
      <c r="AA39" s="198">
        <v>6.3</v>
      </c>
      <c r="AB39" s="1244">
        <v>6.23</v>
      </c>
      <c r="AC39" s="198" t="s">
        <v>81</v>
      </c>
      <c r="AD39" s="198">
        <v>5</v>
      </c>
      <c r="AE39" s="340">
        <f t="shared" si="29"/>
        <v>19.079374999999999</v>
      </c>
      <c r="AF39" s="204">
        <f t="shared" si="39"/>
        <v>28.022575340241751</v>
      </c>
      <c r="AG39" s="340">
        <f t="shared" si="3"/>
        <v>30.868299616265308</v>
      </c>
      <c r="AH39" s="179">
        <f t="shared" si="47"/>
        <v>0.90793144102383272</v>
      </c>
      <c r="AI39" s="180">
        <f t="shared" si="25"/>
        <v>1.000132907566996</v>
      </c>
      <c r="AJ39" s="259">
        <f t="shared" si="41"/>
        <v>763.21619184947156</v>
      </c>
      <c r="AK39" s="207">
        <f t="shared" si="9"/>
        <v>599.32034579098979</v>
      </c>
      <c r="AL39" s="207">
        <f t="shared" si="30"/>
        <v>499.43362149249151</v>
      </c>
      <c r="AM39" s="207">
        <f t="shared" si="31"/>
        <v>399.54689719399317</v>
      </c>
      <c r="AN39" s="207">
        <f t="shared" si="26"/>
        <v>4010.8959031128388</v>
      </c>
      <c r="AO39" s="260">
        <f t="shared" si="10"/>
        <v>3149.5813967994955</v>
      </c>
    </row>
    <row r="40" spans="1:41" ht="12.75" customHeight="1" x14ac:dyDescent="0.2">
      <c r="A40" s="256">
        <v>1</v>
      </c>
      <c r="B40" s="2366"/>
      <c r="C40" s="2372"/>
      <c r="D40" s="675">
        <v>5.6</v>
      </c>
      <c r="E40" s="209" t="s">
        <v>35</v>
      </c>
      <c r="F40" s="210" t="s">
        <v>53</v>
      </c>
      <c r="G40" s="308">
        <v>2.5499999999999998</v>
      </c>
      <c r="H40" s="634">
        <v>5.42</v>
      </c>
      <c r="I40" s="213"/>
      <c r="J40" s="214">
        <v>15.33</v>
      </c>
      <c r="K40" s="215"/>
      <c r="L40" s="215"/>
      <c r="M40" s="215"/>
      <c r="N40" s="215"/>
      <c r="O40" s="216"/>
      <c r="P40" s="305">
        <f t="shared" si="27"/>
        <v>3.81717</v>
      </c>
      <c r="Q40" s="219">
        <f t="shared" si="28"/>
        <v>6.1320000000000006</v>
      </c>
      <c r="R40" s="218">
        <f t="shared" si="34"/>
        <v>9.4840872417381323</v>
      </c>
      <c r="S40" s="219">
        <f t="shared" si="1"/>
        <v>12.166326101535336</v>
      </c>
      <c r="T40" s="220">
        <f t="shared" si="36"/>
        <v>2255.070276333161</v>
      </c>
      <c r="U40" s="871">
        <f t="shared" si="7"/>
        <v>1520.5905090498422</v>
      </c>
      <c r="V40" s="1031">
        <v>2</v>
      </c>
      <c r="W40" s="211" t="s">
        <v>80</v>
      </c>
      <c r="X40" s="1251">
        <v>4</v>
      </c>
      <c r="Y40" s="211">
        <v>11</v>
      </c>
      <c r="Z40" s="211">
        <v>35</v>
      </c>
      <c r="AA40" s="211">
        <v>6.3</v>
      </c>
      <c r="AB40" s="1243">
        <v>6.23</v>
      </c>
      <c r="AC40" s="211" t="s">
        <v>81</v>
      </c>
      <c r="AD40" s="211">
        <v>5</v>
      </c>
      <c r="AE40" s="307">
        <f t="shared" si="29"/>
        <v>19.079374999999999</v>
      </c>
      <c r="AF40" s="217">
        <f t="shared" si="39"/>
        <v>28.022575340241751</v>
      </c>
      <c r="AG40" s="307">
        <f t="shared" si="3"/>
        <v>30.868299616265308</v>
      </c>
      <c r="AH40" s="179">
        <f t="shared" si="47"/>
        <v>0.90793144102383272</v>
      </c>
      <c r="AI40" s="180">
        <f t="shared" si="25"/>
        <v>1.000132907566996</v>
      </c>
      <c r="AJ40" s="261">
        <f t="shared" si="41"/>
        <v>763.21619184947156</v>
      </c>
      <c r="AK40" s="220">
        <f t="shared" si="9"/>
        <v>599.32034579098979</v>
      </c>
      <c r="AL40" s="220">
        <f t="shared" si="30"/>
        <v>499.43362149249151</v>
      </c>
      <c r="AM40" s="220">
        <f t="shared" si="31"/>
        <v>399.54689719399317</v>
      </c>
      <c r="AN40" s="220">
        <f t="shared" si="26"/>
        <v>4010.8959031128388</v>
      </c>
      <c r="AO40" s="262">
        <f t="shared" si="10"/>
        <v>3149.5813967994955</v>
      </c>
    </row>
    <row r="41" spans="1:41" ht="12.75" customHeight="1" x14ac:dyDescent="0.2">
      <c r="A41" s="256">
        <v>1</v>
      </c>
      <c r="B41" s="2369" t="s">
        <v>86</v>
      </c>
      <c r="C41" s="2371" t="s">
        <v>43</v>
      </c>
      <c r="D41" s="675">
        <v>5.6</v>
      </c>
      <c r="E41" s="209" t="s">
        <v>35</v>
      </c>
      <c r="F41" s="210" t="s">
        <v>53</v>
      </c>
      <c r="G41" s="308">
        <v>2.5499999999999998</v>
      </c>
      <c r="H41" s="634">
        <v>5.42</v>
      </c>
      <c r="I41" s="213"/>
      <c r="J41" s="214">
        <v>22.83</v>
      </c>
      <c r="K41" s="215"/>
      <c r="L41" s="215"/>
      <c r="M41" s="215"/>
      <c r="N41" s="215"/>
      <c r="O41" s="216"/>
      <c r="P41" s="305">
        <f t="shared" si="27"/>
        <v>5.6846699999999997</v>
      </c>
      <c r="Q41" s="219">
        <f t="shared" si="28"/>
        <v>9.1319999999999997</v>
      </c>
      <c r="R41" s="218">
        <f t="shared" si="34"/>
        <v>12.991712628014058</v>
      </c>
      <c r="S41" s="219">
        <f t="shared" si="1"/>
        <v>15.622937528163517</v>
      </c>
      <c r="T41" s="220">
        <f t="shared" si="36"/>
        <v>1646.2250858964333</v>
      </c>
      <c r="U41" s="871">
        <f t="shared" si="7"/>
        <v>1184.1563064980573</v>
      </c>
      <c r="V41" s="1031">
        <v>1</v>
      </c>
      <c r="W41" s="211" t="s">
        <v>41</v>
      </c>
      <c r="X41" s="1251">
        <v>6.3</v>
      </c>
      <c r="Y41" s="211">
        <v>11</v>
      </c>
      <c r="Z41" s="211">
        <v>35</v>
      </c>
      <c r="AA41" s="211">
        <v>6.3</v>
      </c>
      <c r="AB41" s="1243">
        <v>7.66</v>
      </c>
      <c r="AC41" s="211" t="s">
        <v>162</v>
      </c>
      <c r="AD41" s="211">
        <v>5</v>
      </c>
      <c r="AE41" s="307">
        <f t="shared" si="29"/>
        <v>14.894444444444446</v>
      </c>
      <c r="AF41" s="217">
        <f t="shared" si="39"/>
        <v>27.177617119930545</v>
      </c>
      <c r="AG41" s="307">
        <f t="shared" si="3"/>
        <v>29.990141103846994</v>
      </c>
      <c r="AH41" s="179">
        <f t="shared" si="47"/>
        <v>0.8805547946857496</v>
      </c>
      <c r="AI41" s="180">
        <f t="shared" si="25"/>
        <v>0.97168057176464262</v>
      </c>
      <c r="AJ41" s="261">
        <f t="shared" si="41"/>
        <v>786.94475467129826</v>
      </c>
      <c r="AK41" s="220">
        <f t="shared" si="9"/>
        <v>616.86938837466516</v>
      </c>
      <c r="AL41" s="220">
        <f t="shared" si="30"/>
        <v>514.05782364555432</v>
      </c>
      <c r="AM41" s="220">
        <f t="shared" si="31"/>
        <v>411.24625891644342</v>
      </c>
      <c r="AN41" s="220">
        <f t="shared" si="26"/>
        <v>4135.595557581898</v>
      </c>
      <c r="AO41" s="262">
        <f t="shared" si="10"/>
        <v>3241.8060950620538</v>
      </c>
    </row>
    <row r="42" spans="1:41" ht="12.75" customHeight="1" x14ac:dyDescent="0.2">
      <c r="A42" s="256">
        <v>1</v>
      </c>
      <c r="B42" s="2366"/>
      <c r="C42" s="2372"/>
      <c r="D42" s="675">
        <v>5.6</v>
      </c>
      <c r="E42" s="209" t="s">
        <v>35</v>
      </c>
      <c r="F42" s="210" t="s">
        <v>53</v>
      </c>
      <c r="G42" s="308">
        <v>2.5499999999999998</v>
      </c>
      <c r="H42" s="634">
        <v>5.42</v>
      </c>
      <c r="I42" s="213"/>
      <c r="J42" s="214">
        <v>22.83</v>
      </c>
      <c r="K42" s="215"/>
      <c r="L42" s="215"/>
      <c r="M42" s="215"/>
      <c r="N42" s="215"/>
      <c r="O42" s="216"/>
      <c r="P42" s="305">
        <f t="shared" si="27"/>
        <v>5.6846699999999997</v>
      </c>
      <c r="Q42" s="219">
        <f t="shared" si="28"/>
        <v>9.1319999999999997</v>
      </c>
      <c r="R42" s="218">
        <f t="shared" si="34"/>
        <v>12.991712628014058</v>
      </c>
      <c r="S42" s="219">
        <f t="shared" si="1"/>
        <v>15.622937528163517</v>
      </c>
      <c r="T42" s="220">
        <f t="shared" si="36"/>
        <v>1646.2250858964333</v>
      </c>
      <c r="U42" s="871">
        <f t="shared" si="7"/>
        <v>1184.1563064980573</v>
      </c>
      <c r="V42" s="1031">
        <v>2</v>
      </c>
      <c r="W42" s="211" t="s">
        <v>41</v>
      </c>
      <c r="X42" s="1251">
        <v>6.3</v>
      </c>
      <c r="Y42" s="211">
        <v>11</v>
      </c>
      <c r="Z42" s="211">
        <v>35</v>
      </c>
      <c r="AA42" s="211">
        <v>6.3</v>
      </c>
      <c r="AB42" s="1243">
        <v>7.61</v>
      </c>
      <c r="AC42" s="211" t="s">
        <v>162</v>
      </c>
      <c r="AD42" s="211">
        <v>5</v>
      </c>
      <c r="AE42" s="307">
        <f t="shared" si="29"/>
        <v>14.797222222222222</v>
      </c>
      <c r="AF42" s="217">
        <f t="shared" si="39"/>
        <v>27.082553101632186</v>
      </c>
      <c r="AG42" s="307">
        <f t="shared" si="3"/>
        <v>29.894687120929746</v>
      </c>
      <c r="AH42" s="179">
        <f t="shared" si="47"/>
        <v>0.87747472049288278</v>
      </c>
      <c r="AI42" s="180">
        <f t="shared" si="25"/>
        <v>0.96858786271812369</v>
      </c>
      <c r="AJ42" s="261">
        <f t="shared" si="41"/>
        <v>789.70705445437761</v>
      </c>
      <c r="AK42" s="220">
        <f t="shared" si="9"/>
        <v>618.83905742729303</v>
      </c>
      <c r="AL42" s="220">
        <f t="shared" si="30"/>
        <v>515.69921452274423</v>
      </c>
      <c r="AM42" s="220">
        <f t="shared" si="31"/>
        <v>412.55937161819537</v>
      </c>
      <c r="AN42" s="220">
        <f t="shared" si="26"/>
        <v>4150.112148033516</v>
      </c>
      <c r="AO42" s="262">
        <f t="shared" si="10"/>
        <v>3252.1572087019904</v>
      </c>
    </row>
    <row r="43" spans="1:41" ht="12.75" customHeight="1" x14ac:dyDescent="0.2">
      <c r="A43" s="256">
        <v>1</v>
      </c>
      <c r="B43" s="2369" t="s">
        <v>171</v>
      </c>
      <c r="C43" s="2371" t="s">
        <v>342</v>
      </c>
      <c r="D43" s="675">
        <v>4.5999999999999996</v>
      </c>
      <c r="E43" s="209" t="s">
        <v>35</v>
      </c>
      <c r="F43" s="210" t="s">
        <v>49</v>
      </c>
      <c r="G43" s="308">
        <v>4.13</v>
      </c>
      <c r="H43" s="634">
        <v>6.96</v>
      </c>
      <c r="I43" s="213"/>
      <c r="J43" s="214">
        <v>15.75</v>
      </c>
      <c r="K43" s="215">
        <v>0.08</v>
      </c>
      <c r="L43" s="215"/>
      <c r="M43" s="215"/>
      <c r="N43" s="215"/>
      <c r="O43" s="216"/>
      <c r="P43" s="305">
        <f>0.314*I43+0.249*J43+0.37*K43+0.195*M43+0.159*N43+0.06*O43</f>
        <v>3.9513499999999997</v>
      </c>
      <c r="Q43" s="217">
        <f>0.4*I43+0.4*J43+0.083*K43+0.4*M43+0.4*N43+0.4*O43</f>
        <v>6.3066400000000007</v>
      </c>
      <c r="R43" s="218">
        <f t="shared" si="34"/>
        <v>11.15959772178639</v>
      </c>
      <c r="S43" s="219">
        <f t="shared" si="1"/>
        <v>13.842575761472286</v>
      </c>
      <c r="T43" s="220">
        <f t="shared" si="36"/>
        <v>1916.4923118367224</v>
      </c>
      <c r="U43" s="871">
        <f t="shared" si="7"/>
        <v>1336.4564744872564</v>
      </c>
      <c r="V43" s="1031">
        <v>1</v>
      </c>
      <c r="W43" s="211" t="s">
        <v>188</v>
      </c>
      <c r="X43" s="1251">
        <v>4</v>
      </c>
      <c r="Y43" s="211">
        <v>11</v>
      </c>
      <c r="Z43" s="211">
        <v>35</v>
      </c>
      <c r="AA43" s="211">
        <v>6.3</v>
      </c>
      <c r="AB43" s="1243">
        <v>7.6</v>
      </c>
      <c r="AC43" s="211" t="s">
        <v>81</v>
      </c>
      <c r="AD43" s="211">
        <v>10</v>
      </c>
      <c r="AE43" s="307">
        <f t="shared" ref="AE43:AE48" si="48">AB43/100*Z43*Z43/X43</f>
        <v>23.275000000000002</v>
      </c>
      <c r="AF43" s="217">
        <f t="shared" si="39"/>
        <v>33.942419452833654</v>
      </c>
      <c r="AG43" s="307">
        <f t="shared" si="3"/>
        <v>36.754654408824194</v>
      </c>
      <c r="AH43" s="179">
        <f t="shared" si="47"/>
        <v>1.0997343902718104</v>
      </c>
      <c r="AI43" s="180">
        <f t="shared" si="25"/>
        <v>1.1908508028459039</v>
      </c>
      <c r="AJ43" s="261">
        <f t="shared" si="41"/>
        <v>630.10485350680324</v>
      </c>
      <c r="AK43" s="220">
        <f t="shared" si="9"/>
        <v>503.33761254352731</v>
      </c>
      <c r="AL43" s="220">
        <f t="shared" ref="AL43:AL48" si="49">AK43/1.2</f>
        <v>419.44801045293946</v>
      </c>
      <c r="AM43" s="220">
        <f t="shared" ref="AM43:AM48" si="50">AK43/1.5</f>
        <v>335.55840836235154</v>
      </c>
      <c r="AN43" s="220">
        <f t="shared" si="26"/>
        <v>3311.3618427534707</v>
      </c>
      <c r="AO43" s="262">
        <f t="shared" si="10"/>
        <v>2645.1676334870053</v>
      </c>
    </row>
    <row r="44" spans="1:41" ht="12.75" customHeight="1" thickBot="1" x14ac:dyDescent="0.25">
      <c r="A44" s="258">
        <v>1</v>
      </c>
      <c r="B44" s="2381"/>
      <c r="C44" s="2382"/>
      <c r="D44" s="676">
        <v>4.5999999999999996</v>
      </c>
      <c r="E44" s="239" t="s">
        <v>35</v>
      </c>
      <c r="F44" s="240" t="s">
        <v>49</v>
      </c>
      <c r="G44" s="638">
        <v>4.13</v>
      </c>
      <c r="H44" s="639">
        <v>6.96</v>
      </c>
      <c r="I44" s="242"/>
      <c r="J44" s="243">
        <v>15.75</v>
      </c>
      <c r="K44" s="244">
        <v>0.08</v>
      </c>
      <c r="L44" s="244"/>
      <c r="M44" s="244"/>
      <c r="N44" s="244"/>
      <c r="O44" s="249"/>
      <c r="P44" s="245">
        <f>0.314*I44+0.249*J44+0.37*K44+0.195*M44+0.159*N44+0.06*O44</f>
        <v>3.9513499999999997</v>
      </c>
      <c r="Q44" s="250">
        <f>0.4*I44+0.4*J44+0.083*K44+0.4*M44+0.4*N44+0.4*O44</f>
        <v>6.3066400000000007</v>
      </c>
      <c r="R44" s="246">
        <f t="shared" si="34"/>
        <v>11.15959772178639</v>
      </c>
      <c r="S44" s="247">
        <f t="shared" si="1"/>
        <v>13.842575761472286</v>
      </c>
      <c r="T44" s="248">
        <f t="shared" si="36"/>
        <v>1916.4923118367224</v>
      </c>
      <c r="U44" s="399">
        <f>37000/2/SQRT(P44*P44+POWER((H44+Q44),2))</f>
        <v>1336.4564744872564</v>
      </c>
      <c r="V44" s="1032">
        <v>2</v>
      </c>
      <c r="W44" s="241" t="s">
        <v>188</v>
      </c>
      <c r="X44" s="1253">
        <v>4</v>
      </c>
      <c r="Y44" s="241">
        <v>11</v>
      </c>
      <c r="Z44" s="241">
        <v>35</v>
      </c>
      <c r="AA44" s="241">
        <v>6.3</v>
      </c>
      <c r="AB44" s="1245">
        <v>7.69</v>
      </c>
      <c r="AC44" s="241" t="s">
        <v>81</v>
      </c>
      <c r="AD44" s="241">
        <v>10</v>
      </c>
      <c r="AE44" s="317">
        <f t="shared" si="48"/>
        <v>23.550625000000004</v>
      </c>
      <c r="AF44" s="250">
        <f t="shared" si="39"/>
        <v>34.216185482936659</v>
      </c>
      <c r="AG44" s="317">
        <f t="shared" si="3"/>
        <v>37.028693858988944</v>
      </c>
      <c r="AH44" s="407">
        <f t="shared" si="47"/>
        <v>1.1086044096471477</v>
      </c>
      <c r="AI44" s="408">
        <f t="shared" si="25"/>
        <v>1.1997296810312417</v>
      </c>
      <c r="AJ44" s="267">
        <f t="shared" si="41"/>
        <v>625.06334166501074</v>
      </c>
      <c r="AK44" s="248">
        <f t="shared" si="9"/>
        <v>499.61254562342634</v>
      </c>
      <c r="AL44" s="248">
        <f t="shared" si="49"/>
        <v>416.34378801952198</v>
      </c>
      <c r="AM44" s="248">
        <f t="shared" si="50"/>
        <v>333.07503041561756</v>
      </c>
      <c r="AN44" s="248">
        <f t="shared" si="26"/>
        <v>3284.8674111524592</v>
      </c>
      <c r="AO44" s="268">
        <f t="shared" si="10"/>
        <v>2625.5914559789676</v>
      </c>
    </row>
    <row r="45" spans="1:41" ht="12.75" customHeight="1" x14ac:dyDescent="0.2">
      <c r="A45" s="418">
        <v>1</v>
      </c>
      <c r="B45" s="2383" t="s">
        <v>96</v>
      </c>
      <c r="C45" s="2385" t="s">
        <v>341</v>
      </c>
      <c r="D45" s="652">
        <v>2.2999999999999998</v>
      </c>
      <c r="E45" s="419" t="s">
        <v>35</v>
      </c>
      <c r="F45" s="420" t="s">
        <v>197</v>
      </c>
      <c r="G45" s="771">
        <v>6.3479999999999999</v>
      </c>
      <c r="H45" s="817">
        <v>6.79</v>
      </c>
      <c r="I45" s="423"/>
      <c r="J45" s="424">
        <v>6.19</v>
      </c>
      <c r="K45" s="425"/>
      <c r="L45" s="425">
        <v>0.6</v>
      </c>
      <c r="M45" s="425"/>
      <c r="N45" s="425"/>
      <c r="O45" s="426"/>
      <c r="P45" s="427">
        <f>0.314*I45+0.249*J45+0.025*L45+0.195*M45+0.159*N45+0.06*O45</f>
        <v>1.5563100000000001</v>
      </c>
      <c r="Q45" s="429">
        <f>0.4*J45+0.04725*L45</f>
        <v>2.5043500000000005</v>
      </c>
      <c r="R45" s="428">
        <f t="shared" si="34"/>
        <v>8.9881144484591449</v>
      </c>
      <c r="S45" s="429">
        <f>SQRT(POWER(P45,2)+POWER(Q45+H45,2))</f>
        <v>9.4237488686085022</v>
      </c>
      <c r="T45" s="430">
        <f t="shared" si="36"/>
        <v>2379.5072214129063</v>
      </c>
      <c r="U45" s="1019">
        <f>37000/2/SQRT(P45*P45+POWER((H45+Q45),2))</f>
        <v>1963.125318590083</v>
      </c>
      <c r="V45" s="1033">
        <v>1</v>
      </c>
      <c r="W45" s="421" t="s">
        <v>41</v>
      </c>
      <c r="X45" s="1250">
        <v>6.3</v>
      </c>
      <c r="Y45" s="421">
        <v>11</v>
      </c>
      <c r="Z45" s="421">
        <v>35</v>
      </c>
      <c r="AA45" s="421">
        <v>6.3</v>
      </c>
      <c r="AB45" s="1242">
        <v>8.01</v>
      </c>
      <c r="AC45" s="421" t="s">
        <v>162</v>
      </c>
      <c r="AD45" s="421"/>
      <c r="AE45" s="525">
        <f t="shared" si="48"/>
        <v>15.575000000000001</v>
      </c>
      <c r="AF45" s="1022">
        <f t="shared" si="39"/>
        <v>24.476877432356442</v>
      </c>
      <c r="AG45" s="532">
        <f>SQRT(POWER(P45,2)+POWER(Q45+AE45+H45,2))</f>
        <v>24.917998921233625</v>
      </c>
      <c r="AH45" s="179">
        <f t="shared" si="47"/>
        <v>0.79305082880834865</v>
      </c>
      <c r="AI45" s="180">
        <f>SQRT(POWER((H45+Q45+AE45),2)+POWER(P45,2))*POWER(6.3/Z45,2)</f>
        <v>0.80734316504796955</v>
      </c>
      <c r="AJ45" s="447">
        <f t="shared" si="41"/>
        <v>873.77498604956713</v>
      </c>
      <c r="AK45" s="448">
        <f>37000/2/SQRT(POWER((H45+Q45+AE45),2)+P45*P45)</f>
        <v>742.4352195567119</v>
      </c>
      <c r="AL45" s="448">
        <f t="shared" si="49"/>
        <v>618.69601629725992</v>
      </c>
      <c r="AM45" s="448">
        <f t="shared" si="50"/>
        <v>494.95681303780793</v>
      </c>
      <c r="AN45" s="448">
        <f>6300/(1.73*AH45)</f>
        <v>4591.9105873475764</v>
      </c>
      <c r="AO45" s="449">
        <f>SUM(6300/(2*AI45))</f>
        <v>3901.6865892619999</v>
      </c>
    </row>
    <row r="46" spans="1:41" ht="12.75" customHeight="1" thickBot="1" x14ac:dyDescent="0.25">
      <c r="A46" s="432">
        <v>1</v>
      </c>
      <c r="B46" s="2384"/>
      <c r="C46" s="2386"/>
      <c r="D46" s="433">
        <v>2.2999999999999998</v>
      </c>
      <c r="E46" s="434" t="s">
        <v>35</v>
      </c>
      <c r="F46" s="435" t="s">
        <v>197</v>
      </c>
      <c r="G46" s="788">
        <v>6.3479999999999999</v>
      </c>
      <c r="H46" s="818">
        <v>6.79</v>
      </c>
      <c r="I46" s="438"/>
      <c r="J46" s="439">
        <v>6.19</v>
      </c>
      <c r="K46" s="440"/>
      <c r="L46" s="440">
        <v>0.6</v>
      </c>
      <c r="M46" s="440"/>
      <c r="N46" s="440"/>
      <c r="O46" s="441"/>
      <c r="P46" s="442">
        <f>0.314*I46+0.249*J46+0.025*L46+0.195*M46+0.159*N46+0.06*O46</f>
        <v>1.5563100000000001</v>
      </c>
      <c r="Q46" s="444">
        <f>0.4*J46+0.04725*L46</f>
        <v>2.5043500000000005</v>
      </c>
      <c r="R46" s="443">
        <f t="shared" si="34"/>
        <v>8.9881144484591449</v>
      </c>
      <c r="S46" s="444">
        <f>SQRT(POWER(P46,2)+POWER(Q46+H46,2))</f>
        <v>9.4237488686085022</v>
      </c>
      <c r="T46" s="445">
        <f t="shared" si="36"/>
        <v>2379.5072214129063</v>
      </c>
      <c r="U46" s="484">
        <f>37000/2/SQRT(P46*P46+POWER((H46+Q46),2))</f>
        <v>1963.125318590083</v>
      </c>
      <c r="V46" s="1034">
        <v>2</v>
      </c>
      <c r="W46" s="436" t="s">
        <v>41</v>
      </c>
      <c r="X46" s="1253">
        <v>6.3</v>
      </c>
      <c r="Y46" s="436">
        <v>11</v>
      </c>
      <c r="Z46" s="436">
        <v>35</v>
      </c>
      <c r="AA46" s="436">
        <v>6.3</v>
      </c>
      <c r="AB46" s="1245">
        <v>8.01</v>
      </c>
      <c r="AC46" s="436" t="s">
        <v>162</v>
      </c>
      <c r="AD46" s="436"/>
      <c r="AE46" s="527">
        <f t="shared" si="48"/>
        <v>15.575000000000001</v>
      </c>
      <c r="AF46" s="1023">
        <f t="shared" si="39"/>
        <v>24.476877432356442</v>
      </c>
      <c r="AG46" s="527">
        <f>SQRT(POWER(P46,2)+POWER(Q46+AE46+H46,2))</f>
        <v>24.917998921233625</v>
      </c>
      <c r="AH46" s="405">
        <f t="shared" si="47"/>
        <v>0.79305082880834865</v>
      </c>
      <c r="AI46" s="406">
        <f>SQRT(POWER((H46+Q46+AE46),2)+POWER(P46,2))*POWER(6.3/Z46,2)</f>
        <v>0.80734316504796955</v>
      </c>
      <c r="AJ46" s="450">
        <f t="shared" si="41"/>
        <v>873.77498604956713</v>
      </c>
      <c r="AK46" s="445">
        <f>37000/2/SQRT(POWER((H46+Q46+AE46),2)+P46*P46)</f>
        <v>742.4352195567119</v>
      </c>
      <c r="AL46" s="445">
        <f t="shared" si="49"/>
        <v>618.69601629725992</v>
      </c>
      <c r="AM46" s="445">
        <f t="shared" si="50"/>
        <v>494.95681303780793</v>
      </c>
      <c r="AN46" s="445">
        <f>6300/(1.73*AH46)</f>
        <v>4591.9105873475764</v>
      </c>
      <c r="AO46" s="451">
        <f>SUM(6300/(2*AI46))</f>
        <v>3901.6865892619999</v>
      </c>
    </row>
    <row r="47" spans="1:41" ht="12.75" customHeight="1" x14ac:dyDescent="0.2">
      <c r="A47" s="571">
        <v>1</v>
      </c>
      <c r="B47" s="2374" t="s">
        <v>96</v>
      </c>
      <c r="C47" s="2376" t="s">
        <v>341</v>
      </c>
      <c r="D47" s="712">
        <v>2.2999999999999998</v>
      </c>
      <c r="E47" s="572" t="s">
        <v>35</v>
      </c>
      <c r="F47" s="752" t="s">
        <v>100</v>
      </c>
      <c r="G47" s="2137">
        <f>'СР6 перевод на Баграс'!G5</f>
        <v>8.2869415032183689</v>
      </c>
      <c r="H47" s="2138">
        <f>'СР6 перевод на Баграс'!H5</f>
        <v>9.0895455227238635</v>
      </c>
      <c r="I47" s="574"/>
      <c r="J47" s="575">
        <v>13.95</v>
      </c>
      <c r="K47" s="576"/>
      <c r="L47" s="576"/>
      <c r="M47" s="576"/>
      <c r="N47" s="576"/>
      <c r="O47" s="577"/>
      <c r="P47" s="578">
        <f>0.314*I47+0.249*J47+0.195*M47+0.159*N47+0.06*O47</f>
        <v>3.4735499999999999</v>
      </c>
      <c r="Q47" s="581">
        <f>0.4*SUM(I47:O47)</f>
        <v>5.58</v>
      </c>
      <c r="R47" s="580">
        <f t="shared" si="34"/>
        <v>14.295370448371742</v>
      </c>
      <c r="S47" s="581">
        <f>SQRT(POWER(P47,2)+POWER(Q47+H47,2))</f>
        <v>15.075182103237353</v>
      </c>
      <c r="T47" s="582">
        <f t="shared" si="36"/>
        <v>1496.0985666118399</v>
      </c>
      <c r="U47" s="1020">
        <f>37000/2/SQRT(P47*P47+POWER((H47+Q47),2))</f>
        <v>1227.182522460354</v>
      </c>
      <c r="V47" s="1035">
        <v>1</v>
      </c>
      <c r="W47" s="579" t="s">
        <v>41</v>
      </c>
      <c r="X47" s="1250">
        <v>6.3</v>
      </c>
      <c r="Y47" s="579">
        <v>11</v>
      </c>
      <c r="Z47" s="579">
        <v>35</v>
      </c>
      <c r="AA47" s="579">
        <v>6.3</v>
      </c>
      <c r="AB47" s="1242">
        <v>8.01</v>
      </c>
      <c r="AC47" s="579" t="s">
        <v>162</v>
      </c>
      <c r="AD47" s="579"/>
      <c r="AE47" s="583">
        <f t="shared" si="48"/>
        <v>15.575000000000001</v>
      </c>
      <c r="AF47" s="907">
        <f t="shared" si="39"/>
        <v>29.646137506957501</v>
      </c>
      <c r="AG47" s="583">
        <f>SQRT(POWER(P47,2)+POWER(Q47+AE47+H47,2))</f>
        <v>30.443358610354018</v>
      </c>
      <c r="AH47" s="139">
        <f t="shared" si="47"/>
        <v>0.96053485522542303</v>
      </c>
      <c r="AI47" s="140">
        <f>SQRT(POWER((H47+Q47+AE47),2)+POWER(P47,2))*POWER(6.3/Z47,2)</f>
        <v>0.98636481897547013</v>
      </c>
      <c r="AJ47" s="598">
        <f t="shared" si="41"/>
        <v>721.41887731496035</v>
      </c>
      <c r="AK47" s="599">
        <f>37000/2/SQRT(POWER((H47+Q47+AE47),2)+P47*P47)</f>
        <v>607.68590735281123</v>
      </c>
      <c r="AL47" s="599">
        <f t="shared" si="49"/>
        <v>506.40492279400939</v>
      </c>
      <c r="AM47" s="599">
        <f t="shared" si="50"/>
        <v>405.1239382352075</v>
      </c>
      <c r="AN47" s="599">
        <f>6300/(1.73*AH47)</f>
        <v>3791.2403462497919</v>
      </c>
      <c r="AO47" s="600">
        <f>SUM(6300/(2*AI47))</f>
        <v>3193.5445581604195</v>
      </c>
    </row>
    <row r="48" spans="1:41" ht="12.75" customHeight="1" thickBot="1" x14ac:dyDescent="0.25">
      <c r="A48" s="584">
        <v>1</v>
      </c>
      <c r="B48" s="2375"/>
      <c r="C48" s="2377"/>
      <c r="D48" s="585">
        <v>2.2999999999999998</v>
      </c>
      <c r="E48" s="586" t="s">
        <v>35</v>
      </c>
      <c r="F48" s="587" t="s">
        <v>100</v>
      </c>
      <c r="G48" s="2139">
        <f>'СР6 перевод на Баграс'!G6</f>
        <v>8.2967555031037516</v>
      </c>
      <c r="H48" s="2140">
        <f>'СР6 перевод на Баграс'!H6</f>
        <v>9.1031996394772428</v>
      </c>
      <c r="I48" s="589"/>
      <c r="J48" s="590">
        <v>13.95</v>
      </c>
      <c r="K48" s="591"/>
      <c r="L48" s="591"/>
      <c r="M48" s="591"/>
      <c r="N48" s="591"/>
      <c r="O48" s="592"/>
      <c r="P48" s="593">
        <f>0.314*I48+0.249*J48+0.195*M48+0.159*N48+0.06*O48</f>
        <v>3.4735499999999999</v>
      </c>
      <c r="Q48" s="595">
        <f>0.4*SUM(I48:O48)</f>
        <v>5.58</v>
      </c>
      <c r="R48" s="594">
        <f t="shared" si="34"/>
        <v>14.304890523713219</v>
      </c>
      <c r="S48" s="595">
        <f>SQRT(POWER(P48,2)+POWER(Q48+H48,2))</f>
        <v>15.088469148831654</v>
      </c>
      <c r="T48" s="596">
        <f t="shared" si="36"/>
        <v>1495.1028951630574</v>
      </c>
      <c r="U48" s="733">
        <f>37000/2/SQRT(P48*P48+POWER((H48+Q48),2))</f>
        <v>1226.1018541720325</v>
      </c>
      <c r="V48" s="1036">
        <v>2</v>
      </c>
      <c r="W48" s="588" t="s">
        <v>41</v>
      </c>
      <c r="X48" s="1253">
        <v>6.3</v>
      </c>
      <c r="Y48" s="588">
        <v>11</v>
      </c>
      <c r="Z48" s="588">
        <v>35</v>
      </c>
      <c r="AA48" s="588">
        <v>6.3</v>
      </c>
      <c r="AB48" s="1245">
        <v>8.01</v>
      </c>
      <c r="AC48" s="588" t="s">
        <v>162</v>
      </c>
      <c r="AD48" s="588"/>
      <c r="AE48" s="597">
        <f t="shared" si="48"/>
        <v>15.575000000000001</v>
      </c>
      <c r="AF48" s="1024">
        <f t="shared" si="39"/>
        <v>29.655883932486354</v>
      </c>
      <c r="AG48" s="597">
        <f>SQRT(POWER(P48,2)+POWER(Q48+AE48+H48,2))</f>
        <v>30.456923597516557</v>
      </c>
      <c r="AH48" s="407">
        <f t="shared" si="47"/>
        <v>0.96085063941255777</v>
      </c>
      <c r="AI48" s="408">
        <f>SQRT(POWER((H48+Q48+AE48),2)+POWER(P48,2))*POWER(6.3/Z48,2)</f>
        <v>0.98680432455953637</v>
      </c>
      <c r="AJ48" s="601">
        <f t="shared" si="41"/>
        <v>721.1817825320544</v>
      </c>
      <c r="AK48" s="596">
        <f>37000/2/SQRT(POWER((H48+Q48+AE48),2)+P48*P48)</f>
        <v>607.41525455671695</v>
      </c>
      <c r="AL48" s="596">
        <f t="shared" si="49"/>
        <v>506.17937879726412</v>
      </c>
      <c r="AM48" s="596">
        <f t="shared" si="50"/>
        <v>404.9435030378113</v>
      </c>
      <c r="AN48" s="596">
        <f>6300/(1.73*AH48)</f>
        <v>3789.9943526459319</v>
      </c>
      <c r="AO48" s="602">
        <f>SUM(6300/(2*AI48))</f>
        <v>3192.122208631396</v>
      </c>
    </row>
    <row r="49" spans="2:32" x14ac:dyDescent="0.2">
      <c r="F49" s="187"/>
      <c r="P49" s="100"/>
    </row>
    <row r="50" spans="2:32" ht="15.75" x14ac:dyDescent="0.2">
      <c r="B50" s="192" t="s">
        <v>158</v>
      </c>
      <c r="E50" s="2378">
        <v>42647</v>
      </c>
      <c r="F50" s="2379"/>
      <c r="G50" s="188" t="s">
        <v>337</v>
      </c>
      <c r="P50" s="193"/>
      <c r="Q50" s="193"/>
      <c r="R50" s="193"/>
      <c r="S50" s="193"/>
      <c r="T50" s="193"/>
      <c r="U50" s="193"/>
      <c r="V50" s="193"/>
      <c r="W50" s="193"/>
      <c r="X50" s="1247"/>
      <c r="Y50" s="193"/>
      <c r="Z50" s="193"/>
      <c r="AA50" s="193"/>
      <c r="AB50" s="1247"/>
      <c r="AC50" s="193"/>
      <c r="AD50" s="193"/>
      <c r="AE50" s="193"/>
      <c r="AF50" s="193"/>
    </row>
    <row r="51" spans="2:32" ht="15" customHeight="1" x14ac:dyDescent="0.2">
      <c r="B51" s="185" t="s">
        <v>328</v>
      </c>
      <c r="E51" s="2380" t="s">
        <v>189</v>
      </c>
      <c r="F51" s="2380"/>
      <c r="G51" s="188" t="s">
        <v>391</v>
      </c>
      <c r="P51" s="193"/>
      <c r="Q51" s="194"/>
      <c r="R51" s="194"/>
      <c r="S51" s="194"/>
      <c r="T51" s="194"/>
      <c r="U51" s="194"/>
      <c r="V51" s="194"/>
      <c r="W51" s="194"/>
      <c r="X51" s="1248"/>
      <c r="Y51" s="194"/>
      <c r="Z51" s="194"/>
      <c r="AA51" s="194"/>
      <c r="AB51" s="1248"/>
      <c r="AC51" s="194"/>
      <c r="AD51" s="194"/>
      <c r="AE51" s="194"/>
      <c r="AF51" s="194"/>
    </row>
    <row r="52" spans="2:32" x14ac:dyDescent="0.2">
      <c r="B52" s="100"/>
      <c r="D52" s="100"/>
      <c r="E52" s="100"/>
    </row>
    <row r="53" spans="2:32" x14ac:dyDescent="0.2">
      <c r="B53" s="100"/>
      <c r="D53" s="100"/>
      <c r="E53" s="100"/>
    </row>
    <row r="54" spans="2:32" ht="12.75" customHeight="1" x14ac:dyDescent="0.2"/>
    <row r="57" spans="2:32" x14ac:dyDescent="0.2">
      <c r="M57" s="100"/>
      <c r="N57" s="100"/>
      <c r="O57" s="100"/>
      <c r="P57" s="100"/>
      <c r="Q57" s="100"/>
      <c r="T57" s="100"/>
      <c r="U57" s="100"/>
      <c r="V57" s="100"/>
    </row>
    <row r="125" spans="1:1" x14ac:dyDescent="0.2">
      <c r="A125" s="195"/>
    </row>
    <row r="126" spans="1:1" x14ac:dyDescent="0.2">
      <c r="A126" s="195"/>
    </row>
    <row r="127" spans="1:1" x14ac:dyDescent="0.2">
      <c r="A127" s="195"/>
    </row>
    <row r="128" spans="1:1" x14ac:dyDescent="0.2">
      <c r="A128" s="195"/>
    </row>
  </sheetData>
  <mergeCells count="74">
    <mergeCell ref="B31:B32"/>
    <mergeCell ref="B47:B48"/>
    <mergeCell ref="C47:C48"/>
    <mergeCell ref="B39:B40"/>
    <mergeCell ref="B41:B42"/>
    <mergeCell ref="B33:B34"/>
    <mergeCell ref="B43:B44"/>
    <mergeCell ref="B37:B38"/>
    <mergeCell ref="B45:B46"/>
    <mergeCell ref="B35:B36"/>
    <mergeCell ref="C35:C36"/>
    <mergeCell ref="B23:B24"/>
    <mergeCell ref="B15:B16"/>
    <mergeCell ref="B25:B26"/>
    <mergeCell ref="B27:B28"/>
    <mergeCell ref="B29:B30"/>
    <mergeCell ref="B7:B8"/>
    <mergeCell ref="B9:B10"/>
    <mergeCell ref="B11:B12"/>
    <mergeCell ref="B21:B22"/>
    <mergeCell ref="B17:B18"/>
    <mergeCell ref="B19:B20"/>
    <mergeCell ref="B13:B14"/>
    <mergeCell ref="A2:A4"/>
    <mergeCell ref="A1:AO1"/>
    <mergeCell ref="AJ2:AK2"/>
    <mergeCell ref="AF2:AG2"/>
    <mergeCell ref="AD2:AD3"/>
    <mergeCell ref="X2:X3"/>
    <mergeCell ref="B2:B4"/>
    <mergeCell ref="D2:D4"/>
    <mergeCell ref="AN2:AO2"/>
    <mergeCell ref="AE2:AE3"/>
    <mergeCell ref="AB2:AB3"/>
    <mergeCell ref="B5:B6"/>
    <mergeCell ref="C2:C4"/>
    <mergeCell ref="W2:W4"/>
    <mergeCell ref="E2:E4"/>
    <mergeCell ref="F2:F4"/>
    <mergeCell ref="C5:C6"/>
    <mergeCell ref="E51:F51"/>
    <mergeCell ref="E50:F50"/>
    <mergeCell ref="T2:U2"/>
    <mergeCell ref="AM2:AM3"/>
    <mergeCell ref="AC2:AC3"/>
    <mergeCell ref="AH2:AI2"/>
    <mergeCell ref="R2:S2"/>
    <mergeCell ref="Z2:Z3"/>
    <mergeCell ref="AA2:AA3"/>
    <mergeCell ref="AL2:AL3"/>
    <mergeCell ref="Y2:Y4"/>
    <mergeCell ref="I2:O2"/>
    <mergeCell ref="G2:H2"/>
    <mergeCell ref="V2:V4"/>
    <mergeCell ref="P2:Q3"/>
    <mergeCell ref="C29:C30"/>
    <mergeCell ref="C7:C8"/>
    <mergeCell ref="C9:C10"/>
    <mergeCell ref="C11:C12"/>
    <mergeCell ref="C17:C18"/>
    <mergeCell ref="C15:C16"/>
    <mergeCell ref="C13:C14"/>
    <mergeCell ref="C19:C20"/>
    <mergeCell ref="C21:C22"/>
    <mergeCell ref="C23:C24"/>
    <mergeCell ref="C25:C26"/>
    <mergeCell ref="C27:C28"/>
    <mergeCell ref="C31:C32"/>
    <mergeCell ref="C33:C34"/>
    <mergeCell ref="C37:C38"/>
    <mergeCell ref="C45:C46"/>
    <mergeCell ref="C43:C44"/>
    <mergeCell ref="C39:C40"/>
    <mergeCell ref="C41:C42"/>
  </mergeCells>
  <phoneticPr fontId="0" type="noConversion"/>
  <pageMargins left="0.27559055118110237" right="0.27559055118110237" top="0.39370078740157483" bottom="0.31496062992125984" header="0.35433070866141736" footer="0.15748031496062992"/>
  <pageSetup paperSize="9" scale="76" orientation="landscape" r:id="rId1"/>
  <headerFooter>
    <oddFooter>&amp;L&amp;Z&amp;F</oddFooter>
  </headerFooter>
  <ignoredErrors>
    <ignoredError sqref="Q39:Q40 Q17:Q20 Q5:Q12 Q25:Q3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CD62-7C13-4330-878E-24CEFD2A3416}">
  <sheetPr codeName="Лист3"/>
  <dimension ref="A1:AQ11"/>
  <sheetViews>
    <sheetView zoomScale="115" zoomScaleNormal="115" workbookViewId="0">
      <selection activeCell="R7" sqref="R7"/>
    </sheetView>
  </sheetViews>
  <sheetFormatPr defaultRowHeight="12.75" x14ac:dyDescent="0.2"/>
  <cols>
    <col min="1" max="1" width="14" style="1394" customWidth="1"/>
    <col min="2" max="2" width="17.140625" style="1393" customWidth="1"/>
    <col min="3" max="3" width="0" style="1394" hidden="1" customWidth="1"/>
    <col min="4" max="4" width="0" style="1395" hidden="1" customWidth="1"/>
    <col min="5" max="5" width="7.5703125" style="1394" customWidth="1"/>
    <col min="6" max="6" width="8" style="1394" customWidth="1"/>
    <col min="7" max="8" width="7" style="1394" customWidth="1"/>
    <col min="9" max="9" width="6.42578125" style="1395" customWidth="1"/>
    <col min="10" max="10" width="6" style="1396" customWidth="1"/>
    <col min="11" max="11" width="5.7109375" style="1396" customWidth="1"/>
    <col min="12" max="12" width="5.5703125" style="1397" customWidth="1"/>
    <col min="13" max="13" width="4.7109375" style="1395" customWidth="1"/>
    <col min="14" max="14" width="3.85546875" style="1395" customWidth="1"/>
    <col min="15" max="15" width="7" style="1395" customWidth="1"/>
    <col min="16" max="16" width="5.5703125" style="1395" customWidth="1"/>
    <col min="17" max="17" width="9.42578125" style="1395" customWidth="1"/>
    <col min="18" max="18" width="7.42578125" style="1395" customWidth="1"/>
    <col min="19" max="19" width="9.42578125" style="1395" customWidth="1"/>
    <col min="20" max="21" width="8.7109375" style="1394" customWidth="1"/>
    <col min="22" max="23" width="7.42578125" style="1394" customWidth="1"/>
    <col min="24" max="24" width="7.140625" style="1395" customWidth="1"/>
    <col min="25" max="25" width="14.85546875" style="1394" hidden="1" customWidth="1"/>
    <col min="26" max="26" width="4.85546875" style="1394" customWidth="1"/>
    <col min="27" max="27" width="6.85546875" style="1394" customWidth="1"/>
    <col min="28" max="28" width="5.85546875" style="1394" customWidth="1"/>
    <col min="29" max="29" width="5.5703125" style="1394" customWidth="1"/>
    <col min="30" max="30" width="5.7109375" style="1394" customWidth="1"/>
    <col min="31" max="31" width="7.5703125" style="1394" customWidth="1"/>
    <col min="32" max="32" width="8.140625" style="1394" customWidth="1"/>
    <col min="33" max="33" width="8.7109375" style="1394" customWidth="1"/>
    <col min="34" max="35" width="8.140625" style="1394" customWidth="1"/>
    <col min="36" max="36" width="7.140625" style="1395" customWidth="1"/>
    <col min="37" max="38" width="7.140625" style="1394" customWidth="1"/>
    <col min="39" max="40" width="7.5703125" style="1394" customWidth="1"/>
    <col min="41" max="41" width="7.140625" style="1395" customWidth="1"/>
    <col min="42" max="16384" width="9.140625" style="1394"/>
  </cols>
  <sheetData>
    <row r="1" spans="1:43" ht="30" customHeight="1" x14ac:dyDescent="0.4">
      <c r="M1" s="1398"/>
      <c r="N1" s="1398"/>
      <c r="O1" s="1398"/>
      <c r="Q1" s="1399"/>
      <c r="AF1" s="1394" t="s">
        <v>578</v>
      </c>
    </row>
    <row r="2" spans="1:43" ht="30" customHeight="1" x14ac:dyDescent="0.4">
      <c r="M2" s="1398"/>
      <c r="N2" s="1398"/>
      <c r="O2" s="1398"/>
      <c r="Q2" s="1399"/>
      <c r="AF2" s="1394" t="s">
        <v>579</v>
      </c>
    </row>
    <row r="3" spans="1:43" ht="30" customHeight="1" x14ac:dyDescent="0.4">
      <c r="M3" s="1398"/>
      <c r="N3" s="1398"/>
      <c r="O3" s="1398"/>
      <c r="Q3" s="1399" t="s">
        <v>563</v>
      </c>
    </row>
    <row r="4" spans="1:43" s="1428" customFormat="1" ht="53.25" customHeight="1" x14ac:dyDescent="0.2">
      <c r="A4" s="2388" t="s">
        <v>5</v>
      </c>
      <c r="B4" s="2388" t="s">
        <v>1</v>
      </c>
      <c r="C4" s="1400" t="s">
        <v>2</v>
      </c>
      <c r="D4" s="2388" t="s">
        <v>3</v>
      </c>
      <c r="E4" s="2389" t="s">
        <v>564</v>
      </c>
      <c r="F4" s="2389"/>
      <c r="G4" s="2390" t="s">
        <v>565</v>
      </c>
      <c r="H4" s="2390"/>
      <c r="I4" s="2391" t="s">
        <v>466</v>
      </c>
      <c r="J4" s="2390" t="s">
        <v>7</v>
      </c>
      <c r="K4" s="2390"/>
      <c r="L4" s="2390"/>
      <c r="M4" s="2390"/>
      <c r="N4" s="2390"/>
      <c r="O4" s="2390"/>
      <c r="P4" s="2390"/>
      <c r="Q4" s="2390" t="s">
        <v>468</v>
      </c>
      <c r="R4" s="2390" t="s">
        <v>8</v>
      </c>
      <c r="S4" s="2390"/>
      <c r="T4" s="2390" t="s">
        <v>566</v>
      </c>
      <c r="U4" s="2390"/>
      <c r="V4" s="2390" t="s">
        <v>567</v>
      </c>
      <c r="W4" s="2390"/>
      <c r="X4" s="2391" t="s">
        <v>466</v>
      </c>
      <c r="Y4" s="2392" t="s">
        <v>10</v>
      </c>
      <c r="Z4" s="2393" t="s">
        <v>12</v>
      </c>
      <c r="AA4" s="2390" t="s">
        <v>13</v>
      </c>
      <c r="AB4" s="2393" t="s">
        <v>568</v>
      </c>
      <c r="AC4" s="2394" t="s">
        <v>16</v>
      </c>
      <c r="AD4" s="2395" t="s">
        <v>19</v>
      </c>
      <c r="AE4" s="2395" t="s">
        <v>569</v>
      </c>
      <c r="AF4" s="2390" t="s">
        <v>570</v>
      </c>
      <c r="AG4" s="2390"/>
      <c r="AH4" s="2390" t="s">
        <v>571</v>
      </c>
      <c r="AI4" s="2390"/>
      <c r="AJ4" s="2391" t="s">
        <v>466</v>
      </c>
      <c r="AK4" s="2390" t="s">
        <v>521</v>
      </c>
      <c r="AL4" s="2390"/>
      <c r="AM4" s="2390" t="s">
        <v>572</v>
      </c>
      <c r="AN4" s="2390"/>
      <c r="AO4" s="1427"/>
    </row>
    <row r="5" spans="1:43" s="1428" customFormat="1" ht="39.75" customHeight="1" x14ac:dyDescent="0.2">
      <c r="A5" s="2388"/>
      <c r="B5" s="2388"/>
      <c r="C5" s="1400"/>
      <c r="D5" s="2388"/>
      <c r="E5" s="1400" t="s">
        <v>22</v>
      </c>
      <c r="F5" s="1400" t="s">
        <v>23</v>
      </c>
      <c r="G5" s="2390"/>
      <c r="H5" s="2390"/>
      <c r="I5" s="2391"/>
      <c r="J5" s="1405" t="s">
        <v>229</v>
      </c>
      <c r="K5" s="1406" t="s">
        <v>556</v>
      </c>
      <c r="L5" s="1407" t="s">
        <v>573</v>
      </c>
      <c r="M5" s="1407" t="s">
        <v>450</v>
      </c>
      <c r="N5" s="1407" t="s">
        <v>290</v>
      </c>
      <c r="O5" s="1407" t="s">
        <v>574</v>
      </c>
      <c r="P5" s="1408" t="s">
        <v>557</v>
      </c>
      <c r="Q5" s="2390"/>
      <c r="R5" s="2390"/>
      <c r="S5" s="2390"/>
      <c r="T5" s="1401" t="s">
        <v>22</v>
      </c>
      <c r="U5" s="1401" t="s">
        <v>29</v>
      </c>
      <c r="V5" s="2390"/>
      <c r="W5" s="2390"/>
      <c r="X5" s="2391"/>
      <c r="Y5" s="2392"/>
      <c r="Z5" s="2393"/>
      <c r="AA5" s="2390"/>
      <c r="AB5" s="2393"/>
      <c r="AC5" s="2394"/>
      <c r="AD5" s="2395"/>
      <c r="AE5" s="2395"/>
      <c r="AF5" s="1401" t="s">
        <v>22</v>
      </c>
      <c r="AG5" s="1401" t="s">
        <v>29</v>
      </c>
      <c r="AH5" s="2390"/>
      <c r="AI5" s="2390"/>
      <c r="AJ5" s="2391"/>
      <c r="AK5" s="1401" t="s">
        <v>22</v>
      </c>
      <c r="AL5" s="1401" t="s">
        <v>29</v>
      </c>
      <c r="AM5" s="2390"/>
      <c r="AN5" s="2390"/>
      <c r="AO5" s="1427"/>
    </row>
    <row r="6" spans="1:43" s="1428" customFormat="1" ht="24" customHeight="1" x14ac:dyDescent="0.2">
      <c r="A6" s="2388"/>
      <c r="B6" s="2388"/>
      <c r="C6" s="1400"/>
      <c r="D6" s="2388"/>
      <c r="E6" s="1400" t="s">
        <v>30</v>
      </c>
      <c r="F6" s="1400" t="s">
        <v>30</v>
      </c>
      <c r="G6" s="1400" t="s">
        <v>485</v>
      </c>
      <c r="H6" s="1400" t="s">
        <v>486</v>
      </c>
      <c r="I6" s="2391"/>
      <c r="J6" s="1409" t="s">
        <v>31</v>
      </c>
      <c r="K6" s="1410" t="s">
        <v>31</v>
      </c>
      <c r="L6" s="1401" t="s">
        <v>31</v>
      </c>
      <c r="M6" s="1401" t="s">
        <v>31</v>
      </c>
      <c r="N6" s="1401" t="s">
        <v>31</v>
      </c>
      <c r="O6" s="1401" t="s">
        <v>31</v>
      </c>
      <c r="P6" s="1401" t="s">
        <v>31</v>
      </c>
      <c r="Q6" s="1401" t="s">
        <v>31</v>
      </c>
      <c r="R6" s="1401" t="s">
        <v>30</v>
      </c>
      <c r="S6" s="1401" t="s">
        <v>30</v>
      </c>
      <c r="T6" s="1401" t="s">
        <v>30</v>
      </c>
      <c r="U6" s="1401" t="s">
        <v>30</v>
      </c>
      <c r="V6" s="1400" t="s">
        <v>485</v>
      </c>
      <c r="W6" s="1400" t="s">
        <v>486</v>
      </c>
      <c r="X6" s="1402"/>
      <c r="Y6" s="2392"/>
      <c r="Z6" s="1403" t="s">
        <v>32</v>
      </c>
      <c r="AA6" s="2390"/>
      <c r="AB6" s="1403" t="s">
        <v>33</v>
      </c>
      <c r="AC6" s="1404" t="s">
        <v>34</v>
      </c>
      <c r="AD6" s="1403" t="s">
        <v>30</v>
      </c>
      <c r="AE6" s="1403" t="s">
        <v>30</v>
      </c>
      <c r="AF6" s="1401" t="s">
        <v>30</v>
      </c>
      <c r="AG6" s="1401" t="s">
        <v>30</v>
      </c>
      <c r="AH6" s="1400" t="s">
        <v>485</v>
      </c>
      <c r="AI6" s="1400" t="s">
        <v>486</v>
      </c>
      <c r="AJ6" s="2391"/>
      <c r="AK6" s="1411"/>
      <c r="AL6" s="1411"/>
      <c r="AM6" s="1400" t="s">
        <v>485</v>
      </c>
      <c r="AN6" s="1400" t="s">
        <v>486</v>
      </c>
      <c r="AO6" s="1427"/>
    </row>
    <row r="7" spans="1:43" ht="55.5" customHeight="1" x14ac:dyDescent="0.2">
      <c r="A7" s="1429" t="s">
        <v>580</v>
      </c>
      <c r="B7" s="1412" t="s">
        <v>575</v>
      </c>
      <c r="C7" s="1413"/>
      <c r="D7" s="1414"/>
      <c r="E7" s="1415">
        <v>15.784000000000001</v>
      </c>
      <c r="F7" s="1415">
        <v>18.087</v>
      </c>
      <c r="G7" s="1416"/>
      <c r="H7" s="1416"/>
      <c r="I7" s="1417" t="s">
        <v>501</v>
      </c>
      <c r="J7" s="1418">
        <v>9.27</v>
      </c>
      <c r="K7" s="1419"/>
      <c r="L7" s="1419"/>
      <c r="M7" s="1419"/>
      <c r="N7" s="1419"/>
      <c r="O7" s="1419"/>
      <c r="P7" s="1419"/>
      <c r="Q7" s="1419">
        <f>SUM(J7:P7)</f>
        <v>9.27</v>
      </c>
      <c r="R7" s="1420">
        <f>0.246*J7</f>
        <v>2.2804199999999999</v>
      </c>
      <c r="S7" s="1420">
        <f>(0.4)*J7</f>
        <v>3.7080000000000002</v>
      </c>
      <c r="T7" s="1421">
        <f>SQRT(POWER(R7,2)+POWER(S7+E7,2))</f>
        <v>19.624942786576476</v>
      </c>
      <c r="U7" s="1420">
        <f>SQRT(POWER(R7,2)+POWER(S7+F7,2))</f>
        <v>21.913975914388519</v>
      </c>
      <c r="V7" s="1422">
        <f>37000/(SQRT(3)*T7)</f>
        <v>1088.5106872580441</v>
      </c>
      <c r="W7" s="1422">
        <f>37000/(2*U7)</f>
        <v>844.21010921405036</v>
      </c>
      <c r="X7" s="1423" t="s">
        <v>503</v>
      </c>
      <c r="Y7" s="1413" t="s">
        <v>50</v>
      </c>
      <c r="Z7" s="1413">
        <v>6.3</v>
      </c>
      <c r="AA7" s="152">
        <v>11</v>
      </c>
      <c r="AB7" s="1413">
        <v>35</v>
      </c>
      <c r="AC7" s="1419">
        <v>7.96</v>
      </c>
      <c r="AD7" s="1419">
        <f>AC7/100*AB7*AB7/Z7</f>
        <v>15.47777777777778</v>
      </c>
      <c r="AE7" s="9"/>
      <c r="AF7" s="1419">
        <f>SQRT(R7^2+(E7+S7+AD7)^2)</f>
        <v>35.044053321548873</v>
      </c>
      <c r="AG7" s="1419">
        <f>SQRT(R7^2+(F7+S7+AD7)^2)</f>
        <v>37.342472851272255</v>
      </c>
      <c r="AH7" s="1419">
        <f>37000/(1.73*AF7)</f>
        <v>610.29707496315802</v>
      </c>
      <c r="AI7" s="1419">
        <f>37000/(2*AG7)</f>
        <v>495.41443261355164</v>
      </c>
      <c r="AJ7" s="1417" t="s">
        <v>502</v>
      </c>
      <c r="AK7" s="1432">
        <f>SQRT(R7^2+(E7+S7+AD7)^2)*POWER(6.3/35,2)</f>
        <v>1.1354273276181834</v>
      </c>
      <c r="AL7" s="1432">
        <f>SQRT(R7^2+(F7+S7+AD7)^2)*POWER(6.3/35,2)</f>
        <v>1.2098961203812211</v>
      </c>
      <c r="AM7" s="1424">
        <f>6300/(1.73*AK7)</f>
        <v>3207.2669104670467</v>
      </c>
      <c r="AN7" s="1424">
        <f>6300/(2*AL7)</f>
        <v>2603.5293005216677</v>
      </c>
      <c r="AO7" s="1427"/>
      <c r="AP7" s="1430"/>
      <c r="AQ7" s="1430"/>
    </row>
    <row r="8" spans="1:43" ht="71.25" customHeight="1" x14ac:dyDescent="0.2">
      <c r="A8" s="1429" t="s">
        <v>581</v>
      </c>
      <c r="B8" s="1412" t="s">
        <v>576</v>
      </c>
      <c r="C8" s="1413"/>
      <c r="D8" s="1414"/>
      <c r="E8" s="1425">
        <v>15.784000000000001</v>
      </c>
      <c r="F8" s="1425">
        <v>18.087</v>
      </c>
      <c r="G8" s="1416"/>
      <c r="H8" s="1416"/>
      <c r="I8" s="1417"/>
      <c r="J8" s="1418">
        <v>9.27</v>
      </c>
      <c r="K8" s="1419"/>
      <c r="L8" s="1419"/>
      <c r="M8" s="1419"/>
      <c r="N8" s="1419"/>
      <c r="O8" s="1419"/>
      <c r="P8" s="1419"/>
      <c r="Q8" s="1419">
        <f>SUM(J8:P8)</f>
        <v>9.27</v>
      </c>
      <c r="R8" s="1420">
        <f>0.246*J8</f>
        <v>2.2804199999999999</v>
      </c>
      <c r="S8" s="1420">
        <f>(0.4)*J8</f>
        <v>3.7080000000000002</v>
      </c>
      <c r="T8" s="1421">
        <f>SQRT(POWER(R8,2)+POWER(S8+E8,2))</f>
        <v>19.624942786576476</v>
      </c>
      <c r="U8" s="1420">
        <f>SQRT(POWER(R8,2)+POWER(S8+F8,2))</f>
        <v>21.913975914388519</v>
      </c>
      <c r="V8" s="1422">
        <f>37000/(SQRT(3)*T8)</f>
        <v>1088.5106872580441</v>
      </c>
      <c r="W8" s="1422">
        <f>37000/(2*U8)</f>
        <v>844.21010921405036</v>
      </c>
      <c r="X8" s="1423"/>
      <c r="Y8" s="1413" t="s">
        <v>41</v>
      </c>
      <c r="Z8" s="1413">
        <v>6.3</v>
      </c>
      <c r="AA8" s="152">
        <v>11</v>
      </c>
      <c r="AB8" s="1413">
        <v>35</v>
      </c>
      <c r="AC8" s="1419">
        <v>7.94</v>
      </c>
      <c r="AD8" s="1419">
        <f>AC8/100*AB8*AB8/Z8</f>
        <v>15.43888888888889</v>
      </c>
      <c r="AE8" s="9"/>
      <c r="AF8" s="1419">
        <f>SQRT(R8^2+(E8+S8+AD8)^2)</f>
        <v>35.005246948768999</v>
      </c>
      <c r="AG8" s="1419">
        <f>SQRT(R8^2+(F8+S8+AD8)^2)</f>
        <v>37.303656619244762</v>
      </c>
      <c r="AH8" s="1419">
        <f>37000/(1.73*AF8)</f>
        <v>610.97364255978573</v>
      </c>
      <c r="AI8" s="1419">
        <f>37000/(2*AG8)</f>
        <v>495.92993493447358</v>
      </c>
      <c r="AJ8" s="1417"/>
      <c r="AK8" s="1432">
        <f>SQRT(R8^2+(E8+S8+AD8)^2)*POWER(6.3/35,2)</f>
        <v>1.1341700011401155</v>
      </c>
      <c r="AL8" s="1432">
        <f>SQRT(R8^2+(F8+S8+AD8)^2)*POWER(6.3/35,2)</f>
        <v>1.2086384744635303</v>
      </c>
      <c r="AM8" s="1424">
        <f>6300/(1.73*AK8)</f>
        <v>3210.8224458847599</v>
      </c>
      <c r="AN8" s="1424">
        <f>6300/(2*AL8)</f>
        <v>2606.2383968027889</v>
      </c>
      <c r="AO8" s="1427"/>
      <c r="AP8" s="1430"/>
      <c r="AQ8" s="1430"/>
    </row>
    <row r="9" spans="1:43" ht="45.75" customHeight="1" x14ac:dyDescent="0.2"/>
    <row r="10" spans="1:43" ht="38.25" customHeight="1" x14ac:dyDescent="0.3">
      <c r="H10" s="1426" t="s">
        <v>577</v>
      </c>
    </row>
    <row r="11" spans="1:43" x14ac:dyDescent="0.2">
      <c r="AF11" s="1431"/>
      <c r="AG11" s="1396"/>
      <c r="AH11" s="1396"/>
      <c r="AI11" s="1396"/>
      <c r="AK11" s="1431"/>
      <c r="AL11" s="1396"/>
      <c r="AM11" s="1396"/>
      <c r="AN11" s="1396"/>
    </row>
  </sheetData>
  <mergeCells count="24">
    <mergeCell ref="AH4:AI5"/>
    <mergeCell ref="AJ4:AJ6"/>
    <mergeCell ref="AK4:AL4"/>
    <mergeCell ref="AM4:AN5"/>
    <mergeCell ref="AB4:AB5"/>
    <mergeCell ref="AC4:AC5"/>
    <mergeCell ref="AD4:AD5"/>
    <mergeCell ref="AE4:AE5"/>
    <mergeCell ref="AF4:AG4"/>
    <mergeCell ref="V4:W5"/>
    <mergeCell ref="X4:X5"/>
    <mergeCell ref="Y4:Y6"/>
    <mergeCell ref="Z4:Z5"/>
    <mergeCell ref="AA4:AA6"/>
    <mergeCell ref="I4:I6"/>
    <mergeCell ref="J4:P4"/>
    <mergeCell ref="Q4:Q5"/>
    <mergeCell ref="R4:S5"/>
    <mergeCell ref="T4:U4"/>
    <mergeCell ref="A4:A6"/>
    <mergeCell ref="B4:B6"/>
    <mergeCell ref="D4:D6"/>
    <mergeCell ref="E4:F4"/>
    <mergeCell ref="G4:H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CFF20-911B-48B7-B431-B9BC9ECD40AE}">
  <sheetPr codeName="Лист4"/>
  <dimension ref="A1:AT142"/>
  <sheetViews>
    <sheetView zoomScaleNormal="100"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L70" sqref="L70:L72"/>
    </sheetView>
  </sheetViews>
  <sheetFormatPr defaultRowHeight="12.75" x14ac:dyDescent="0.2"/>
  <cols>
    <col min="1" max="1" width="2.85546875" style="100" customWidth="1"/>
    <col min="2" max="2" width="13.85546875" style="185" customWidth="1"/>
    <col min="3" max="3" width="4.85546875" style="100" customWidth="1"/>
    <col min="4" max="4" width="9.7109375" style="186" customWidth="1"/>
    <col min="5" max="5" width="3.140625" style="186" customWidth="1"/>
    <col min="6" max="6" width="14" style="100" customWidth="1"/>
    <col min="7" max="7" width="6.42578125" style="100" customWidth="1"/>
    <col min="8" max="8" width="7" style="100" customWidth="1"/>
    <col min="9" max="10" width="5.5703125" style="188" customWidth="1"/>
    <col min="11" max="11" width="5.5703125" style="189" customWidth="1"/>
    <col min="12" max="15" width="5.5703125" style="186" customWidth="1"/>
    <col min="16" max="16" width="5.5703125" style="100" customWidth="1"/>
    <col min="17" max="17" width="6" style="100" customWidth="1"/>
    <col min="18" max="19" width="6.7109375" style="100" customWidth="1"/>
    <col min="20" max="20" width="3.5703125" style="186" customWidth="1"/>
    <col min="21" max="21" width="19.7109375" style="100" customWidth="1"/>
    <col min="22" max="22" width="5.7109375" style="100" customWidth="1"/>
    <col min="23" max="23" width="7.42578125" style="100" customWidth="1"/>
    <col min="24" max="26" width="5.85546875" style="100" customWidth="1"/>
    <col min="27" max="27" width="11.42578125" style="100" customWidth="1"/>
    <col min="28" max="28" width="6.140625" style="186" customWidth="1"/>
    <col min="29" max="29" width="6.140625" style="100" customWidth="1"/>
    <col min="30" max="33" width="6.7109375" style="100" customWidth="1"/>
    <col min="34" max="35" width="6.7109375" style="190" customWidth="1"/>
    <col min="36" max="36" width="6.7109375" style="191" customWidth="1"/>
    <col min="37" max="37" width="6.7109375" style="190" customWidth="1"/>
    <col min="38" max="39" width="6.7109375" style="100" customWidth="1"/>
    <col min="40" max="16384" width="9.140625" style="100"/>
  </cols>
  <sheetData>
    <row r="1" spans="1:46" ht="36.75" customHeight="1" thickBot="1" x14ac:dyDescent="0.25">
      <c r="A1" s="2302" t="s">
        <v>343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  <c r="AN1" s="269"/>
      <c r="AO1" s="269"/>
    </row>
    <row r="2" spans="1:46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2"/>
      <c r="N2" s="2323" t="s">
        <v>8</v>
      </c>
      <c r="O2" s="2324"/>
      <c r="P2" s="2327" t="s">
        <v>385</v>
      </c>
      <c r="Q2" s="2327"/>
      <c r="R2" s="2328" t="s">
        <v>388</v>
      </c>
      <c r="S2" s="2329"/>
      <c r="T2" s="2330" t="s">
        <v>9</v>
      </c>
      <c r="U2" s="2333" t="s">
        <v>10</v>
      </c>
      <c r="V2" s="2341" t="s">
        <v>12</v>
      </c>
      <c r="W2" s="2338" t="s">
        <v>13</v>
      </c>
      <c r="X2" s="2341" t="s">
        <v>335</v>
      </c>
      <c r="Y2" s="2341" t="s">
        <v>336</v>
      </c>
      <c r="Z2" s="2460" t="s">
        <v>16</v>
      </c>
      <c r="AA2" s="2341" t="s">
        <v>17</v>
      </c>
      <c r="AB2" s="2341" t="s">
        <v>18</v>
      </c>
      <c r="AC2" s="2345" t="s">
        <v>19</v>
      </c>
      <c r="AD2" s="2321" t="s">
        <v>386</v>
      </c>
      <c r="AE2" s="2321"/>
      <c r="AF2" s="2347" t="s">
        <v>387</v>
      </c>
      <c r="AG2" s="2348"/>
      <c r="AH2" s="2349" t="s">
        <v>382</v>
      </c>
      <c r="AI2" s="2350"/>
      <c r="AJ2" s="2351" t="s">
        <v>20</v>
      </c>
      <c r="AK2" s="2351" t="s">
        <v>21</v>
      </c>
      <c r="AL2" s="2349" t="s">
        <v>383</v>
      </c>
      <c r="AM2" s="2353"/>
    </row>
    <row r="3" spans="1:46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322" t="s">
        <v>24</v>
      </c>
      <c r="J3" s="323" t="s">
        <v>25</v>
      </c>
      <c r="K3" s="324" t="s">
        <v>26</v>
      </c>
      <c r="L3" s="324" t="s">
        <v>27</v>
      </c>
      <c r="M3" s="325" t="s">
        <v>28</v>
      </c>
      <c r="N3" s="2325"/>
      <c r="O3" s="2326"/>
      <c r="P3" s="104" t="s">
        <v>216</v>
      </c>
      <c r="Q3" s="104" t="s">
        <v>217</v>
      </c>
      <c r="R3" s="105" t="s">
        <v>218</v>
      </c>
      <c r="S3" s="110" t="s">
        <v>219</v>
      </c>
      <c r="T3" s="2331"/>
      <c r="U3" s="2334"/>
      <c r="V3" s="2342"/>
      <c r="W3" s="2339"/>
      <c r="X3" s="2342"/>
      <c r="Y3" s="2342"/>
      <c r="Z3" s="2461"/>
      <c r="AA3" s="2342"/>
      <c r="AB3" s="2342"/>
      <c r="AC3" s="2346"/>
      <c r="AD3" s="1021" t="s">
        <v>216</v>
      </c>
      <c r="AE3" s="106" t="s">
        <v>217</v>
      </c>
      <c r="AF3" s="107" t="s">
        <v>216</v>
      </c>
      <c r="AG3" s="108" t="s">
        <v>217</v>
      </c>
      <c r="AH3" s="109" t="s">
        <v>218</v>
      </c>
      <c r="AI3" s="110" t="s">
        <v>219</v>
      </c>
      <c r="AJ3" s="2352"/>
      <c r="AK3" s="2352"/>
      <c r="AL3" s="105" t="s">
        <v>218</v>
      </c>
      <c r="AM3" s="111" t="s">
        <v>219</v>
      </c>
    </row>
    <row r="4" spans="1:46" s="101" customFormat="1" ht="13.5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6" t="s">
        <v>31</v>
      </c>
      <c r="M4" s="117" t="s">
        <v>31</v>
      </c>
      <c r="N4" s="118" t="s">
        <v>30</v>
      </c>
      <c r="O4" s="116" t="s">
        <v>30</v>
      </c>
      <c r="P4" s="116" t="s">
        <v>30</v>
      </c>
      <c r="Q4" s="116" t="s">
        <v>30</v>
      </c>
      <c r="R4" s="119" t="s">
        <v>35</v>
      </c>
      <c r="S4" s="1017" t="s">
        <v>35</v>
      </c>
      <c r="T4" s="2332"/>
      <c r="U4" s="2335"/>
      <c r="V4" s="120" t="s">
        <v>32</v>
      </c>
      <c r="W4" s="2340"/>
      <c r="X4" s="120" t="s">
        <v>33</v>
      </c>
      <c r="Y4" s="120" t="s">
        <v>33</v>
      </c>
      <c r="Z4" s="121" t="s">
        <v>34</v>
      </c>
      <c r="AA4" s="120" t="s">
        <v>35</v>
      </c>
      <c r="AB4" s="120" t="s">
        <v>34</v>
      </c>
      <c r="AC4" s="1025" t="s">
        <v>30</v>
      </c>
      <c r="AD4" s="118" t="s">
        <v>30</v>
      </c>
      <c r="AE4" s="122" t="s">
        <v>30</v>
      </c>
      <c r="AF4" s="123" t="s">
        <v>30</v>
      </c>
      <c r="AG4" s="124" t="s">
        <v>30</v>
      </c>
      <c r="AH4" s="125" t="s">
        <v>35</v>
      </c>
      <c r="AI4" s="119" t="s">
        <v>35</v>
      </c>
      <c r="AJ4" s="119" t="s">
        <v>35</v>
      </c>
      <c r="AK4" s="119" t="s">
        <v>35</v>
      </c>
      <c r="AL4" s="119" t="s">
        <v>35</v>
      </c>
      <c r="AM4" s="126" t="s">
        <v>35</v>
      </c>
    </row>
    <row r="5" spans="1:46" ht="12.75" customHeight="1" x14ac:dyDescent="0.2">
      <c r="A5" s="161">
        <v>2</v>
      </c>
      <c r="B5" s="2306" t="s">
        <v>160</v>
      </c>
      <c r="C5" s="2387" t="s">
        <v>342</v>
      </c>
      <c r="D5" s="673">
        <v>2.5</v>
      </c>
      <c r="E5" s="145" t="s">
        <v>39</v>
      </c>
      <c r="F5" s="146" t="s">
        <v>159</v>
      </c>
      <c r="G5" s="2147">
        <f>121.7/1.73/13.839</f>
        <v>5.0832300606437277</v>
      </c>
      <c r="H5" s="2148">
        <f>121.7/(2*12.549)</f>
        <v>4.8489919515499249</v>
      </c>
      <c r="I5" s="270"/>
      <c r="J5" s="271">
        <v>30.32</v>
      </c>
      <c r="K5" s="152"/>
      <c r="L5" s="152"/>
      <c r="M5" s="272"/>
      <c r="N5" s="273">
        <f>0.314*I5+0.249*J5+0.195*K5+0.159*L5+0.06*M5</f>
        <v>7.5496800000000004</v>
      </c>
      <c r="O5" s="152">
        <f>0.4*SUM(I5:M5)</f>
        <v>12.128</v>
      </c>
      <c r="P5" s="153">
        <f>SQRT(POWER(N5,2)+POWER(O5+G5,2))</f>
        <v>18.794257322459067</v>
      </c>
      <c r="Q5" s="154">
        <f>SQRT(POWER(N5,2)+POWER(O5+H5,2))</f>
        <v>18.579987185824187</v>
      </c>
      <c r="R5" s="137">
        <f>37000/1.73/SQRT(POWER((G5+O5),2)+N5*N5)</f>
        <v>1137.9690545918245</v>
      </c>
      <c r="S5" s="142">
        <f>37000/2/SQRT(N5*N5+POWER((H5+O5),2))</f>
        <v>995.69498164750007</v>
      </c>
      <c r="T5" s="1027">
        <v>1</v>
      </c>
      <c r="U5" s="152" t="s">
        <v>50</v>
      </c>
      <c r="V5" s="152">
        <v>6.3</v>
      </c>
      <c r="W5" s="152">
        <v>11</v>
      </c>
      <c r="X5" s="152">
        <v>35</v>
      </c>
      <c r="Y5" s="152">
        <v>6.3</v>
      </c>
      <c r="Z5" s="154">
        <v>7.4</v>
      </c>
      <c r="AA5" s="152" t="s">
        <v>63</v>
      </c>
      <c r="AB5" s="152"/>
      <c r="AC5" s="274">
        <f>Z5/100*X5*X5/V5</f>
        <v>14.388888888888891</v>
      </c>
      <c r="AD5" s="151">
        <f>SQRT(POWER(N5,2)+POWER(O5+AC5+G5,2))</f>
        <v>32.489462687570111</v>
      </c>
      <c r="AE5" s="274">
        <f>SQRT(POWER(N5,2)+POWER(O5+AC5+H5,2))</f>
        <v>32.261682364672289</v>
      </c>
      <c r="AF5" s="1303">
        <f>SQRT(POWER((AC5+O5+G5),2)+POWER(N5,2))*POWER(6.3/X5,2)</f>
        <v>1.0526585910772714</v>
      </c>
      <c r="AG5" s="1304">
        <f>SQRT(POWER((H5+O5+AC5),2)+POWER(N5,2))*POWER(6.3/X5,2)</f>
        <v>1.0452785086153822</v>
      </c>
      <c r="AH5" s="159">
        <f>37000/1.73/SQRT(POWER((G5+O5+AC5),2)+N5*N5)</f>
        <v>658.28368547247817</v>
      </c>
      <c r="AI5" s="155">
        <f>37000/2/SQRT(POWER((H5+O5+AC5),2)+N5*N5)</f>
        <v>573.43568729255639</v>
      </c>
      <c r="AJ5" s="155">
        <f>AI5/1.2</f>
        <v>477.86307274379703</v>
      </c>
      <c r="AK5" s="155">
        <f>AI5/1.5</f>
        <v>382.29045819503762</v>
      </c>
      <c r="AL5" s="155">
        <f>SUM(6300/(1.732*AF5))</f>
        <v>3455.4540529581454</v>
      </c>
      <c r="AM5" s="160">
        <f>SUM(6300/(2*AG5))</f>
        <v>3013.5509091951162</v>
      </c>
    </row>
    <row r="6" spans="1:46" ht="12.75" customHeight="1" x14ac:dyDescent="0.2">
      <c r="A6" s="161">
        <v>2</v>
      </c>
      <c r="B6" s="2359"/>
      <c r="C6" s="2361"/>
      <c r="D6" s="673">
        <v>2.5</v>
      </c>
      <c r="E6" s="145" t="s">
        <v>39</v>
      </c>
      <c r="F6" s="146" t="s">
        <v>159</v>
      </c>
      <c r="G6" s="2147">
        <f>121.7/1.73/13.838</f>
        <v>5.0835973991363321</v>
      </c>
      <c r="H6" s="2148">
        <f>121.7/(2*12.549)</f>
        <v>4.8489919515499249</v>
      </c>
      <c r="I6" s="270"/>
      <c r="J6" s="271">
        <v>30.32</v>
      </c>
      <c r="K6" s="152"/>
      <c r="L6" s="152"/>
      <c r="M6" s="272"/>
      <c r="N6" s="273">
        <f>0.314*I6+0.249*J6+0.195*K6+0.159*L6+0.06*M6</f>
        <v>7.5496800000000004</v>
      </c>
      <c r="O6" s="152">
        <f>0.4*SUM(I6:M6)</f>
        <v>12.128</v>
      </c>
      <c r="P6" s="153">
        <f>SQRT(POWER(N6,2)+POWER(O6+G6,2))</f>
        <v>18.794593720864423</v>
      </c>
      <c r="Q6" s="154">
        <f>SQRT(POWER(N6,2)+POWER(O6+H6,2))</f>
        <v>18.579987185824187</v>
      </c>
      <c r="R6" s="137">
        <f>37000/1.73/SQRT(POWER((G6+O6),2)+N6*N6)</f>
        <v>1137.9486864486769</v>
      </c>
      <c r="S6" s="142">
        <f>37000/2/SQRT(N6*N6+POWER((H6+O6),2))</f>
        <v>995.69498164750007</v>
      </c>
      <c r="T6" s="1027">
        <v>2</v>
      </c>
      <c r="U6" s="276" t="s">
        <v>50</v>
      </c>
      <c r="V6" s="152">
        <v>6.3</v>
      </c>
      <c r="W6" s="276">
        <v>11</v>
      </c>
      <c r="X6" s="152">
        <v>35</v>
      </c>
      <c r="Y6" s="152">
        <v>6.3</v>
      </c>
      <c r="Z6" s="154">
        <v>7.95</v>
      </c>
      <c r="AA6" s="152" t="s">
        <v>63</v>
      </c>
      <c r="AB6" s="152"/>
      <c r="AC6" s="274">
        <f>Z6/100*X6*X6/V6</f>
        <v>15.458333333333334</v>
      </c>
      <c r="AD6" s="151">
        <f>SQRT(POWER(N6,2)+POWER(O6+AC6+G6,2))</f>
        <v>33.530911740761923</v>
      </c>
      <c r="AE6" s="274">
        <f>SQRT(POWER(N6,2)+POWER(O6+AC6+H6,2))</f>
        <v>33.30237220437288</v>
      </c>
      <c r="AF6" s="1303">
        <f>SQRT(POWER((AC6+O6+G6),2)+POWER(N6,2))*POWER(6.3/X6,2)</f>
        <v>1.0864015404006861</v>
      </c>
      <c r="AG6" s="1304">
        <f>SQRT(POWER((H6+O6+AC6),2)+POWER(N6,2))*POWER(6.3/X6,2)</f>
        <v>1.0789968594216812</v>
      </c>
      <c r="AH6" s="159">
        <f>37000/1.73/SQRT(POWER((G6+O6+AC6),2)+N6*N6)</f>
        <v>637.83780776216486</v>
      </c>
      <c r="AI6" s="155">
        <f>37000/2/SQRT(POWER((H6+O6+AC6),2)+N6*N6)</f>
        <v>555.5159820588035</v>
      </c>
      <c r="AJ6" s="155">
        <f>AI6/1.2</f>
        <v>462.92998504900294</v>
      </c>
      <c r="AK6" s="155">
        <f>AI6/1.5</f>
        <v>370.34398803920232</v>
      </c>
      <c r="AL6" s="155">
        <f>SUM(6300/(1.732*AF6))</f>
        <v>3348.1298209293955</v>
      </c>
      <c r="AM6" s="160">
        <f>SUM(6300/(2*AG6))</f>
        <v>2919.3782840928111</v>
      </c>
    </row>
    <row r="7" spans="1:46" ht="12.75" customHeight="1" x14ac:dyDescent="0.2">
      <c r="A7" s="161">
        <v>2</v>
      </c>
      <c r="B7" s="2358" t="s">
        <v>87</v>
      </c>
      <c r="C7" s="2362" t="s">
        <v>43</v>
      </c>
      <c r="D7" s="673">
        <v>2.2999999999999998</v>
      </c>
      <c r="E7" s="145" t="s">
        <v>39</v>
      </c>
      <c r="F7" s="146" t="s">
        <v>78</v>
      </c>
      <c r="G7" s="275">
        <v>6.101</v>
      </c>
      <c r="H7" s="162">
        <v>7.0510000000000002</v>
      </c>
      <c r="I7" s="270"/>
      <c r="J7" s="271">
        <v>8.3800000000000008</v>
      </c>
      <c r="K7" s="152"/>
      <c r="L7" s="152"/>
      <c r="M7" s="272"/>
      <c r="N7" s="273">
        <f t="shared" ref="N7:N18" si="0">0.314*I7+0.249*J7+0.195*K7+0.159*L7+0.06*M7</f>
        <v>2.0866200000000004</v>
      </c>
      <c r="O7" s="152">
        <f t="shared" ref="O7:O18" si="1">0.4*SUM(I7:M7)</f>
        <v>3.3520000000000003</v>
      </c>
      <c r="P7" s="153">
        <f t="shared" ref="P7:P18" si="2">SQRT(POWER(N7,2)+POWER(O7+G7,2))</f>
        <v>9.6805574232272384</v>
      </c>
      <c r="Q7" s="154">
        <f t="shared" ref="Q7:Q18" si="3">SQRT(POWER(N7,2)+POWER(O7+H7,2))</f>
        <v>10.610202261238944</v>
      </c>
      <c r="R7" s="137">
        <f t="shared" ref="R7:R50" si="4">37000/1.73/SQRT(POWER((G7+O7),2)+N7*N7)</f>
        <v>2209.3028636634308</v>
      </c>
      <c r="S7" s="142">
        <f t="shared" ref="S7:S50" si="5">37000/2/SQRT(N7*N7+POWER((H7+O7),2))</f>
        <v>1743.604838484933</v>
      </c>
      <c r="T7" s="1027">
        <v>1</v>
      </c>
      <c r="U7" s="152" t="s">
        <v>191</v>
      </c>
      <c r="V7" s="152">
        <v>10</v>
      </c>
      <c r="W7" s="152">
        <v>11</v>
      </c>
      <c r="X7" s="152">
        <v>35</v>
      </c>
      <c r="Y7" s="152">
        <v>6.3</v>
      </c>
      <c r="Z7" s="154">
        <v>8.1999999999999993</v>
      </c>
      <c r="AA7" s="152" t="s">
        <v>339</v>
      </c>
      <c r="AB7" s="152">
        <v>12</v>
      </c>
      <c r="AC7" s="274">
        <f t="shared" ref="AC7:AC18" si="6">Z7/100*X7*X7/V7</f>
        <v>10.044999999999998</v>
      </c>
      <c r="AD7" s="151">
        <f t="shared" ref="AD7:AD50" si="7">SQRT(POWER(N7,2)+POWER(O7+AC7+G7,2))</f>
        <v>19.609334181057751</v>
      </c>
      <c r="AE7" s="274">
        <f t="shared" ref="AE7:AE50" si="8">SQRT(POWER(N7,2)+POWER(O7+AC7+H7,2))</f>
        <v>20.554189038354203</v>
      </c>
      <c r="AF7" s="157">
        <f t="shared" ref="AF7:AF38" si="9">SQRT(POWER((AC7+O7+G7),2)+POWER(N7,2))*POWER(6.3/X7,2)</f>
        <v>0.63534242746627112</v>
      </c>
      <c r="AG7" s="158">
        <f t="shared" ref="AG7:AG38" si="10">SQRT(POWER((H7+O7+AC7),2)+POWER(N7,2))*POWER(6.3/X7,2)</f>
        <v>0.66595572484267618</v>
      </c>
      <c r="AH7" s="159">
        <f t="shared" ref="AH7:AH50" si="11">37000/1.73/SQRT(POWER((G7+O7+AC7),2)+N7*N7)</f>
        <v>1090.6685071262609</v>
      </c>
      <c r="AI7" s="155">
        <f t="shared" ref="AI7:AI50" si="12">37000/2/SQRT(POWER((H7+O7+AC7),2)+N7*N7)</f>
        <v>900.05983527148271</v>
      </c>
      <c r="AJ7" s="155">
        <f t="shared" ref="AJ7:AJ18" si="13">AI7/1.2</f>
        <v>750.04986272623557</v>
      </c>
      <c r="AK7" s="155">
        <f t="shared" ref="AK7:AK18" si="14">AI7/1.5</f>
        <v>600.03989018098844</v>
      </c>
      <c r="AL7" s="155">
        <f t="shared" ref="AL7:AL50" si="15">SUM(6300/(1.732*AF7))</f>
        <v>5725.122764782257</v>
      </c>
      <c r="AM7" s="160">
        <f t="shared" ref="AM7:AM50" si="16">SUM(6300/(2*AG7))</f>
        <v>4730.0441793546388</v>
      </c>
    </row>
    <row r="8" spans="1:46" ht="12.75" customHeight="1" x14ac:dyDescent="0.2">
      <c r="A8" s="161">
        <v>2</v>
      </c>
      <c r="B8" s="2359"/>
      <c r="C8" s="2363"/>
      <c r="D8" s="673">
        <v>2.2999999999999998</v>
      </c>
      <c r="E8" s="145" t="s">
        <v>39</v>
      </c>
      <c r="F8" s="146" t="s">
        <v>78</v>
      </c>
      <c r="G8" s="275">
        <v>6.101</v>
      </c>
      <c r="H8" s="162">
        <v>7.0510000000000002</v>
      </c>
      <c r="I8" s="270"/>
      <c r="J8" s="271">
        <v>8.3800000000000008</v>
      </c>
      <c r="K8" s="152"/>
      <c r="L8" s="152"/>
      <c r="M8" s="272"/>
      <c r="N8" s="273">
        <f t="shared" si="0"/>
        <v>2.0866200000000004</v>
      </c>
      <c r="O8" s="152">
        <f t="shared" si="1"/>
        <v>3.3520000000000003</v>
      </c>
      <c r="P8" s="153">
        <f t="shared" si="2"/>
        <v>9.6805574232272384</v>
      </c>
      <c r="Q8" s="154">
        <f t="shared" si="3"/>
        <v>10.610202261238944</v>
      </c>
      <c r="R8" s="137">
        <f t="shared" si="4"/>
        <v>2209.3028636634308</v>
      </c>
      <c r="S8" s="142">
        <f t="shared" si="5"/>
        <v>1743.604838484933</v>
      </c>
      <c r="T8" s="1027">
        <v>2</v>
      </c>
      <c r="U8" s="152" t="s">
        <v>191</v>
      </c>
      <c r="V8" s="152">
        <v>6.3</v>
      </c>
      <c r="W8" s="152">
        <v>11</v>
      </c>
      <c r="X8" s="152">
        <v>35</v>
      </c>
      <c r="Y8" s="152">
        <v>6.3</v>
      </c>
      <c r="Z8" s="154">
        <v>6.71</v>
      </c>
      <c r="AA8" s="152" t="s">
        <v>339</v>
      </c>
      <c r="AB8" s="152">
        <v>12</v>
      </c>
      <c r="AC8" s="274">
        <f t="shared" si="6"/>
        <v>13.047222222222221</v>
      </c>
      <c r="AD8" s="151">
        <f t="shared" si="7"/>
        <v>22.596769306115036</v>
      </c>
      <c r="AE8" s="274">
        <f t="shared" si="8"/>
        <v>23.54287376884999</v>
      </c>
      <c r="AF8" s="157">
        <f t="shared" si="9"/>
        <v>0.7321353255181271</v>
      </c>
      <c r="AG8" s="158">
        <f t="shared" si="10"/>
        <v>0.76278911011073969</v>
      </c>
      <c r="AH8" s="159">
        <f t="shared" si="11"/>
        <v>946.47526587822836</v>
      </c>
      <c r="AI8" s="155">
        <f t="shared" si="12"/>
        <v>785.80041594062709</v>
      </c>
      <c r="AJ8" s="155">
        <f t="shared" si="13"/>
        <v>654.83367995052265</v>
      </c>
      <c r="AK8" s="155">
        <f t="shared" si="14"/>
        <v>523.8669439604181</v>
      </c>
      <c r="AL8" s="155">
        <f t="shared" si="15"/>
        <v>4968.2255016789368</v>
      </c>
      <c r="AM8" s="160">
        <f t="shared" si="16"/>
        <v>4129.5817654537459</v>
      </c>
    </row>
    <row r="9" spans="1:46" ht="12.75" customHeight="1" x14ac:dyDescent="0.2">
      <c r="A9" s="161">
        <v>2</v>
      </c>
      <c r="B9" s="2358" t="s">
        <v>88</v>
      </c>
      <c r="C9" s="2360" t="s">
        <v>340</v>
      </c>
      <c r="D9" s="673">
        <v>2.2999999999999998</v>
      </c>
      <c r="E9" s="145" t="s">
        <v>39</v>
      </c>
      <c r="F9" s="146" t="s">
        <v>78</v>
      </c>
      <c r="G9" s="275">
        <v>6.101</v>
      </c>
      <c r="H9" s="162">
        <v>7.0510000000000002</v>
      </c>
      <c r="I9" s="270"/>
      <c r="J9" s="271">
        <v>3.7</v>
      </c>
      <c r="K9" s="152"/>
      <c r="L9" s="152"/>
      <c r="M9" s="272"/>
      <c r="N9" s="273">
        <f t="shared" si="0"/>
        <v>0.92130000000000001</v>
      </c>
      <c r="O9" s="152">
        <f t="shared" si="1"/>
        <v>1.4800000000000002</v>
      </c>
      <c r="P9" s="153">
        <f t="shared" si="2"/>
        <v>7.6367764593446106</v>
      </c>
      <c r="Q9" s="154">
        <f t="shared" si="3"/>
        <v>8.5806033989457866</v>
      </c>
      <c r="R9" s="137">
        <f t="shared" si="4"/>
        <v>2800.5642630568341</v>
      </c>
      <c r="S9" s="142">
        <f t="shared" si="5"/>
        <v>2156.025531056815</v>
      </c>
      <c r="T9" s="1027">
        <v>1</v>
      </c>
      <c r="U9" s="152" t="s">
        <v>50</v>
      </c>
      <c r="V9" s="152">
        <v>6.3</v>
      </c>
      <c r="W9" s="152">
        <v>11</v>
      </c>
      <c r="X9" s="152">
        <v>35</v>
      </c>
      <c r="Y9" s="152">
        <v>6.3</v>
      </c>
      <c r="Z9" s="154">
        <v>7.93</v>
      </c>
      <c r="AA9" s="152" t="s">
        <v>63</v>
      </c>
      <c r="AB9" s="152">
        <v>6</v>
      </c>
      <c r="AC9" s="274">
        <f t="shared" si="6"/>
        <v>15.419444444444443</v>
      </c>
      <c r="AD9" s="151">
        <f t="shared" si="7"/>
        <v>23.01888872930175</v>
      </c>
      <c r="AE9" s="274">
        <f t="shared" si="8"/>
        <v>23.968157684236385</v>
      </c>
      <c r="AF9" s="157">
        <f t="shared" si="9"/>
        <v>0.74581199482937666</v>
      </c>
      <c r="AG9" s="158">
        <f t="shared" si="10"/>
        <v>0.77656830896925877</v>
      </c>
      <c r="AH9" s="159">
        <f t="shared" si="11"/>
        <v>929.11884185657527</v>
      </c>
      <c r="AI9" s="155">
        <f t="shared" si="12"/>
        <v>771.85740530100327</v>
      </c>
      <c r="AJ9" s="155">
        <f t="shared" si="13"/>
        <v>643.21450441750278</v>
      </c>
      <c r="AK9" s="155">
        <f t="shared" si="14"/>
        <v>514.57160353400218</v>
      </c>
      <c r="AL9" s="155">
        <f t="shared" si="15"/>
        <v>4877.1183892682211</v>
      </c>
      <c r="AM9" s="160">
        <f t="shared" si="16"/>
        <v>4056.3076855157838</v>
      </c>
    </row>
    <row r="10" spans="1:46" ht="12.75" customHeight="1" x14ac:dyDescent="0.2">
      <c r="A10" s="161">
        <v>2</v>
      </c>
      <c r="B10" s="2359"/>
      <c r="C10" s="2361"/>
      <c r="D10" s="673">
        <v>2.2999999999999998</v>
      </c>
      <c r="E10" s="145" t="s">
        <v>39</v>
      </c>
      <c r="F10" s="146" t="s">
        <v>78</v>
      </c>
      <c r="G10" s="275">
        <v>6.101</v>
      </c>
      <c r="H10" s="162">
        <v>7.0510000000000002</v>
      </c>
      <c r="I10" s="270"/>
      <c r="J10" s="271">
        <v>3.7</v>
      </c>
      <c r="K10" s="152"/>
      <c r="L10" s="152"/>
      <c r="M10" s="272"/>
      <c r="N10" s="273">
        <f t="shared" si="0"/>
        <v>0.92130000000000001</v>
      </c>
      <c r="O10" s="152">
        <f t="shared" si="1"/>
        <v>1.4800000000000002</v>
      </c>
      <c r="P10" s="153">
        <f t="shared" si="2"/>
        <v>7.6367764593446106</v>
      </c>
      <c r="Q10" s="154">
        <f t="shared" si="3"/>
        <v>8.5806033989457866</v>
      </c>
      <c r="R10" s="137">
        <f t="shared" si="4"/>
        <v>2800.5642630568341</v>
      </c>
      <c r="S10" s="142">
        <f t="shared" si="5"/>
        <v>2156.025531056815</v>
      </c>
      <c r="T10" s="1027">
        <v>2</v>
      </c>
      <c r="U10" s="152" t="s">
        <v>50</v>
      </c>
      <c r="V10" s="152">
        <v>6.3</v>
      </c>
      <c r="W10" s="152">
        <v>11</v>
      </c>
      <c r="X10" s="152">
        <v>35</v>
      </c>
      <c r="Y10" s="152">
        <v>6.3</v>
      </c>
      <c r="Z10" s="154">
        <v>8</v>
      </c>
      <c r="AA10" s="152" t="s">
        <v>63</v>
      </c>
      <c r="AB10" s="152">
        <v>13.5</v>
      </c>
      <c r="AC10" s="274">
        <f t="shared" si="6"/>
        <v>15.555555555555559</v>
      </c>
      <c r="AD10" s="151">
        <f t="shared" si="7"/>
        <v>23.154891419855733</v>
      </c>
      <c r="AE10" s="274">
        <f t="shared" si="8"/>
        <v>24.104168772659722</v>
      </c>
      <c r="AF10" s="157">
        <f t="shared" si="9"/>
        <v>0.75021848200332575</v>
      </c>
      <c r="AG10" s="158">
        <f t="shared" si="10"/>
        <v>0.78097506823417517</v>
      </c>
      <c r="AH10" s="159">
        <f t="shared" si="11"/>
        <v>923.66156459944523</v>
      </c>
      <c r="AI10" s="155">
        <f t="shared" si="12"/>
        <v>767.50209370354708</v>
      </c>
      <c r="AJ10" s="155">
        <f t="shared" si="13"/>
        <v>639.58507808628929</v>
      </c>
      <c r="AK10" s="155">
        <f t="shared" si="14"/>
        <v>511.66806246903138</v>
      </c>
      <c r="AL10" s="155">
        <f t="shared" si="15"/>
        <v>4848.4721213560342</v>
      </c>
      <c r="AM10" s="160">
        <f t="shared" si="16"/>
        <v>4033.419411354977</v>
      </c>
    </row>
    <row r="11" spans="1:46" ht="12.75" customHeight="1" x14ac:dyDescent="0.2">
      <c r="A11" s="161">
        <v>2</v>
      </c>
      <c r="B11" s="2358" t="s">
        <v>91</v>
      </c>
      <c r="C11" s="2362" t="s">
        <v>43</v>
      </c>
      <c r="D11" s="673">
        <v>2.5</v>
      </c>
      <c r="E11" s="145" t="s">
        <v>39</v>
      </c>
      <c r="F11" s="146" t="s">
        <v>159</v>
      </c>
      <c r="G11" s="2135">
        <f>G5</f>
        <v>5.0832300606437277</v>
      </c>
      <c r="H11" s="2149">
        <f>H5</f>
        <v>4.8489919515499249</v>
      </c>
      <c r="I11" s="270"/>
      <c r="J11" s="271">
        <v>16.350000000000001</v>
      </c>
      <c r="K11" s="152"/>
      <c r="L11" s="152"/>
      <c r="M11" s="272"/>
      <c r="N11" s="273">
        <f t="shared" si="0"/>
        <v>4.0711500000000003</v>
      </c>
      <c r="O11" s="152">
        <f t="shared" si="1"/>
        <v>6.5400000000000009</v>
      </c>
      <c r="P11" s="153">
        <f t="shared" si="2"/>
        <v>12.315589282090889</v>
      </c>
      <c r="Q11" s="154">
        <f t="shared" si="3"/>
        <v>12.094767463451664</v>
      </c>
      <c r="R11" s="137">
        <f t="shared" si="4"/>
        <v>1736.6025081800371</v>
      </c>
      <c r="S11" s="142">
        <f t="shared" si="5"/>
        <v>1529.5870760561427</v>
      </c>
      <c r="T11" s="1027">
        <v>1</v>
      </c>
      <c r="U11" s="152" t="s">
        <v>50</v>
      </c>
      <c r="V11" s="152">
        <v>6.3</v>
      </c>
      <c r="W11" s="152">
        <v>11</v>
      </c>
      <c r="X11" s="152">
        <v>35</v>
      </c>
      <c r="Y11" s="152">
        <v>6.3</v>
      </c>
      <c r="Z11" s="154">
        <v>8</v>
      </c>
      <c r="AA11" s="152" t="s">
        <v>51</v>
      </c>
      <c r="AB11" s="152">
        <v>6</v>
      </c>
      <c r="AC11" s="274">
        <f t="shared" si="6"/>
        <v>15.555555555555559</v>
      </c>
      <c r="AD11" s="151">
        <f t="shared" si="7"/>
        <v>27.482005929222513</v>
      </c>
      <c r="AE11" s="274">
        <f t="shared" si="8"/>
        <v>27.250374358624217</v>
      </c>
      <c r="AF11" s="1303">
        <f t="shared" si="9"/>
        <v>0.89041699210680936</v>
      </c>
      <c r="AG11" s="1304">
        <f t="shared" si="10"/>
        <v>0.88291212921942464</v>
      </c>
      <c r="AH11" s="159">
        <f t="shared" si="11"/>
        <v>778.22860864215249</v>
      </c>
      <c r="AI11" s="155">
        <f t="shared" si="12"/>
        <v>678.88975602807113</v>
      </c>
      <c r="AJ11" s="155">
        <f t="shared" si="13"/>
        <v>565.74146335672594</v>
      </c>
      <c r="AK11" s="155">
        <f t="shared" si="14"/>
        <v>452.59317068538076</v>
      </c>
      <c r="AL11" s="155">
        <f t="shared" si="15"/>
        <v>4085.0673641264534</v>
      </c>
      <c r="AM11" s="160">
        <f t="shared" si="16"/>
        <v>3567.738958105479</v>
      </c>
    </row>
    <row r="12" spans="1:46" ht="12.75" customHeight="1" x14ac:dyDescent="0.2">
      <c r="A12" s="161">
        <v>2</v>
      </c>
      <c r="B12" s="2359"/>
      <c r="C12" s="2363"/>
      <c r="D12" s="673">
        <v>2.5</v>
      </c>
      <c r="E12" s="145" t="s">
        <v>39</v>
      </c>
      <c r="F12" s="146" t="s">
        <v>159</v>
      </c>
      <c r="G12" s="2135">
        <f>G6</f>
        <v>5.0835973991363321</v>
      </c>
      <c r="H12" s="2149">
        <f>H6</f>
        <v>4.8489919515499249</v>
      </c>
      <c r="I12" s="270"/>
      <c r="J12" s="271">
        <v>16.350000000000001</v>
      </c>
      <c r="K12" s="152"/>
      <c r="L12" s="152"/>
      <c r="M12" s="272"/>
      <c r="N12" s="273">
        <f t="shared" si="0"/>
        <v>4.0711500000000003</v>
      </c>
      <c r="O12" s="152">
        <f t="shared" si="1"/>
        <v>6.5400000000000009</v>
      </c>
      <c r="P12" s="153">
        <f t="shared" si="2"/>
        <v>12.315935970104299</v>
      </c>
      <c r="Q12" s="154">
        <f t="shared" si="3"/>
        <v>12.094767463451664</v>
      </c>
      <c r="R12" s="137">
        <f t="shared" si="4"/>
        <v>1736.5536236068219</v>
      </c>
      <c r="S12" s="142">
        <f t="shared" si="5"/>
        <v>1529.5870760561427</v>
      </c>
      <c r="T12" s="1027">
        <v>2</v>
      </c>
      <c r="U12" s="152" t="s">
        <v>50</v>
      </c>
      <c r="V12" s="152">
        <v>6.3</v>
      </c>
      <c r="W12" s="152">
        <v>11</v>
      </c>
      <c r="X12" s="152">
        <v>35</v>
      </c>
      <c r="Y12" s="152">
        <v>6.3</v>
      </c>
      <c r="Z12" s="154">
        <v>7.91</v>
      </c>
      <c r="AA12" s="152" t="s">
        <v>51</v>
      </c>
      <c r="AB12" s="152">
        <v>6</v>
      </c>
      <c r="AC12" s="274">
        <f t="shared" si="6"/>
        <v>15.380555555555555</v>
      </c>
      <c r="AD12" s="151">
        <f t="shared" si="7"/>
        <v>27.309312315085759</v>
      </c>
      <c r="AE12" s="274">
        <f t="shared" si="8"/>
        <v>27.077350979327299</v>
      </c>
      <c r="AF12" s="1303">
        <f t="shared" si="9"/>
        <v>0.88482171900877848</v>
      </c>
      <c r="AG12" s="1304">
        <f t="shared" si="10"/>
        <v>0.87730617173020442</v>
      </c>
      <c r="AH12" s="159">
        <f t="shared" si="11"/>
        <v>783.14982780360276</v>
      </c>
      <c r="AI12" s="155">
        <f t="shared" si="12"/>
        <v>683.22783916802518</v>
      </c>
      <c r="AJ12" s="155">
        <f t="shared" si="13"/>
        <v>569.35653264002099</v>
      </c>
      <c r="AK12" s="155">
        <f t="shared" si="14"/>
        <v>455.48522611201679</v>
      </c>
      <c r="AL12" s="155">
        <f t="shared" si="15"/>
        <v>4110.8997629420546</v>
      </c>
      <c r="AM12" s="160">
        <f t="shared" si="16"/>
        <v>3590.5366923244569</v>
      </c>
    </row>
    <row r="13" spans="1:46" ht="12.75" customHeight="1" x14ac:dyDescent="0.2">
      <c r="A13" s="161">
        <v>2</v>
      </c>
      <c r="B13" s="2358" t="s">
        <v>92</v>
      </c>
      <c r="C13" s="2362" t="s">
        <v>43</v>
      </c>
      <c r="D13" s="673">
        <v>2.4</v>
      </c>
      <c r="E13" s="145" t="s">
        <v>39</v>
      </c>
      <c r="F13" s="146" t="s">
        <v>57</v>
      </c>
      <c r="G13" s="152">
        <v>6.141</v>
      </c>
      <c r="H13" s="162">
        <v>6.81</v>
      </c>
      <c r="I13" s="270"/>
      <c r="J13" s="271">
        <v>3.7</v>
      </c>
      <c r="K13" s="152"/>
      <c r="L13" s="152"/>
      <c r="M13" s="272"/>
      <c r="N13" s="273">
        <f t="shared" si="0"/>
        <v>0.92130000000000001</v>
      </c>
      <c r="O13" s="152">
        <f t="shared" si="1"/>
        <v>1.4800000000000002</v>
      </c>
      <c r="P13" s="153">
        <f t="shared" si="2"/>
        <v>7.6764858294665022</v>
      </c>
      <c r="Q13" s="154">
        <f t="shared" si="3"/>
        <v>8.3410367275297368</v>
      </c>
      <c r="R13" s="137">
        <f t="shared" si="4"/>
        <v>2786.0773421737149</v>
      </c>
      <c r="S13" s="142">
        <f t="shared" si="5"/>
        <v>2217.9497110881225</v>
      </c>
      <c r="T13" s="1027">
        <v>1</v>
      </c>
      <c r="U13" s="152" t="s">
        <v>50</v>
      </c>
      <c r="V13" s="152">
        <v>6.3</v>
      </c>
      <c r="W13" s="152">
        <v>11</v>
      </c>
      <c r="X13" s="152">
        <v>35</v>
      </c>
      <c r="Y13" s="152">
        <v>6.3</v>
      </c>
      <c r="Z13" s="154">
        <v>7.7</v>
      </c>
      <c r="AA13" s="152" t="s">
        <v>51</v>
      </c>
      <c r="AB13" s="152">
        <v>6</v>
      </c>
      <c r="AC13" s="274">
        <f t="shared" si="6"/>
        <v>14.972222222222221</v>
      </c>
      <c r="AD13" s="151">
        <f t="shared" si="7"/>
        <v>22.611998674878699</v>
      </c>
      <c r="AE13" s="274">
        <f t="shared" si="8"/>
        <v>23.280459110723079</v>
      </c>
      <c r="AF13" s="157">
        <f t="shared" si="9"/>
        <v>0.73262875706606978</v>
      </c>
      <c r="AG13" s="158">
        <f t="shared" si="10"/>
        <v>0.75428687518742776</v>
      </c>
      <c r="AH13" s="159">
        <f t="shared" si="11"/>
        <v>945.83780693189658</v>
      </c>
      <c r="AI13" s="155">
        <f t="shared" si="12"/>
        <v>794.65786787163574</v>
      </c>
      <c r="AJ13" s="155">
        <f t="shared" si="13"/>
        <v>662.21488989302986</v>
      </c>
      <c r="AK13" s="155">
        <f t="shared" si="14"/>
        <v>529.77191191442387</v>
      </c>
      <c r="AL13" s="155">
        <f t="shared" si="15"/>
        <v>4964.8793605724377</v>
      </c>
      <c r="AM13" s="160">
        <f t="shared" si="16"/>
        <v>4176.1299362623504</v>
      </c>
      <c r="AN13" s="100">
        <v>6.3E-2</v>
      </c>
      <c r="AO13" s="100">
        <v>6</v>
      </c>
      <c r="AP13" s="100">
        <v>4.5</v>
      </c>
      <c r="AQ13" s="274">
        <f>AP13/100*AO13*AO13/AN13</f>
        <v>25.714285714285715</v>
      </c>
      <c r="AR13" s="1092">
        <f>AQ13*((35/6)^2)</f>
        <v>874.99999999999989</v>
      </c>
      <c r="AS13" s="151">
        <f>SQRT(POWER(N13,2)+POWER(O13+AC13+G13+AR13,2))</f>
        <v>897.59369503855226</v>
      </c>
      <c r="AT13" s="100">
        <f>37000/(SQRT(3)*AS13)</f>
        <v>23.799142171000479</v>
      </c>
    </row>
    <row r="14" spans="1:46" ht="12.75" customHeight="1" x14ac:dyDescent="0.2">
      <c r="A14" s="161">
        <v>2</v>
      </c>
      <c r="B14" s="2359"/>
      <c r="C14" s="2363"/>
      <c r="D14" s="673">
        <v>2.4</v>
      </c>
      <c r="E14" s="145" t="s">
        <v>39</v>
      </c>
      <c r="F14" s="146" t="s">
        <v>57</v>
      </c>
      <c r="G14" s="152">
        <v>6.141</v>
      </c>
      <c r="H14" s="162">
        <v>6.81</v>
      </c>
      <c r="I14" s="270"/>
      <c r="J14" s="271">
        <v>3.7</v>
      </c>
      <c r="K14" s="152"/>
      <c r="L14" s="152"/>
      <c r="M14" s="272"/>
      <c r="N14" s="273">
        <f t="shared" si="0"/>
        <v>0.92130000000000001</v>
      </c>
      <c r="O14" s="152">
        <f t="shared" si="1"/>
        <v>1.4800000000000002</v>
      </c>
      <c r="P14" s="153">
        <f t="shared" si="2"/>
        <v>7.6764858294665022</v>
      </c>
      <c r="Q14" s="154">
        <f t="shared" si="3"/>
        <v>8.3410367275297368</v>
      </c>
      <c r="R14" s="137">
        <f t="shared" si="4"/>
        <v>2786.0773421737149</v>
      </c>
      <c r="S14" s="142">
        <f t="shared" si="5"/>
        <v>2217.9497110881225</v>
      </c>
      <c r="T14" s="1027">
        <v>2</v>
      </c>
      <c r="U14" s="152" t="s">
        <v>50</v>
      </c>
      <c r="V14" s="152">
        <v>6.3</v>
      </c>
      <c r="W14" s="152">
        <v>11</v>
      </c>
      <c r="X14" s="152">
        <v>35</v>
      </c>
      <c r="Y14" s="152">
        <v>6.3</v>
      </c>
      <c r="Z14" s="154">
        <v>7.7</v>
      </c>
      <c r="AA14" s="152" t="s">
        <v>51</v>
      </c>
      <c r="AB14" s="152">
        <v>6</v>
      </c>
      <c r="AC14" s="274">
        <f t="shared" si="6"/>
        <v>14.972222222222221</v>
      </c>
      <c r="AD14" s="151">
        <f t="shared" si="7"/>
        <v>22.611998674878699</v>
      </c>
      <c r="AE14" s="274">
        <f t="shared" si="8"/>
        <v>23.280459110723079</v>
      </c>
      <c r="AF14" s="157">
        <f t="shared" si="9"/>
        <v>0.73262875706606978</v>
      </c>
      <c r="AG14" s="158">
        <f t="shared" si="10"/>
        <v>0.75428687518742776</v>
      </c>
      <c r="AH14" s="159">
        <f t="shared" si="11"/>
        <v>945.83780693189658</v>
      </c>
      <c r="AI14" s="155">
        <f t="shared" si="12"/>
        <v>794.65786787163574</v>
      </c>
      <c r="AJ14" s="155">
        <f t="shared" si="13"/>
        <v>662.21488989302986</v>
      </c>
      <c r="AK14" s="155">
        <f t="shared" si="14"/>
        <v>529.77191191442387</v>
      </c>
      <c r="AL14" s="155">
        <f t="shared" si="15"/>
        <v>4964.8793605724377</v>
      </c>
      <c r="AM14" s="160">
        <f t="shared" si="16"/>
        <v>4176.1299362623504</v>
      </c>
    </row>
    <row r="15" spans="1:46" ht="12.75" customHeight="1" x14ac:dyDescent="0.2">
      <c r="A15" s="161">
        <v>2</v>
      </c>
      <c r="B15" s="2358" t="s">
        <v>93</v>
      </c>
      <c r="C15" s="2360" t="s">
        <v>341</v>
      </c>
      <c r="D15" s="673">
        <v>1.4</v>
      </c>
      <c r="E15" s="279" t="s">
        <v>39</v>
      </c>
      <c r="F15" s="146" t="s">
        <v>159</v>
      </c>
      <c r="G15" s="2135">
        <f>G5</f>
        <v>5.0832300606437277</v>
      </c>
      <c r="H15" s="2149">
        <f>H5</f>
        <v>4.8489919515499249</v>
      </c>
      <c r="I15" s="270"/>
      <c r="J15" s="271">
        <v>11.3</v>
      </c>
      <c r="K15" s="152"/>
      <c r="L15" s="152"/>
      <c r="M15" s="272"/>
      <c r="N15" s="273">
        <f>0.314*I15+0.249*J15+0.195*K15+0.159*L15+0.06*M15</f>
        <v>2.8137000000000003</v>
      </c>
      <c r="O15" s="152">
        <f>0.4*SUM(I15:M15)</f>
        <v>4.5200000000000005</v>
      </c>
      <c r="P15" s="153">
        <f t="shared" si="2"/>
        <v>10.006944353180513</v>
      </c>
      <c r="Q15" s="154">
        <f t="shared" si="3"/>
        <v>9.7823779255458785</v>
      </c>
      <c r="R15" s="137">
        <f t="shared" si="4"/>
        <v>2137.2441458812236</v>
      </c>
      <c r="S15" s="142">
        <f t="shared" si="5"/>
        <v>1891.1557231589638</v>
      </c>
      <c r="T15" s="1027">
        <v>1</v>
      </c>
      <c r="U15" s="152" t="s">
        <v>50</v>
      </c>
      <c r="V15" s="152">
        <v>6.3</v>
      </c>
      <c r="W15" s="152">
        <v>11</v>
      </c>
      <c r="X15" s="152">
        <v>35</v>
      </c>
      <c r="Y15" s="152">
        <v>6.3</v>
      </c>
      <c r="Z15" s="154">
        <v>8.09</v>
      </c>
      <c r="AA15" s="152" t="s">
        <v>63</v>
      </c>
      <c r="AB15" s="152">
        <v>10</v>
      </c>
      <c r="AC15" s="274">
        <f>Z15/100*X15*X15/V15</f>
        <v>15.730555555555558</v>
      </c>
      <c r="AD15" s="151">
        <f t="shared" si="7"/>
        <v>25.489558672867325</v>
      </c>
      <c r="AE15" s="274">
        <f t="shared" si="8"/>
        <v>25.256765286779011</v>
      </c>
      <c r="AF15" s="1303">
        <f t="shared" si="9"/>
        <v>0.82586170100090128</v>
      </c>
      <c r="AG15" s="1304">
        <f t="shared" si="10"/>
        <v>0.81831919529163988</v>
      </c>
      <c r="AH15" s="159">
        <f t="shared" si="11"/>
        <v>839.06055461682729</v>
      </c>
      <c r="AI15" s="155">
        <f t="shared" si="12"/>
        <v>732.47701318601048</v>
      </c>
      <c r="AJ15" s="155">
        <f>AI15/1.2</f>
        <v>610.39751098834211</v>
      </c>
      <c r="AK15" s="155">
        <f>AI15/1.5</f>
        <v>488.31800879067367</v>
      </c>
      <c r="AL15" s="155">
        <f t="shared" si="15"/>
        <v>4404.3856138513429</v>
      </c>
      <c r="AM15" s="160">
        <f t="shared" si="16"/>
        <v>3849.3536728994545</v>
      </c>
    </row>
    <row r="16" spans="1:46" ht="12.75" customHeight="1" x14ac:dyDescent="0.2">
      <c r="A16" s="161">
        <v>2</v>
      </c>
      <c r="B16" s="2359"/>
      <c r="C16" s="2361"/>
      <c r="D16" s="673">
        <v>1.4</v>
      </c>
      <c r="E16" s="279" t="s">
        <v>39</v>
      </c>
      <c r="F16" s="146" t="s">
        <v>159</v>
      </c>
      <c r="G16" s="2135">
        <f>G6</f>
        <v>5.0835973991363321</v>
      </c>
      <c r="H16" s="2149">
        <f>H6</f>
        <v>4.8489919515499249</v>
      </c>
      <c r="I16" s="270"/>
      <c r="J16" s="271">
        <v>11.3</v>
      </c>
      <c r="K16" s="152"/>
      <c r="L16" s="152"/>
      <c r="M16" s="272"/>
      <c r="N16" s="273">
        <f>0.314*I16+0.249*J16+0.195*K16+0.159*L16+0.06*M16</f>
        <v>2.8137000000000003</v>
      </c>
      <c r="O16" s="152">
        <f>0.4*SUM(I16:M16)</f>
        <v>4.5200000000000005</v>
      </c>
      <c r="P16" s="153">
        <f t="shared" si="2"/>
        <v>10.007296872517481</v>
      </c>
      <c r="Q16" s="154">
        <f t="shared" si="3"/>
        <v>9.7823779255458785</v>
      </c>
      <c r="R16" s="137">
        <f t="shared" si="4"/>
        <v>2137.1688588283018</v>
      </c>
      <c r="S16" s="142">
        <f t="shared" si="5"/>
        <v>1891.1557231589638</v>
      </c>
      <c r="T16" s="1027">
        <v>2</v>
      </c>
      <c r="U16" s="152" t="s">
        <v>50</v>
      </c>
      <c r="V16" s="152">
        <v>6.3</v>
      </c>
      <c r="W16" s="152">
        <v>11</v>
      </c>
      <c r="X16" s="152">
        <v>35</v>
      </c>
      <c r="Y16" s="152">
        <v>6.3</v>
      </c>
      <c r="Z16" s="154">
        <v>8</v>
      </c>
      <c r="AA16" s="152" t="s">
        <v>63</v>
      </c>
      <c r="AB16" s="152">
        <v>10</v>
      </c>
      <c r="AC16" s="274">
        <f>Z16/100*X16*X16/V16</f>
        <v>15.555555555555559</v>
      </c>
      <c r="AD16" s="151">
        <f t="shared" si="7"/>
        <v>25.316000574490072</v>
      </c>
      <c r="AE16" s="274">
        <f t="shared" si="8"/>
        <v>25.082862199596729</v>
      </c>
      <c r="AF16" s="1303">
        <f t="shared" si="9"/>
        <v>0.82023841861347835</v>
      </c>
      <c r="AG16" s="1304">
        <f t="shared" si="10"/>
        <v>0.81268473526693397</v>
      </c>
      <c r="AH16" s="159">
        <f t="shared" si="11"/>
        <v>844.81287532223132</v>
      </c>
      <c r="AI16" s="155">
        <f t="shared" si="12"/>
        <v>737.55538155041313</v>
      </c>
      <c r="AJ16" s="155">
        <f>AI16/1.2</f>
        <v>614.62948462534428</v>
      </c>
      <c r="AK16" s="155">
        <f>AI16/1.5</f>
        <v>491.70358770027542</v>
      </c>
      <c r="AL16" s="155">
        <f t="shared" si="15"/>
        <v>4434.5806199468334</v>
      </c>
      <c r="AM16" s="160">
        <f t="shared" si="16"/>
        <v>3876.0417949346038</v>
      </c>
    </row>
    <row r="17" spans="1:39" ht="12.75" customHeight="1" x14ac:dyDescent="0.2">
      <c r="A17" s="161">
        <v>2</v>
      </c>
      <c r="B17" s="2358" t="s">
        <v>95</v>
      </c>
      <c r="C17" s="2360" t="s">
        <v>341</v>
      </c>
      <c r="D17" s="673">
        <v>2.5</v>
      </c>
      <c r="E17" s="145" t="s">
        <v>39</v>
      </c>
      <c r="F17" s="146" t="s">
        <v>159</v>
      </c>
      <c r="G17" s="2135">
        <f>G5</f>
        <v>5.0832300606437277</v>
      </c>
      <c r="H17" s="2149">
        <f>H5</f>
        <v>4.8489919515499249</v>
      </c>
      <c r="I17" s="270"/>
      <c r="J17" s="271">
        <v>19.73</v>
      </c>
      <c r="K17" s="152"/>
      <c r="L17" s="152"/>
      <c r="M17" s="272"/>
      <c r="N17" s="273">
        <f t="shared" si="0"/>
        <v>4.9127700000000001</v>
      </c>
      <c r="O17" s="152">
        <f t="shared" si="1"/>
        <v>7.8920000000000003</v>
      </c>
      <c r="P17" s="153">
        <f t="shared" si="2"/>
        <v>13.874145170046789</v>
      </c>
      <c r="Q17" s="154">
        <f t="shared" si="3"/>
        <v>13.655335403510234</v>
      </c>
      <c r="R17" s="137">
        <f t="shared" si="4"/>
        <v>1541.5207910010713</v>
      </c>
      <c r="S17" s="142">
        <f t="shared" si="5"/>
        <v>1354.7818089656296</v>
      </c>
      <c r="T17" s="1027">
        <v>1</v>
      </c>
      <c r="U17" s="152" t="s">
        <v>50</v>
      </c>
      <c r="V17" s="152">
        <v>6.3</v>
      </c>
      <c r="W17" s="152">
        <v>11</v>
      </c>
      <c r="X17" s="152">
        <v>35</v>
      </c>
      <c r="Y17" s="152">
        <v>6.3</v>
      </c>
      <c r="Z17" s="154">
        <v>8</v>
      </c>
      <c r="AA17" s="152" t="s">
        <v>63</v>
      </c>
      <c r="AB17" s="152">
        <v>5.32</v>
      </c>
      <c r="AC17" s="274">
        <f t="shared" si="6"/>
        <v>15.555555555555559</v>
      </c>
      <c r="AD17" s="151">
        <f t="shared" si="7"/>
        <v>28.950665570076698</v>
      </c>
      <c r="AE17" s="274">
        <f t="shared" si="8"/>
        <v>28.719852191381101</v>
      </c>
      <c r="AF17" s="1303">
        <f t="shared" si="9"/>
        <v>0.93800156447048499</v>
      </c>
      <c r="AG17" s="1304">
        <f t="shared" si="10"/>
        <v>0.93052321100074764</v>
      </c>
      <c r="AH17" s="159">
        <f t="shared" si="11"/>
        <v>738.7492762549831</v>
      </c>
      <c r="AI17" s="155">
        <f t="shared" si="12"/>
        <v>644.15373299002897</v>
      </c>
      <c r="AJ17" s="155">
        <f t="shared" si="13"/>
        <v>536.79477749169087</v>
      </c>
      <c r="AK17" s="155">
        <f t="shared" si="14"/>
        <v>429.43582199335265</v>
      </c>
      <c r="AL17" s="155">
        <f t="shared" si="15"/>
        <v>3877.8329724562236</v>
      </c>
      <c r="AM17" s="160">
        <f t="shared" si="16"/>
        <v>3385.1922904881403</v>
      </c>
    </row>
    <row r="18" spans="1:39" ht="12.75" customHeight="1" x14ac:dyDescent="0.2">
      <c r="A18" s="161">
        <v>2</v>
      </c>
      <c r="B18" s="2359"/>
      <c r="C18" s="2361"/>
      <c r="D18" s="673">
        <v>2.5</v>
      </c>
      <c r="E18" s="145" t="s">
        <v>39</v>
      </c>
      <c r="F18" s="146" t="s">
        <v>159</v>
      </c>
      <c r="G18" s="2135">
        <f>G6</f>
        <v>5.0835973991363321</v>
      </c>
      <c r="H18" s="2149">
        <f>H6</f>
        <v>4.8489919515499249</v>
      </c>
      <c r="I18" s="270"/>
      <c r="J18" s="271">
        <v>19.73</v>
      </c>
      <c r="K18" s="152"/>
      <c r="L18" s="152"/>
      <c r="M18" s="272"/>
      <c r="N18" s="273">
        <f t="shared" si="0"/>
        <v>4.9127700000000001</v>
      </c>
      <c r="O18" s="152">
        <f t="shared" si="1"/>
        <v>7.8920000000000003</v>
      </c>
      <c r="P18" s="153">
        <f t="shared" si="2"/>
        <v>13.874488709043428</v>
      </c>
      <c r="Q18" s="154">
        <f t="shared" si="3"/>
        <v>13.655335403510234</v>
      </c>
      <c r="R18" s="137">
        <f t="shared" si="4"/>
        <v>1541.4826222067506</v>
      </c>
      <c r="S18" s="142">
        <f t="shared" si="5"/>
        <v>1354.7818089656296</v>
      </c>
      <c r="T18" s="1027">
        <v>2</v>
      </c>
      <c r="U18" s="152" t="s">
        <v>50</v>
      </c>
      <c r="V18" s="152">
        <v>6.3</v>
      </c>
      <c r="W18" s="152">
        <v>11</v>
      </c>
      <c r="X18" s="152">
        <v>35</v>
      </c>
      <c r="Y18" s="152">
        <v>6.3</v>
      </c>
      <c r="Z18" s="154">
        <v>8.08</v>
      </c>
      <c r="AA18" s="152" t="s">
        <v>63</v>
      </c>
      <c r="AB18" s="152">
        <v>5.32</v>
      </c>
      <c r="AC18" s="274">
        <f t="shared" si="6"/>
        <v>15.71111111111111</v>
      </c>
      <c r="AD18" s="151">
        <f t="shared" si="7"/>
        <v>29.104339096169198</v>
      </c>
      <c r="AE18" s="274">
        <f t="shared" si="8"/>
        <v>28.87312725981004</v>
      </c>
      <c r="AF18" s="1303">
        <f t="shared" si="9"/>
        <v>0.94298058671588203</v>
      </c>
      <c r="AG18" s="1304">
        <f t="shared" si="10"/>
        <v>0.93548932321784528</v>
      </c>
      <c r="AH18" s="159">
        <f t="shared" si="11"/>
        <v>734.84861368349289</v>
      </c>
      <c r="AI18" s="155">
        <f t="shared" si="12"/>
        <v>640.7341966642831</v>
      </c>
      <c r="AJ18" s="155">
        <f t="shared" si="13"/>
        <v>533.94516388690261</v>
      </c>
      <c r="AK18" s="155">
        <f t="shared" si="14"/>
        <v>427.15613110952205</v>
      </c>
      <c r="AL18" s="155">
        <f t="shared" si="15"/>
        <v>3857.3576658531074</v>
      </c>
      <c r="AM18" s="160">
        <f t="shared" si="16"/>
        <v>3367.2217542417279</v>
      </c>
    </row>
    <row r="19" spans="1:39" ht="12.75" customHeight="1" x14ac:dyDescent="0.2">
      <c r="A19" s="161">
        <v>2</v>
      </c>
      <c r="B19" s="2358" t="s">
        <v>135</v>
      </c>
      <c r="C19" s="2360" t="s">
        <v>341</v>
      </c>
      <c r="D19" s="673">
        <v>5.6</v>
      </c>
      <c r="E19" s="145" t="s">
        <v>39</v>
      </c>
      <c r="F19" s="146" t="s">
        <v>46</v>
      </c>
      <c r="G19" s="2145">
        <f>Мартыновская!G15</f>
        <v>4.9020181386774881</v>
      </c>
      <c r="H19" s="2152">
        <f>Мартыновская!H15</f>
        <v>5.2862861120779669</v>
      </c>
      <c r="I19" s="270"/>
      <c r="J19" s="271">
        <v>12.96</v>
      </c>
      <c r="K19" s="152"/>
      <c r="L19" s="152"/>
      <c r="M19" s="280">
        <v>1.81</v>
      </c>
      <c r="N19" s="273">
        <f t="shared" ref="N19:N50" si="17">0.314*I19+0.249*J19+0.195*K19+0.159*L19+0.06*M19</f>
        <v>3.3356400000000002</v>
      </c>
      <c r="O19" s="152">
        <f t="shared" ref="O19:O50" si="18">0.4*SUM(I19:M19)</f>
        <v>5.9080000000000013</v>
      </c>
      <c r="P19" s="153">
        <f t="shared" ref="P19:P50" si="19">SQRT(POWER(N19,2)+POWER(O19+G19,2))</f>
        <v>11.312956570593574</v>
      </c>
      <c r="Q19" s="154">
        <f t="shared" ref="Q19:Q50" si="20">SQRT(POWER(N19,2)+POWER(O19+H19,2))</f>
        <v>11.680690723097742</v>
      </c>
      <c r="R19" s="137">
        <f t="shared" si="4"/>
        <v>1890.5122726792242</v>
      </c>
      <c r="S19" s="142">
        <f t="shared" si="5"/>
        <v>1583.8104473922551</v>
      </c>
      <c r="T19" s="1027">
        <v>1</v>
      </c>
      <c r="U19" s="152" t="s">
        <v>50</v>
      </c>
      <c r="V19" s="152">
        <v>6.3</v>
      </c>
      <c r="W19" s="152">
        <v>11</v>
      </c>
      <c r="X19" s="152">
        <v>35</v>
      </c>
      <c r="Y19" s="152">
        <v>6.3</v>
      </c>
      <c r="Z19" s="154">
        <v>7.8</v>
      </c>
      <c r="AA19" s="152" t="s">
        <v>63</v>
      </c>
      <c r="AB19" s="152">
        <v>10</v>
      </c>
      <c r="AC19" s="274">
        <f t="shared" ref="AC19:AC50" si="21">Z19/100*X19*X19/V19</f>
        <v>15.166666666666666</v>
      </c>
      <c r="AD19" s="151">
        <f t="shared" si="7"/>
        <v>26.189972273482798</v>
      </c>
      <c r="AE19" s="274">
        <f t="shared" si="8"/>
        <v>26.571155895308816</v>
      </c>
      <c r="AF19" s="2083">
        <f t="shared" si="9"/>
        <v>0.84855510166084258</v>
      </c>
      <c r="AG19" s="2084">
        <f t="shared" si="10"/>
        <v>0.86090545100800564</v>
      </c>
      <c r="AH19" s="159">
        <f t="shared" si="11"/>
        <v>816.62107212876742</v>
      </c>
      <c r="AI19" s="155">
        <f t="shared" si="12"/>
        <v>696.24370399581323</v>
      </c>
      <c r="AJ19" s="155">
        <f t="shared" ref="AJ19:AJ50" si="22">AI19/1.2</f>
        <v>580.20308666317771</v>
      </c>
      <c r="AK19" s="155">
        <f t="shared" ref="AK19:AK50" si="23">AI19/1.5</f>
        <v>464.16246933054214</v>
      </c>
      <c r="AL19" s="155">
        <f t="shared" si="15"/>
        <v>4286.5965778766831</v>
      </c>
      <c r="AM19" s="160">
        <f t="shared" si="16"/>
        <v>3658.9383843623818</v>
      </c>
    </row>
    <row r="20" spans="1:39" ht="12.75" customHeight="1" x14ac:dyDescent="0.2">
      <c r="A20" s="161">
        <v>2</v>
      </c>
      <c r="B20" s="2359"/>
      <c r="C20" s="2361"/>
      <c r="D20" s="673">
        <v>5.6</v>
      </c>
      <c r="E20" s="145" t="s">
        <v>39</v>
      </c>
      <c r="F20" s="146" t="s">
        <v>46</v>
      </c>
      <c r="G20" s="2145">
        <f>Мартыновская!G16</f>
        <v>4.8982573492001933</v>
      </c>
      <c r="H20" s="2152">
        <f>Мартыновская!H16</f>
        <v>5.2312064066132784</v>
      </c>
      <c r="I20" s="270"/>
      <c r="J20" s="271">
        <v>12.96</v>
      </c>
      <c r="K20" s="152"/>
      <c r="L20" s="152"/>
      <c r="M20" s="280">
        <v>1.81</v>
      </c>
      <c r="N20" s="273">
        <f t="shared" si="17"/>
        <v>3.3356400000000002</v>
      </c>
      <c r="O20" s="152">
        <f t="shared" si="18"/>
        <v>5.9080000000000013</v>
      </c>
      <c r="P20" s="153">
        <f t="shared" si="19"/>
        <v>11.309363028338209</v>
      </c>
      <c r="Q20" s="154">
        <f t="shared" si="20"/>
        <v>11.627915272254711</v>
      </c>
      <c r="R20" s="137">
        <f t="shared" si="4"/>
        <v>1891.1129816421546</v>
      </c>
      <c r="S20" s="142">
        <f t="shared" si="5"/>
        <v>1590.9988649592867</v>
      </c>
      <c r="T20" s="1027">
        <v>2</v>
      </c>
      <c r="U20" s="152" t="s">
        <v>50</v>
      </c>
      <c r="V20" s="152">
        <v>6.3</v>
      </c>
      <c r="W20" s="152">
        <v>11</v>
      </c>
      <c r="X20" s="152">
        <v>35</v>
      </c>
      <c r="Y20" s="152">
        <v>6.3</v>
      </c>
      <c r="Z20" s="154">
        <v>7.8</v>
      </c>
      <c r="AA20" s="152" t="s">
        <v>63</v>
      </c>
      <c r="AB20" s="152">
        <v>10</v>
      </c>
      <c r="AC20" s="274">
        <f t="shared" si="21"/>
        <v>15.166666666666666</v>
      </c>
      <c r="AD20" s="151">
        <f t="shared" si="7"/>
        <v>26.186242115729272</v>
      </c>
      <c r="AE20" s="274">
        <f t="shared" si="8"/>
        <v>26.516512824221717</v>
      </c>
      <c r="AF20" s="2083">
        <f t="shared" si="9"/>
        <v>0.84843424454962835</v>
      </c>
      <c r="AG20" s="2084">
        <f t="shared" si="10"/>
        <v>0.85913501550478366</v>
      </c>
      <c r="AH20" s="159">
        <f t="shared" si="11"/>
        <v>816.73739754157145</v>
      </c>
      <c r="AI20" s="155">
        <f t="shared" si="12"/>
        <v>697.67846634422563</v>
      </c>
      <c r="AJ20" s="155">
        <f t="shared" si="22"/>
        <v>581.39872195352143</v>
      </c>
      <c r="AK20" s="155">
        <f t="shared" si="23"/>
        <v>465.11897756281707</v>
      </c>
      <c r="AL20" s="155">
        <f t="shared" si="15"/>
        <v>4287.2071917017038</v>
      </c>
      <c r="AM20" s="160">
        <f t="shared" si="16"/>
        <v>3666.4784267339187</v>
      </c>
    </row>
    <row r="21" spans="1:39" ht="12.75" customHeight="1" x14ac:dyDescent="0.2">
      <c r="A21" s="161">
        <v>2</v>
      </c>
      <c r="B21" s="2358" t="s">
        <v>56</v>
      </c>
      <c r="C21" s="2362" t="s">
        <v>43</v>
      </c>
      <c r="D21" s="673">
        <v>2.4</v>
      </c>
      <c r="E21" s="145" t="s">
        <v>39</v>
      </c>
      <c r="F21" s="146" t="s">
        <v>57</v>
      </c>
      <c r="G21" s="152">
        <v>6.141</v>
      </c>
      <c r="H21" s="162">
        <v>6.81</v>
      </c>
      <c r="I21" s="270"/>
      <c r="J21" s="271">
        <v>14.6</v>
      </c>
      <c r="K21" s="152"/>
      <c r="L21" s="152"/>
      <c r="M21" s="272"/>
      <c r="N21" s="273">
        <f t="shared" si="17"/>
        <v>3.6353999999999997</v>
      </c>
      <c r="O21" s="152">
        <f t="shared" si="18"/>
        <v>5.84</v>
      </c>
      <c r="P21" s="153">
        <f t="shared" si="19"/>
        <v>12.520403114916069</v>
      </c>
      <c r="Q21" s="154">
        <f t="shared" si="20"/>
        <v>13.162014783459254</v>
      </c>
      <c r="R21" s="137">
        <f t="shared" si="4"/>
        <v>1708.1944599303413</v>
      </c>
      <c r="S21" s="142">
        <f t="shared" si="5"/>
        <v>1405.5598861086989</v>
      </c>
      <c r="T21" s="1027">
        <v>1</v>
      </c>
      <c r="U21" s="152" t="s">
        <v>50</v>
      </c>
      <c r="V21" s="152">
        <v>6.3</v>
      </c>
      <c r="W21" s="152">
        <v>11</v>
      </c>
      <c r="X21" s="152">
        <v>35</v>
      </c>
      <c r="Y21" s="152">
        <v>6.3</v>
      </c>
      <c r="Z21" s="154">
        <v>7.47</v>
      </c>
      <c r="AA21" s="152" t="s">
        <v>63</v>
      </c>
      <c r="AB21" s="152">
        <v>10</v>
      </c>
      <c r="AC21" s="274">
        <f t="shared" si="21"/>
        <v>14.525000000000002</v>
      </c>
      <c r="AD21" s="151">
        <f t="shared" si="7"/>
        <v>26.754143027949898</v>
      </c>
      <c r="AE21" s="274">
        <f t="shared" si="8"/>
        <v>27.417088798047104</v>
      </c>
      <c r="AF21" s="157">
        <f t="shared" si="9"/>
        <v>0.86683423410557658</v>
      </c>
      <c r="AG21" s="158">
        <f t="shared" si="10"/>
        <v>0.88831367705672615</v>
      </c>
      <c r="AH21" s="159">
        <f t="shared" si="11"/>
        <v>799.40079615523655</v>
      </c>
      <c r="AI21" s="155">
        <f t="shared" si="12"/>
        <v>674.76164724380726</v>
      </c>
      <c r="AJ21" s="155">
        <f t="shared" si="22"/>
        <v>562.30137270317277</v>
      </c>
      <c r="AK21" s="155">
        <f t="shared" si="23"/>
        <v>449.84109816253817</v>
      </c>
      <c r="AL21" s="155">
        <f t="shared" si="15"/>
        <v>4196.2041320072594</v>
      </c>
      <c r="AM21" s="160">
        <f t="shared" si="16"/>
        <v>3546.0446927227108</v>
      </c>
    </row>
    <row r="22" spans="1:39" ht="12.75" customHeight="1" x14ac:dyDescent="0.2">
      <c r="A22" s="161">
        <v>2</v>
      </c>
      <c r="B22" s="2359"/>
      <c r="C22" s="2363"/>
      <c r="D22" s="673">
        <v>2.4</v>
      </c>
      <c r="E22" s="145" t="s">
        <v>39</v>
      </c>
      <c r="F22" s="146" t="s">
        <v>57</v>
      </c>
      <c r="G22" s="152">
        <v>6.141</v>
      </c>
      <c r="H22" s="162">
        <v>6.81</v>
      </c>
      <c r="I22" s="270"/>
      <c r="J22" s="271">
        <v>14.6</v>
      </c>
      <c r="K22" s="152"/>
      <c r="L22" s="152"/>
      <c r="M22" s="272"/>
      <c r="N22" s="273">
        <f t="shared" si="17"/>
        <v>3.6353999999999997</v>
      </c>
      <c r="O22" s="152">
        <f t="shared" si="18"/>
        <v>5.84</v>
      </c>
      <c r="P22" s="153">
        <f t="shared" si="19"/>
        <v>12.520403114916069</v>
      </c>
      <c r="Q22" s="154">
        <f t="shared" si="20"/>
        <v>13.162014783459254</v>
      </c>
      <c r="R22" s="137">
        <f t="shared" si="4"/>
        <v>1708.1944599303413</v>
      </c>
      <c r="S22" s="142">
        <f t="shared" si="5"/>
        <v>1405.5598861086989</v>
      </c>
      <c r="T22" s="1027">
        <v>2</v>
      </c>
      <c r="U22" s="152" t="s">
        <v>50</v>
      </c>
      <c r="V22" s="152">
        <v>6.3</v>
      </c>
      <c r="W22" s="152">
        <v>11</v>
      </c>
      <c r="X22" s="152">
        <v>35</v>
      </c>
      <c r="Y22" s="152">
        <v>6.3</v>
      </c>
      <c r="Z22" s="154">
        <v>7.42</v>
      </c>
      <c r="AA22" s="152" t="s">
        <v>63</v>
      </c>
      <c r="AB22" s="152">
        <v>10</v>
      </c>
      <c r="AC22" s="274">
        <f t="shared" si="21"/>
        <v>14.427777777777777</v>
      </c>
      <c r="AD22" s="151">
        <f t="shared" si="7"/>
        <v>26.657825809245011</v>
      </c>
      <c r="AE22" s="274">
        <f t="shared" si="8"/>
        <v>27.320728074901591</v>
      </c>
      <c r="AF22" s="157">
        <f t="shared" si="9"/>
        <v>0.86371355621953827</v>
      </c>
      <c r="AG22" s="158">
        <f t="shared" si="10"/>
        <v>0.88519158962681155</v>
      </c>
      <c r="AH22" s="159">
        <f t="shared" si="11"/>
        <v>802.28910602218161</v>
      </c>
      <c r="AI22" s="155">
        <f t="shared" si="12"/>
        <v>677.1415442985641</v>
      </c>
      <c r="AJ22" s="155">
        <f t="shared" si="22"/>
        <v>564.28462024880344</v>
      </c>
      <c r="AK22" s="155">
        <f t="shared" si="23"/>
        <v>451.42769619904271</v>
      </c>
      <c r="AL22" s="155">
        <f t="shared" si="15"/>
        <v>4211.365410125175</v>
      </c>
      <c r="AM22" s="160">
        <f t="shared" si="16"/>
        <v>3558.5516592266881</v>
      </c>
    </row>
    <row r="23" spans="1:39" ht="12.75" customHeight="1" x14ac:dyDescent="0.2">
      <c r="A23" s="161">
        <v>2</v>
      </c>
      <c r="B23" s="2358" t="s">
        <v>152</v>
      </c>
      <c r="C23" s="2360" t="s">
        <v>341</v>
      </c>
      <c r="D23" s="673">
        <v>2.4</v>
      </c>
      <c r="E23" s="145" t="s">
        <v>39</v>
      </c>
      <c r="F23" s="146" t="s">
        <v>161</v>
      </c>
      <c r="G23" s="152">
        <v>17.035</v>
      </c>
      <c r="H23" s="278">
        <v>18.809999999999999</v>
      </c>
      <c r="I23" s="270"/>
      <c r="J23" s="271">
        <v>8.3000000000000007</v>
      </c>
      <c r="K23" s="152"/>
      <c r="L23" s="152"/>
      <c r="M23" s="150"/>
      <c r="N23" s="273">
        <f t="shared" si="17"/>
        <v>2.0667</v>
      </c>
      <c r="O23" s="152">
        <f t="shared" si="18"/>
        <v>3.3200000000000003</v>
      </c>
      <c r="P23" s="153">
        <f t="shared" si="19"/>
        <v>20.459649896564702</v>
      </c>
      <c r="Q23" s="154">
        <f t="shared" si="20"/>
        <v>22.22629408808405</v>
      </c>
      <c r="R23" s="137">
        <f t="shared" si="4"/>
        <v>1045.3396487779232</v>
      </c>
      <c r="S23" s="142">
        <f t="shared" si="5"/>
        <v>832.3474856709563</v>
      </c>
      <c r="T23" s="1027">
        <v>1</v>
      </c>
      <c r="U23" s="152" t="s">
        <v>50</v>
      </c>
      <c r="V23" s="152">
        <v>6.3</v>
      </c>
      <c r="W23" s="152">
        <v>11</v>
      </c>
      <c r="X23" s="152">
        <v>35</v>
      </c>
      <c r="Y23" s="152">
        <v>6.3</v>
      </c>
      <c r="Z23" s="154">
        <v>7.83</v>
      </c>
      <c r="AA23" s="152" t="s">
        <v>63</v>
      </c>
      <c r="AB23" s="152"/>
      <c r="AC23" s="274">
        <f t="shared" si="21"/>
        <v>15.225000000000001</v>
      </c>
      <c r="AD23" s="151">
        <f t="shared" si="7"/>
        <v>35.639972627514737</v>
      </c>
      <c r="AE23" s="274">
        <f t="shared" si="8"/>
        <v>37.412127363864251</v>
      </c>
      <c r="AF23" s="157">
        <f t="shared" si="9"/>
        <v>1.1547351131314774</v>
      </c>
      <c r="AG23" s="158">
        <f t="shared" si="10"/>
        <v>1.2121529265892017</v>
      </c>
      <c r="AH23" s="159">
        <f t="shared" si="11"/>
        <v>600.092583137475</v>
      </c>
      <c r="AI23" s="155">
        <f t="shared" si="12"/>
        <v>494.49206189404885</v>
      </c>
      <c r="AJ23" s="155">
        <f t="shared" si="22"/>
        <v>412.07671824504069</v>
      </c>
      <c r="AK23" s="155">
        <f t="shared" si="23"/>
        <v>329.66137459603254</v>
      </c>
      <c r="AL23" s="155">
        <f t="shared" si="15"/>
        <v>3149.9980848898076</v>
      </c>
      <c r="AM23" s="160">
        <f t="shared" si="16"/>
        <v>2598.6820069507071</v>
      </c>
    </row>
    <row r="24" spans="1:39" ht="12.75" customHeight="1" x14ac:dyDescent="0.2">
      <c r="A24" s="161">
        <v>2</v>
      </c>
      <c r="B24" s="2359"/>
      <c r="C24" s="2361"/>
      <c r="D24" s="673">
        <v>2.4</v>
      </c>
      <c r="E24" s="145" t="s">
        <v>39</v>
      </c>
      <c r="F24" s="146" t="s">
        <v>161</v>
      </c>
      <c r="G24" s="152">
        <v>10.755000000000001</v>
      </c>
      <c r="H24" s="278">
        <v>12.53</v>
      </c>
      <c r="I24" s="270"/>
      <c r="J24" s="271">
        <v>8.3000000000000007</v>
      </c>
      <c r="K24" s="152"/>
      <c r="L24" s="152"/>
      <c r="M24" s="150"/>
      <c r="N24" s="273">
        <f t="shared" si="17"/>
        <v>2.0667</v>
      </c>
      <c r="O24" s="152">
        <f t="shared" si="18"/>
        <v>3.3200000000000003</v>
      </c>
      <c r="P24" s="153">
        <f t="shared" si="19"/>
        <v>14.225922602418446</v>
      </c>
      <c r="Q24" s="154">
        <f t="shared" si="20"/>
        <v>15.984171823713607</v>
      </c>
      <c r="R24" s="137">
        <f t="shared" si="4"/>
        <v>1503.4021929346306</v>
      </c>
      <c r="S24" s="142">
        <f t="shared" si="5"/>
        <v>1157.3949657219018</v>
      </c>
      <c r="T24" s="1027">
        <v>2</v>
      </c>
      <c r="U24" s="152" t="s">
        <v>50</v>
      </c>
      <c r="V24" s="152">
        <v>6.3</v>
      </c>
      <c r="W24" s="152">
        <v>11</v>
      </c>
      <c r="X24" s="152">
        <v>35</v>
      </c>
      <c r="Y24" s="152">
        <v>6.3</v>
      </c>
      <c r="Z24" s="154">
        <v>7.5</v>
      </c>
      <c r="AA24" s="152" t="s">
        <v>63</v>
      </c>
      <c r="AB24" s="152"/>
      <c r="AC24" s="274">
        <f t="shared" si="21"/>
        <v>14.583333333333334</v>
      </c>
      <c r="AD24" s="151">
        <f t="shared" si="7"/>
        <v>28.732756887121791</v>
      </c>
      <c r="AE24" s="274">
        <f t="shared" si="8"/>
        <v>30.503426474213974</v>
      </c>
      <c r="AF24" s="157">
        <f t="shared" si="9"/>
        <v>0.93094132314274602</v>
      </c>
      <c r="AG24" s="158">
        <f t="shared" si="10"/>
        <v>0.98831101776453256</v>
      </c>
      <c r="AH24" s="159">
        <f t="shared" si="11"/>
        <v>744.35193674645757</v>
      </c>
      <c r="AI24" s="155">
        <f t="shared" si="12"/>
        <v>606.48924197545318</v>
      </c>
      <c r="AJ24" s="155">
        <f t="shared" si="22"/>
        <v>505.40770164621102</v>
      </c>
      <c r="AK24" s="155">
        <f t="shared" si="23"/>
        <v>404.32616131696881</v>
      </c>
      <c r="AL24" s="155">
        <f t="shared" si="15"/>
        <v>3907.2423841276031</v>
      </c>
      <c r="AM24" s="160">
        <f t="shared" si="16"/>
        <v>3187.2557761472767</v>
      </c>
    </row>
    <row r="25" spans="1:39" ht="12.75" customHeight="1" x14ac:dyDescent="0.2">
      <c r="A25" s="161">
        <v>2</v>
      </c>
      <c r="B25" s="2358" t="s">
        <v>153</v>
      </c>
      <c r="C25" s="2362" t="s">
        <v>43</v>
      </c>
      <c r="D25" s="673">
        <v>5.6</v>
      </c>
      <c r="E25" s="145" t="s">
        <v>39</v>
      </c>
      <c r="F25" s="146" t="s">
        <v>46</v>
      </c>
      <c r="G25" s="2145">
        <f>Мартыновская!G15</f>
        <v>4.9020181386774881</v>
      </c>
      <c r="H25" s="2152">
        <f>Мартыновская!H15</f>
        <v>5.2862861120779669</v>
      </c>
      <c r="I25" s="270"/>
      <c r="J25" s="271">
        <v>11.54</v>
      </c>
      <c r="K25" s="152"/>
      <c r="L25" s="152"/>
      <c r="M25" s="280">
        <v>1.81</v>
      </c>
      <c r="N25" s="273">
        <f t="shared" si="17"/>
        <v>2.9820599999999997</v>
      </c>
      <c r="O25" s="152">
        <f t="shared" si="18"/>
        <v>5.34</v>
      </c>
      <c r="P25" s="153">
        <f t="shared" si="19"/>
        <v>10.667315379072592</v>
      </c>
      <c r="Q25" s="154">
        <f t="shared" si="20"/>
        <v>11.036785690559597</v>
      </c>
      <c r="R25" s="137">
        <f t="shared" si="4"/>
        <v>2004.9358697083551</v>
      </c>
      <c r="S25" s="142">
        <f t="shared" si="5"/>
        <v>1676.2126690404184</v>
      </c>
      <c r="T25" s="1027">
        <v>1</v>
      </c>
      <c r="U25" s="152" t="s">
        <v>50</v>
      </c>
      <c r="V25" s="152">
        <v>6.3</v>
      </c>
      <c r="W25" s="152">
        <v>11</v>
      </c>
      <c r="X25" s="152">
        <v>35</v>
      </c>
      <c r="Y25" s="152">
        <v>6.3</v>
      </c>
      <c r="Z25" s="154">
        <v>7.96</v>
      </c>
      <c r="AA25" s="152" t="s">
        <v>63</v>
      </c>
      <c r="AB25" s="152">
        <v>6</v>
      </c>
      <c r="AC25" s="274">
        <f t="shared" si="21"/>
        <v>15.47777777777778</v>
      </c>
      <c r="AD25" s="151">
        <f t="shared" si="7"/>
        <v>25.892095006540295</v>
      </c>
      <c r="AE25" s="274">
        <f t="shared" si="8"/>
        <v>26.273843141216908</v>
      </c>
      <c r="AF25" s="1303">
        <f t="shared" si="9"/>
        <v>0.83890387821190548</v>
      </c>
      <c r="AG25" s="1304">
        <f t="shared" si="10"/>
        <v>0.85127251777542778</v>
      </c>
      <c r="AH25" s="159">
        <f t="shared" si="11"/>
        <v>826.01594160657237</v>
      </c>
      <c r="AI25" s="155">
        <f t="shared" si="12"/>
        <v>704.12234329656383</v>
      </c>
      <c r="AJ25" s="155">
        <f t="shared" si="22"/>
        <v>586.76861941380321</v>
      </c>
      <c r="AK25" s="155">
        <f t="shared" si="23"/>
        <v>469.41489553104253</v>
      </c>
      <c r="AL25" s="155">
        <f t="shared" si="15"/>
        <v>4335.9120030201666</v>
      </c>
      <c r="AM25" s="160">
        <f t="shared" si="16"/>
        <v>3700.342644951912</v>
      </c>
    </row>
    <row r="26" spans="1:39" ht="12.75" customHeight="1" x14ac:dyDescent="0.2">
      <c r="A26" s="144">
        <v>2</v>
      </c>
      <c r="B26" s="2359"/>
      <c r="C26" s="2363"/>
      <c r="D26" s="648">
        <v>5.6</v>
      </c>
      <c r="E26" s="281" t="s">
        <v>39</v>
      </c>
      <c r="F26" s="654" t="s">
        <v>46</v>
      </c>
      <c r="G26" s="2145">
        <f>Мартыновская!G16</f>
        <v>4.8982573492001933</v>
      </c>
      <c r="H26" s="2152">
        <f>Мартыновская!H16</f>
        <v>5.2312064066132784</v>
      </c>
      <c r="I26" s="283"/>
      <c r="J26" s="284">
        <v>11.54</v>
      </c>
      <c r="K26" s="276"/>
      <c r="L26" s="276"/>
      <c r="M26" s="285">
        <v>1.81</v>
      </c>
      <c r="N26" s="286">
        <f t="shared" si="17"/>
        <v>2.9820599999999997</v>
      </c>
      <c r="O26" s="276">
        <f t="shared" si="18"/>
        <v>5.34</v>
      </c>
      <c r="P26" s="287">
        <f t="shared" si="19"/>
        <v>10.663704581056798</v>
      </c>
      <c r="Q26" s="288">
        <f t="shared" si="20"/>
        <v>10.98376468861299</v>
      </c>
      <c r="R26" s="289">
        <f t="shared" si="4"/>
        <v>2005.6147537120432</v>
      </c>
      <c r="S26" s="1045">
        <f t="shared" si="5"/>
        <v>1684.3041092439998</v>
      </c>
      <c r="T26" s="1047">
        <v>2</v>
      </c>
      <c r="U26" s="276" t="s">
        <v>50</v>
      </c>
      <c r="V26" s="276">
        <v>6.3</v>
      </c>
      <c r="W26" s="152">
        <v>11</v>
      </c>
      <c r="X26" s="276">
        <v>35</v>
      </c>
      <c r="Y26" s="276">
        <v>6.3</v>
      </c>
      <c r="Z26" s="288">
        <v>7.97</v>
      </c>
      <c r="AA26" s="276" t="s">
        <v>63</v>
      </c>
      <c r="AB26" s="276">
        <v>6</v>
      </c>
      <c r="AC26" s="290">
        <f t="shared" si="21"/>
        <v>15.497222222222222</v>
      </c>
      <c r="AD26" s="538">
        <f t="shared" si="7"/>
        <v>25.907674357508444</v>
      </c>
      <c r="AE26" s="290">
        <f t="shared" si="8"/>
        <v>26.238438463831844</v>
      </c>
      <c r="AF26" s="1303">
        <f t="shared" si="9"/>
        <v>0.83940864918327351</v>
      </c>
      <c r="AG26" s="1304">
        <f t="shared" si="10"/>
        <v>0.85012540622815158</v>
      </c>
      <c r="AH26" s="291">
        <f t="shared" si="11"/>
        <v>825.51922422152313</v>
      </c>
      <c r="AI26" s="292">
        <f t="shared" si="12"/>
        <v>705.0724464987187</v>
      </c>
      <c r="AJ26" s="292">
        <f t="shared" si="22"/>
        <v>587.56037208226564</v>
      </c>
      <c r="AK26" s="292">
        <f t="shared" si="23"/>
        <v>470.04829766581247</v>
      </c>
      <c r="AL26" s="292">
        <f t="shared" si="15"/>
        <v>4333.3046406637495</v>
      </c>
      <c r="AM26" s="318">
        <f t="shared" si="16"/>
        <v>3705.3356797980719</v>
      </c>
    </row>
    <row r="27" spans="1:39" ht="12.75" customHeight="1" x14ac:dyDescent="0.2">
      <c r="A27" s="161">
        <v>2</v>
      </c>
      <c r="B27" s="2358" t="s">
        <v>59</v>
      </c>
      <c r="C27" s="2362" t="s">
        <v>340</v>
      </c>
      <c r="D27" s="673">
        <v>2.4</v>
      </c>
      <c r="E27" s="145" t="s">
        <v>39</v>
      </c>
      <c r="F27" s="146" t="s">
        <v>57</v>
      </c>
      <c r="G27" s="152">
        <v>6.141</v>
      </c>
      <c r="H27" s="162">
        <v>6.81</v>
      </c>
      <c r="I27" s="270"/>
      <c r="J27" s="271">
        <v>14.7</v>
      </c>
      <c r="K27" s="152"/>
      <c r="L27" s="152"/>
      <c r="M27" s="272"/>
      <c r="N27" s="273">
        <f t="shared" si="17"/>
        <v>3.6602999999999999</v>
      </c>
      <c r="O27" s="152">
        <f t="shared" si="18"/>
        <v>5.88</v>
      </c>
      <c r="P27" s="153">
        <f t="shared" si="19"/>
        <v>12.565915688480487</v>
      </c>
      <c r="Q27" s="154">
        <f t="shared" si="20"/>
        <v>13.20734250672708</v>
      </c>
      <c r="R27" s="155">
        <f t="shared" si="4"/>
        <v>1702.0075390606446</v>
      </c>
      <c r="S27" s="160">
        <f t="shared" si="5"/>
        <v>1400.7359914060785</v>
      </c>
      <c r="T27" s="1027">
        <v>1</v>
      </c>
      <c r="U27" s="152" t="s">
        <v>184</v>
      </c>
      <c r="V27" s="152">
        <v>10</v>
      </c>
      <c r="W27" s="152">
        <v>11</v>
      </c>
      <c r="X27" s="152">
        <v>36.75</v>
      </c>
      <c r="Y27" s="152">
        <v>6.3</v>
      </c>
      <c r="Z27" s="154">
        <v>8.02</v>
      </c>
      <c r="AA27" s="152" t="s">
        <v>107</v>
      </c>
      <c r="AB27" s="152">
        <v>9</v>
      </c>
      <c r="AC27" s="274">
        <f t="shared" si="21"/>
        <v>10.831511249999998</v>
      </c>
      <c r="AD27" s="151">
        <f t="shared" si="7"/>
        <v>23.143791100884414</v>
      </c>
      <c r="AE27" s="274">
        <f t="shared" si="8"/>
        <v>23.804606436021505</v>
      </c>
      <c r="AF27" s="157">
        <f t="shared" si="9"/>
        <v>0.68014406500558278</v>
      </c>
      <c r="AG27" s="158">
        <f t="shared" si="10"/>
        <v>0.69956394424226465</v>
      </c>
      <c r="AH27" s="159">
        <f t="shared" si="11"/>
        <v>924.10457490592057</v>
      </c>
      <c r="AI27" s="155">
        <f t="shared" si="12"/>
        <v>777.16050671627613</v>
      </c>
      <c r="AJ27" s="155">
        <f t="shared" si="22"/>
        <v>647.63375559689678</v>
      </c>
      <c r="AK27" s="155">
        <f t="shared" si="23"/>
        <v>518.10700447751742</v>
      </c>
      <c r="AL27" s="155">
        <f t="shared" si="15"/>
        <v>5348.0043156582005</v>
      </c>
      <c r="AM27" s="160">
        <f t="shared" si="16"/>
        <v>4502.8049629000452</v>
      </c>
    </row>
    <row r="28" spans="1:39" ht="12.75" customHeight="1" x14ac:dyDescent="0.2">
      <c r="A28" s="161">
        <v>2</v>
      </c>
      <c r="B28" s="2359"/>
      <c r="C28" s="2363"/>
      <c r="D28" s="673">
        <v>2.4</v>
      </c>
      <c r="E28" s="145" t="s">
        <v>39</v>
      </c>
      <c r="F28" s="146" t="s">
        <v>57</v>
      </c>
      <c r="G28" s="152">
        <v>6.141</v>
      </c>
      <c r="H28" s="162">
        <v>6.81</v>
      </c>
      <c r="I28" s="270"/>
      <c r="J28" s="271">
        <v>14.7</v>
      </c>
      <c r="K28" s="152"/>
      <c r="L28" s="152"/>
      <c r="M28" s="272"/>
      <c r="N28" s="273">
        <f t="shared" si="17"/>
        <v>3.6602999999999999</v>
      </c>
      <c r="O28" s="152">
        <f t="shared" si="18"/>
        <v>5.88</v>
      </c>
      <c r="P28" s="153">
        <f t="shared" si="19"/>
        <v>12.565915688480487</v>
      </c>
      <c r="Q28" s="154">
        <f t="shared" si="20"/>
        <v>13.20734250672708</v>
      </c>
      <c r="R28" s="137">
        <f t="shared" si="4"/>
        <v>1702.0075390606446</v>
      </c>
      <c r="S28" s="142">
        <f t="shared" si="5"/>
        <v>1400.7359914060785</v>
      </c>
      <c r="T28" s="1027">
        <v>2</v>
      </c>
      <c r="U28" s="152" t="s">
        <v>184</v>
      </c>
      <c r="V28" s="152">
        <v>10</v>
      </c>
      <c r="W28" s="152">
        <v>11</v>
      </c>
      <c r="X28" s="152">
        <v>36.75</v>
      </c>
      <c r="Y28" s="152">
        <v>6.3</v>
      </c>
      <c r="Z28" s="154">
        <v>8.16</v>
      </c>
      <c r="AA28" s="152" t="s">
        <v>107</v>
      </c>
      <c r="AB28" s="152">
        <v>9</v>
      </c>
      <c r="AC28" s="274">
        <f t="shared" si="21"/>
        <v>11.02059</v>
      </c>
      <c r="AD28" s="151">
        <f t="shared" si="7"/>
        <v>23.33050933473378</v>
      </c>
      <c r="AE28" s="274">
        <f t="shared" si="8"/>
        <v>23.991454191817969</v>
      </c>
      <c r="AF28" s="157">
        <f t="shared" si="9"/>
        <v>0.68563129473503359</v>
      </c>
      <c r="AG28" s="158">
        <f t="shared" si="10"/>
        <v>0.70505498033097713</v>
      </c>
      <c r="AH28" s="159">
        <f t="shared" si="11"/>
        <v>916.70880091560866</v>
      </c>
      <c r="AI28" s="155">
        <f t="shared" si="12"/>
        <v>771.10790584379117</v>
      </c>
      <c r="AJ28" s="155">
        <f t="shared" si="22"/>
        <v>642.58992153649262</v>
      </c>
      <c r="AK28" s="155">
        <f t="shared" si="23"/>
        <v>514.07193722919408</v>
      </c>
      <c r="AL28" s="155">
        <f t="shared" si="15"/>
        <v>5305.2032817797062</v>
      </c>
      <c r="AM28" s="160">
        <f t="shared" si="16"/>
        <v>4467.7366841962894</v>
      </c>
    </row>
    <row r="29" spans="1:39" ht="12.75" customHeight="1" x14ac:dyDescent="0.2">
      <c r="A29" s="161">
        <v>2</v>
      </c>
      <c r="B29" s="2358" t="s">
        <v>61</v>
      </c>
      <c r="C29" s="2360" t="s">
        <v>341</v>
      </c>
      <c r="D29" s="673">
        <v>2.5</v>
      </c>
      <c r="E29" s="145" t="s">
        <v>39</v>
      </c>
      <c r="F29" s="146" t="s">
        <v>159</v>
      </c>
      <c r="G29" s="2135">
        <f>G5</f>
        <v>5.0832300606437277</v>
      </c>
      <c r="H29" s="2149">
        <f>H5</f>
        <v>4.8489919515499249</v>
      </c>
      <c r="I29" s="270"/>
      <c r="J29" s="271">
        <v>19.8</v>
      </c>
      <c r="K29" s="152"/>
      <c r="L29" s="152"/>
      <c r="M29" s="272"/>
      <c r="N29" s="273">
        <f t="shared" si="17"/>
        <v>4.9302000000000001</v>
      </c>
      <c r="O29" s="152">
        <f t="shared" si="18"/>
        <v>7.9200000000000008</v>
      </c>
      <c r="P29" s="153">
        <f t="shared" si="19"/>
        <v>13.906504379247457</v>
      </c>
      <c r="Q29" s="154">
        <f t="shared" si="20"/>
        <v>13.68773273770155</v>
      </c>
      <c r="R29" s="137">
        <f t="shared" si="4"/>
        <v>1537.9338080754685</v>
      </c>
      <c r="S29" s="142">
        <f t="shared" si="5"/>
        <v>1351.5751917805583</v>
      </c>
      <c r="T29" s="1027">
        <v>1</v>
      </c>
      <c r="U29" s="277" t="s">
        <v>184</v>
      </c>
      <c r="V29" s="152">
        <v>10</v>
      </c>
      <c r="W29" s="152">
        <v>11</v>
      </c>
      <c r="X29" s="152">
        <v>36.75</v>
      </c>
      <c r="Y29" s="152">
        <v>6.3</v>
      </c>
      <c r="Z29" s="154">
        <v>8.26</v>
      </c>
      <c r="AA29" s="152" t="s">
        <v>107</v>
      </c>
      <c r="AB29" s="152">
        <v>12</v>
      </c>
      <c r="AC29" s="274">
        <f t="shared" si="21"/>
        <v>11.15564625</v>
      </c>
      <c r="AD29" s="151">
        <f t="shared" si="7"/>
        <v>24.656807916536618</v>
      </c>
      <c r="AE29" s="274">
        <f t="shared" si="8"/>
        <v>24.427345027961227</v>
      </c>
      <c r="AF29" s="1303">
        <f t="shared" si="9"/>
        <v>0.72460823264923946</v>
      </c>
      <c r="AG29" s="1304">
        <f t="shared" si="10"/>
        <v>0.71786483347477892</v>
      </c>
      <c r="AH29" s="159">
        <f t="shared" si="11"/>
        <v>867.39870421955072</v>
      </c>
      <c r="AI29" s="155">
        <f t="shared" si="12"/>
        <v>757.34796306449277</v>
      </c>
      <c r="AJ29" s="155">
        <f t="shared" si="22"/>
        <v>631.123302553744</v>
      </c>
      <c r="AK29" s="155">
        <f t="shared" si="23"/>
        <v>504.89864204299516</v>
      </c>
      <c r="AL29" s="155">
        <f t="shared" si="15"/>
        <v>5019.8344857612574</v>
      </c>
      <c r="AM29" s="160">
        <f t="shared" si="16"/>
        <v>4388.0126914040711</v>
      </c>
    </row>
    <row r="30" spans="1:39" ht="12.75" customHeight="1" thickBot="1" x14ac:dyDescent="0.25">
      <c r="A30" s="144">
        <v>2</v>
      </c>
      <c r="B30" s="2308"/>
      <c r="C30" s="2479"/>
      <c r="D30" s="648">
        <v>2.5</v>
      </c>
      <c r="E30" s="281" t="s">
        <v>39</v>
      </c>
      <c r="F30" s="654" t="s">
        <v>159</v>
      </c>
      <c r="G30" s="2135">
        <f>G6</f>
        <v>5.0835973991363321</v>
      </c>
      <c r="H30" s="2149">
        <f>H6</f>
        <v>4.8489919515499249</v>
      </c>
      <c r="I30" s="283"/>
      <c r="J30" s="284">
        <v>19.8</v>
      </c>
      <c r="K30" s="276"/>
      <c r="L30" s="276"/>
      <c r="M30" s="342"/>
      <c r="N30" s="286">
        <f t="shared" si="17"/>
        <v>4.9302000000000001</v>
      </c>
      <c r="O30" s="276">
        <f t="shared" si="18"/>
        <v>7.9200000000000008</v>
      </c>
      <c r="P30" s="287">
        <f t="shared" si="19"/>
        <v>13.90684785847696</v>
      </c>
      <c r="Q30" s="288">
        <f t="shared" si="20"/>
        <v>13.68773273770155</v>
      </c>
      <c r="R30" s="289">
        <f t="shared" si="4"/>
        <v>1537.8958233125084</v>
      </c>
      <c r="S30" s="1045">
        <f t="shared" si="5"/>
        <v>1351.5751917805583</v>
      </c>
      <c r="T30" s="1047">
        <v>2</v>
      </c>
      <c r="U30" s="343" t="s">
        <v>184</v>
      </c>
      <c r="V30" s="276">
        <v>10</v>
      </c>
      <c r="W30" s="276">
        <v>11</v>
      </c>
      <c r="X30" s="276">
        <v>36.75</v>
      </c>
      <c r="Y30" s="276">
        <v>6.3</v>
      </c>
      <c r="Z30" s="288">
        <v>8.2100000000000009</v>
      </c>
      <c r="AA30" s="276" t="s">
        <v>107</v>
      </c>
      <c r="AB30" s="276">
        <v>12</v>
      </c>
      <c r="AC30" s="290">
        <f t="shared" si="21"/>
        <v>11.088118125000001</v>
      </c>
      <c r="AD30" s="538">
        <f t="shared" si="7"/>
        <v>24.59100707445532</v>
      </c>
      <c r="AE30" s="290">
        <f t="shared" si="8"/>
        <v>24.361210422403484</v>
      </c>
      <c r="AF30" s="2079">
        <f t="shared" si="9"/>
        <v>0.72267449361664615</v>
      </c>
      <c r="AG30" s="2080">
        <f t="shared" si="10"/>
        <v>0.71592128588287796</v>
      </c>
      <c r="AH30" s="291">
        <f t="shared" si="11"/>
        <v>869.71969762112474</v>
      </c>
      <c r="AI30" s="292">
        <f t="shared" si="12"/>
        <v>759.40397374453551</v>
      </c>
      <c r="AJ30" s="292">
        <f t="shared" si="22"/>
        <v>632.83664478711296</v>
      </c>
      <c r="AK30" s="292">
        <f t="shared" si="23"/>
        <v>506.26931582969036</v>
      </c>
      <c r="AL30" s="292">
        <f t="shared" si="15"/>
        <v>5033.2666048799156</v>
      </c>
      <c r="AM30" s="318">
        <f t="shared" si="16"/>
        <v>4399.9250505806694</v>
      </c>
    </row>
    <row r="31" spans="1:39" ht="12.75" customHeight="1" x14ac:dyDescent="0.2">
      <c r="A31" s="293">
        <v>2</v>
      </c>
      <c r="B31" s="2478" t="s">
        <v>160</v>
      </c>
      <c r="C31" s="2367" t="s">
        <v>342</v>
      </c>
      <c r="D31" s="674">
        <v>2.4</v>
      </c>
      <c r="E31" s="294" t="s">
        <v>35</v>
      </c>
      <c r="F31" s="231" t="s">
        <v>57</v>
      </c>
      <c r="G31" s="232">
        <v>6.141</v>
      </c>
      <c r="H31" s="295">
        <v>6.81</v>
      </c>
      <c r="I31" s="296"/>
      <c r="J31" s="297">
        <v>28.96</v>
      </c>
      <c r="K31" s="232"/>
      <c r="L31" s="232"/>
      <c r="M31" s="251"/>
      <c r="N31" s="298">
        <f t="shared" si="17"/>
        <v>7.2110400000000006</v>
      </c>
      <c r="O31" s="232">
        <f t="shared" si="18"/>
        <v>11.584000000000001</v>
      </c>
      <c r="P31" s="252">
        <f t="shared" si="19"/>
        <v>19.135692380512392</v>
      </c>
      <c r="Q31" s="238">
        <f t="shared" si="20"/>
        <v>19.756981902142851</v>
      </c>
      <c r="R31" s="253">
        <f t="shared" si="4"/>
        <v>1117.6644571677389</v>
      </c>
      <c r="S31" s="870">
        <f t="shared" si="5"/>
        <v>936.37783805397328</v>
      </c>
      <c r="T31" s="1048">
        <v>1</v>
      </c>
      <c r="U31" s="232" t="s">
        <v>50</v>
      </c>
      <c r="V31" s="232">
        <v>6.3</v>
      </c>
      <c r="W31" s="232">
        <v>11</v>
      </c>
      <c r="X31" s="232">
        <v>35</v>
      </c>
      <c r="Y31" s="232">
        <v>6.3</v>
      </c>
      <c r="Z31" s="238">
        <v>7.4</v>
      </c>
      <c r="AA31" s="299" t="s">
        <v>51</v>
      </c>
      <c r="AB31" s="232"/>
      <c r="AC31" s="300">
        <f t="shared" si="21"/>
        <v>14.388888888888891</v>
      </c>
      <c r="AD31" s="879">
        <f t="shared" si="7"/>
        <v>32.913537601563</v>
      </c>
      <c r="AE31" s="300">
        <f t="shared" si="8"/>
        <v>33.566603965591078</v>
      </c>
      <c r="AF31" s="183">
        <f t="shared" si="9"/>
        <v>1.0663986182906411</v>
      </c>
      <c r="AG31" s="184">
        <f t="shared" si="10"/>
        <v>1.0875579684851508</v>
      </c>
      <c r="AH31" s="319">
        <f t="shared" si="11"/>
        <v>649.80202055152461</v>
      </c>
      <c r="AI31" s="253">
        <f t="shared" si="12"/>
        <v>551.14303546954693</v>
      </c>
      <c r="AJ31" s="253">
        <f t="shared" si="22"/>
        <v>459.28586289128913</v>
      </c>
      <c r="AK31" s="253">
        <f t="shared" si="23"/>
        <v>367.42869031303127</v>
      </c>
      <c r="AL31" s="253">
        <f t="shared" si="15"/>
        <v>3410.9322091486538</v>
      </c>
      <c r="AM31" s="266">
        <f t="shared" si="16"/>
        <v>2896.3973335486708</v>
      </c>
    </row>
    <row r="32" spans="1:39" ht="12.75" customHeight="1" x14ac:dyDescent="0.2">
      <c r="A32" s="255">
        <v>2</v>
      </c>
      <c r="B32" s="2366"/>
      <c r="C32" s="2368"/>
      <c r="D32" s="675">
        <v>2.4</v>
      </c>
      <c r="E32" s="301" t="s">
        <v>35</v>
      </c>
      <c r="F32" s="210" t="s">
        <v>57</v>
      </c>
      <c r="G32" s="211">
        <v>6.141</v>
      </c>
      <c r="H32" s="302">
        <v>6.81</v>
      </c>
      <c r="I32" s="303"/>
      <c r="J32" s="304">
        <v>28.96</v>
      </c>
      <c r="K32" s="211"/>
      <c r="L32" s="211"/>
      <c r="M32" s="216"/>
      <c r="N32" s="305">
        <f t="shared" si="17"/>
        <v>7.2110400000000006</v>
      </c>
      <c r="O32" s="211">
        <f t="shared" si="18"/>
        <v>11.584000000000001</v>
      </c>
      <c r="P32" s="218">
        <f t="shared" si="19"/>
        <v>19.135692380512392</v>
      </c>
      <c r="Q32" s="219">
        <f t="shared" si="20"/>
        <v>19.756981902142851</v>
      </c>
      <c r="R32" s="207">
        <f t="shared" si="4"/>
        <v>1117.6644571677389</v>
      </c>
      <c r="S32" s="1018">
        <f t="shared" si="5"/>
        <v>936.37783805397328</v>
      </c>
      <c r="T32" s="1031">
        <v>2</v>
      </c>
      <c r="U32" s="223" t="s">
        <v>50</v>
      </c>
      <c r="V32" s="211">
        <v>6.3</v>
      </c>
      <c r="W32" s="211">
        <v>11</v>
      </c>
      <c r="X32" s="211">
        <v>35</v>
      </c>
      <c r="Y32" s="211">
        <v>6.3</v>
      </c>
      <c r="Z32" s="219">
        <v>7.95</v>
      </c>
      <c r="AA32" s="306" t="s">
        <v>51</v>
      </c>
      <c r="AB32" s="211"/>
      <c r="AC32" s="307">
        <f t="shared" si="21"/>
        <v>15.458333333333334</v>
      </c>
      <c r="AD32" s="217">
        <f t="shared" si="7"/>
        <v>33.957807776602884</v>
      </c>
      <c r="AE32" s="307">
        <f t="shared" si="8"/>
        <v>34.611841470697726</v>
      </c>
      <c r="AF32" s="181">
        <f t="shared" si="9"/>
        <v>1.1002329719619335</v>
      </c>
      <c r="AG32" s="182">
        <f t="shared" si="10"/>
        <v>1.1214236636506063</v>
      </c>
      <c r="AH32" s="320">
        <f t="shared" si="11"/>
        <v>629.81931512464053</v>
      </c>
      <c r="AI32" s="220">
        <f t="shared" si="12"/>
        <v>534.49915444868896</v>
      </c>
      <c r="AJ32" s="220">
        <f t="shared" si="22"/>
        <v>445.41596204057413</v>
      </c>
      <c r="AK32" s="220">
        <f t="shared" si="23"/>
        <v>356.3327696324593</v>
      </c>
      <c r="AL32" s="220">
        <f t="shared" si="15"/>
        <v>3306.0392549706444</v>
      </c>
      <c r="AM32" s="262">
        <f t="shared" si="16"/>
        <v>2808.9294903459627</v>
      </c>
    </row>
    <row r="33" spans="1:39" ht="12.75" customHeight="1" x14ac:dyDescent="0.2">
      <c r="A33" s="255">
        <v>2</v>
      </c>
      <c r="B33" s="2369" t="s">
        <v>87</v>
      </c>
      <c r="C33" s="2371" t="s">
        <v>43</v>
      </c>
      <c r="D33" s="675">
        <v>1.4</v>
      </c>
      <c r="E33" s="301" t="s">
        <v>35</v>
      </c>
      <c r="F33" s="210" t="s">
        <v>159</v>
      </c>
      <c r="G33" s="2135">
        <f>G5</f>
        <v>5.0832300606437277</v>
      </c>
      <c r="H33" s="2149">
        <f>H5</f>
        <v>4.8489919515499249</v>
      </c>
      <c r="I33" s="303"/>
      <c r="J33" s="304">
        <v>19.02</v>
      </c>
      <c r="K33" s="211"/>
      <c r="L33" s="211"/>
      <c r="M33" s="216"/>
      <c r="N33" s="305">
        <f t="shared" si="17"/>
        <v>4.7359799999999996</v>
      </c>
      <c r="O33" s="211">
        <f t="shared" si="18"/>
        <v>7.6080000000000005</v>
      </c>
      <c r="P33" s="218">
        <f t="shared" si="19"/>
        <v>13.546100066535278</v>
      </c>
      <c r="Q33" s="219">
        <f t="shared" si="20"/>
        <v>13.326895926710751</v>
      </c>
      <c r="R33" s="207">
        <f t="shared" si="4"/>
        <v>1578.8517087534333</v>
      </c>
      <c r="S33" s="1018">
        <f t="shared" si="5"/>
        <v>1388.1702162107329</v>
      </c>
      <c r="T33" s="1031">
        <v>1</v>
      </c>
      <c r="U33" s="211" t="s">
        <v>191</v>
      </c>
      <c r="V33" s="211">
        <v>10</v>
      </c>
      <c r="W33" s="211">
        <v>11</v>
      </c>
      <c r="X33" s="211">
        <v>35</v>
      </c>
      <c r="Y33" s="211">
        <v>6.3</v>
      </c>
      <c r="Z33" s="219">
        <v>8.1999999999999993</v>
      </c>
      <c r="AA33" s="306" t="s">
        <v>339</v>
      </c>
      <c r="AB33" s="211">
        <v>12</v>
      </c>
      <c r="AC33" s="307">
        <f t="shared" si="21"/>
        <v>10.044999999999998</v>
      </c>
      <c r="AD33" s="217">
        <f t="shared" si="7"/>
        <v>23.224247327543672</v>
      </c>
      <c r="AE33" s="307">
        <f t="shared" si="8"/>
        <v>22.994980938196438</v>
      </c>
      <c r="AF33" s="181">
        <f t="shared" si="9"/>
        <v>0.75246561341241491</v>
      </c>
      <c r="AG33" s="182">
        <f t="shared" si="10"/>
        <v>0.74503738239756456</v>
      </c>
      <c r="AH33" s="320">
        <f t="shared" si="11"/>
        <v>920.90318085913441</v>
      </c>
      <c r="AI33" s="220">
        <f t="shared" si="12"/>
        <v>804.52338924404467</v>
      </c>
      <c r="AJ33" s="220">
        <f t="shared" si="22"/>
        <v>670.43615770337055</v>
      </c>
      <c r="AK33" s="220">
        <f t="shared" si="23"/>
        <v>536.34892616269644</v>
      </c>
      <c r="AL33" s="220">
        <f t="shared" si="15"/>
        <v>4833.9928497510728</v>
      </c>
      <c r="AM33" s="262">
        <f t="shared" si="16"/>
        <v>4227.9757693005349</v>
      </c>
    </row>
    <row r="34" spans="1:39" ht="12.75" customHeight="1" x14ac:dyDescent="0.2">
      <c r="A34" s="255">
        <v>2</v>
      </c>
      <c r="B34" s="2366"/>
      <c r="C34" s="2372"/>
      <c r="D34" s="675">
        <v>1.4</v>
      </c>
      <c r="E34" s="301" t="s">
        <v>35</v>
      </c>
      <c r="F34" s="210" t="s">
        <v>159</v>
      </c>
      <c r="G34" s="2135">
        <f>G6</f>
        <v>5.0835973991363321</v>
      </c>
      <c r="H34" s="2149">
        <f>H6</f>
        <v>4.8489919515499249</v>
      </c>
      <c r="I34" s="303"/>
      <c r="J34" s="304">
        <v>19.02</v>
      </c>
      <c r="K34" s="211"/>
      <c r="L34" s="211"/>
      <c r="M34" s="216"/>
      <c r="N34" s="305">
        <f t="shared" si="17"/>
        <v>4.7359799999999996</v>
      </c>
      <c r="O34" s="211">
        <f t="shared" si="18"/>
        <v>7.6080000000000005</v>
      </c>
      <c r="P34" s="218">
        <f t="shared" si="19"/>
        <v>13.546444223565242</v>
      </c>
      <c r="Q34" s="219">
        <f t="shared" si="20"/>
        <v>13.326895926710751</v>
      </c>
      <c r="R34" s="207">
        <f t="shared" si="4"/>
        <v>1578.8115969051969</v>
      </c>
      <c r="S34" s="1018">
        <f t="shared" si="5"/>
        <v>1388.1702162107329</v>
      </c>
      <c r="T34" s="1031">
        <v>2</v>
      </c>
      <c r="U34" s="211" t="s">
        <v>191</v>
      </c>
      <c r="V34" s="211">
        <v>10</v>
      </c>
      <c r="W34" s="211">
        <v>11</v>
      </c>
      <c r="X34" s="211">
        <v>35</v>
      </c>
      <c r="Y34" s="211">
        <v>6.3</v>
      </c>
      <c r="Z34" s="219">
        <v>6.71</v>
      </c>
      <c r="AA34" s="306" t="s">
        <v>339</v>
      </c>
      <c r="AB34" s="211">
        <v>12</v>
      </c>
      <c r="AC34" s="307">
        <f t="shared" si="21"/>
        <v>8.2197499999999994</v>
      </c>
      <c r="AD34" s="217">
        <f t="shared" si="7"/>
        <v>21.440941131577361</v>
      </c>
      <c r="AE34" s="307">
        <f t="shared" si="8"/>
        <v>21.212193764233454</v>
      </c>
      <c r="AF34" s="181">
        <f t="shared" si="9"/>
        <v>0.69468649266310645</v>
      </c>
      <c r="AG34" s="182">
        <f t="shared" si="10"/>
        <v>0.68727507796116394</v>
      </c>
      <c r="AH34" s="320">
        <f t="shared" si="11"/>
        <v>997.49740954681715</v>
      </c>
      <c r="AI34" s="220">
        <f t="shared" si="12"/>
        <v>872.13987415075519</v>
      </c>
      <c r="AJ34" s="220">
        <f t="shared" si="22"/>
        <v>726.78322845896264</v>
      </c>
      <c r="AK34" s="220">
        <f t="shared" si="23"/>
        <v>581.42658276717009</v>
      </c>
      <c r="AL34" s="220">
        <f t="shared" si="15"/>
        <v>5236.0502663223087</v>
      </c>
      <c r="AM34" s="262">
        <f t="shared" si="16"/>
        <v>4583.3176569484131</v>
      </c>
    </row>
    <row r="35" spans="1:39" ht="12.75" customHeight="1" x14ac:dyDescent="0.2">
      <c r="A35" s="255">
        <v>2</v>
      </c>
      <c r="B35" s="2369" t="s">
        <v>88</v>
      </c>
      <c r="C35" s="2370" t="s">
        <v>340</v>
      </c>
      <c r="D35" s="675">
        <v>1.4</v>
      </c>
      <c r="E35" s="301" t="s">
        <v>35</v>
      </c>
      <c r="F35" s="210" t="s">
        <v>159</v>
      </c>
      <c r="G35" s="2135">
        <f>G5</f>
        <v>5.0832300606437277</v>
      </c>
      <c r="H35" s="2149">
        <f>H5</f>
        <v>4.8489919515499249</v>
      </c>
      <c r="I35" s="303"/>
      <c r="J35" s="304">
        <v>14.46</v>
      </c>
      <c r="K35" s="211"/>
      <c r="L35" s="211"/>
      <c r="M35" s="216"/>
      <c r="N35" s="305">
        <f t="shared" si="17"/>
        <v>3.6005400000000001</v>
      </c>
      <c r="O35" s="211">
        <f t="shared" si="18"/>
        <v>5.7840000000000007</v>
      </c>
      <c r="P35" s="218">
        <f t="shared" si="19"/>
        <v>11.448169176010577</v>
      </c>
      <c r="Q35" s="219">
        <f t="shared" si="20"/>
        <v>11.226059243266334</v>
      </c>
      <c r="R35" s="207">
        <f t="shared" si="4"/>
        <v>1868.1837163806829</v>
      </c>
      <c r="S35" s="1018">
        <f t="shared" si="5"/>
        <v>1647.9513958646489</v>
      </c>
      <c r="T35" s="1031">
        <v>1</v>
      </c>
      <c r="U35" s="211" t="s">
        <v>50</v>
      </c>
      <c r="V35" s="211">
        <v>6.3</v>
      </c>
      <c r="W35" s="211">
        <v>11</v>
      </c>
      <c r="X35" s="211">
        <v>35</v>
      </c>
      <c r="Y35" s="211">
        <v>6.3</v>
      </c>
      <c r="Z35" s="219">
        <v>7.93</v>
      </c>
      <c r="AA35" s="306" t="s">
        <v>51</v>
      </c>
      <c r="AB35" s="211">
        <v>6</v>
      </c>
      <c r="AC35" s="307">
        <f t="shared" si="21"/>
        <v>15.419444444444443</v>
      </c>
      <c r="AD35" s="217">
        <f t="shared" si="7"/>
        <v>26.532115347782817</v>
      </c>
      <c r="AE35" s="307">
        <f t="shared" si="8"/>
        <v>26.300063316633519</v>
      </c>
      <c r="AF35" s="181">
        <f t="shared" si="9"/>
        <v>0.85964053726816325</v>
      </c>
      <c r="AG35" s="182">
        <f t="shared" si="10"/>
        <v>0.85212205145892594</v>
      </c>
      <c r="AH35" s="320">
        <f t="shared" si="11"/>
        <v>806.09039108453408</v>
      </c>
      <c r="AI35" s="220">
        <f t="shared" si="12"/>
        <v>703.42035976391139</v>
      </c>
      <c r="AJ35" s="220">
        <f t="shared" si="22"/>
        <v>586.1836331365929</v>
      </c>
      <c r="AK35" s="220">
        <f t="shared" si="23"/>
        <v>468.94690650927424</v>
      </c>
      <c r="AL35" s="220">
        <f t="shared" si="15"/>
        <v>4231.3190656160095</v>
      </c>
      <c r="AM35" s="262">
        <f t="shared" si="16"/>
        <v>3696.6535423028381</v>
      </c>
    </row>
    <row r="36" spans="1:39" ht="12.75" customHeight="1" x14ac:dyDescent="0.2">
      <c r="A36" s="255">
        <v>2</v>
      </c>
      <c r="B36" s="2366"/>
      <c r="C36" s="2368"/>
      <c r="D36" s="675">
        <v>1.4</v>
      </c>
      <c r="E36" s="301" t="s">
        <v>35</v>
      </c>
      <c r="F36" s="210" t="s">
        <v>159</v>
      </c>
      <c r="G36" s="2135">
        <f>G6</f>
        <v>5.0835973991363321</v>
      </c>
      <c r="H36" s="2149">
        <f>H6</f>
        <v>4.8489919515499249</v>
      </c>
      <c r="I36" s="303"/>
      <c r="J36" s="304">
        <v>14.46</v>
      </c>
      <c r="K36" s="211"/>
      <c r="L36" s="211"/>
      <c r="M36" s="216"/>
      <c r="N36" s="305">
        <f t="shared" si="17"/>
        <v>3.6005400000000001</v>
      </c>
      <c r="O36" s="211">
        <f t="shared" si="18"/>
        <v>5.7840000000000007</v>
      </c>
      <c r="P36" s="218">
        <f t="shared" si="19"/>
        <v>11.448517874437494</v>
      </c>
      <c r="Q36" s="219">
        <f t="shared" si="20"/>
        <v>11.226059243266334</v>
      </c>
      <c r="R36" s="207">
        <f t="shared" si="4"/>
        <v>1868.1268153276174</v>
      </c>
      <c r="S36" s="1018">
        <f t="shared" si="5"/>
        <v>1647.9513958646489</v>
      </c>
      <c r="T36" s="1031">
        <v>2</v>
      </c>
      <c r="U36" s="211" t="s">
        <v>50</v>
      </c>
      <c r="V36" s="211">
        <v>6.3</v>
      </c>
      <c r="W36" s="211">
        <v>11</v>
      </c>
      <c r="X36" s="211">
        <v>35</v>
      </c>
      <c r="Y36" s="211">
        <v>6.3</v>
      </c>
      <c r="Z36" s="219">
        <v>8</v>
      </c>
      <c r="AA36" s="306" t="s">
        <v>51</v>
      </c>
      <c r="AB36" s="211">
        <v>13.5</v>
      </c>
      <c r="AC36" s="307">
        <f t="shared" si="21"/>
        <v>15.555555555555559</v>
      </c>
      <c r="AD36" s="217">
        <f t="shared" si="7"/>
        <v>26.667337706614866</v>
      </c>
      <c r="AE36" s="307">
        <f t="shared" si="8"/>
        <v>26.434899447955555</v>
      </c>
      <c r="AF36" s="181">
        <f t="shared" si="9"/>
        <v>0.86402174169432167</v>
      </c>
      <c r="AG36" s="182">
        <f t="shared" si="10"/>
        <v>0.85649074211375997</v>
      </c>
      <c r="AH36" s="320">
        <f t="shared" si="11"/>
        <v>802.00293978686432</v>
      </c>
      <c r="AI36" s="220">
        <f t="shared" si="12"/>
        <v>699.83243312206992</v>
      </c>
      <c r="AJ36" s="220">
        <f t="shared" si="22"/>
        <v>583.1936942683916</v>
      </c>
      <c r="AK36" s="220">
        <f t="shared" si="23"/>
        <v>466.55495541471328</v>
      </c>
      <c r="AL36" s="220">
        <f t="shared" si="15"/>
        <v>4209.8632700912203</v>
      </c>
      <c r="AM36" s="262">
        <f t="shared" si="16"/>
        <v>3677.7980719628304</v>
      </c>
    </row>
    <row r="37" spans="1:39" ht="12.75" customHeight="1" x14ac:dyDescent="0.2">
      <c r="A37" s="255">
        <v>2</v>
      </c>
      <c r="B37" s="2369" t="s">
        <v>91</v>
      </c>
      <c r="C37" s="2371" t="s">
        <v>43</v>
      </c>
      <c r="D37" s="675">
        <v>2.4</v>
      </c>
      <c r="E37" s="301" t="s">
        <v>35</v>
      </c>
      <c r="F37" s="210" t="s">
        <v>57</v>
      </c>
      <c r="G37" s="211">
        <v>6.141</v>
      </c>
      <c r="H37" s="302">
        <v>6.81</v>
      </c>
      <c r="I37" s="303"/>
      <c r="J37" s="304">
        <v>18.75</v>
      </c>
      <c r="K37" s="211"/>
      <c r="L37" s="211"/>
      <c r="M37" s="216"/>
      <c r="N37" s="305">
        <f t="shared" si="17"/>
        <v>4.6687500000000002</v>
      </c>
      <c r="O37" s="211">
        <f t="shared" si="18"/>
        <v>7.5</v>
      </c>
      <c r="P37" s="218">
        <f t="shared" si="19"/>
        <v>14.417839906258497</v>
      </c>
      <c r="Q37" s="219">
        <f t="shared" si="20"/>
        <v>15.052352858025218</v>
      </c>
      <c r="R37" s="207">
        <f t="shared" si="4"/>
        <v>1483.390256518969</v>
      </c>
      <c r="S37" s="1018">
        <f t="shared" si="5"/>
        <v>1229.0437365170228</v>
      </c>
      <c r="T37" s="1031">
        <v>1</v>
      </c>
      <c r="U37" s="211" t="s">
        <v>50</v>
      </c>
      <c r="V37" s="211">
        <v>6.3</v>
      </c>
      <c r="W37" s="211">
        <v>11</v>
      </c>
      <c r="X37" s="211">
        <v>35</v>
      </c>
      <c r="Y37" s="211">
        <v>6.3</v>
      </c>
      <c r="Z37" s="219">
        <v>8</v>
      </c>
      <c r="AA37" s="306" t="s">
        <v>51</v>
      </c>
      <c r="AB37" s="211">
        <v>6</v>
      </c>
      <c r="AC37" s="307">
        <f t="shared" si="21"/>
        <v>15.555555555555559</v>
      </c>
      <c r="AD37" s="217">
        <f t="shared" si="7"/>
        <v>29.567483539712033</v>
      </c>
      <c r="AE37" s="307">
        <f t="shared" si="8"/>
        <v>30.228275425575891</v>
      </c>
      <c r="AF37" s="181">
        <f t="shared" si="9"/>
        <v>0.95798646668666976</v>
      </c>
      <c r="AG37" s="182">
        <f t="shared" si="10"/>
        <v>0.97939612378865892</v>
      </c>
      <c r="AH37" s="320">
        <f t="shared" si="11"/>
        <v>723.33796037356365</v>
      </c>
      <c r="AI37" s="220">
        <f t="shared" si="12"/>
        <v>612.00977361570892</v>
      </c>
      <c r="AJ37" s="220">
        <f t="shared" si="22"/>
        <v>510.00814467975744</v>
      </c>
      <c r="AK37" s="220">
        <f t="shared" si="23"/>
        <v>408.00651574380595</v>
      </c>
      <c r="AL37" s="220">
        <f t="shared" si="15"/>
        <v>3796.9360960804297</v>
      </c>
      <c r="AM37" s="262">
        <f t="shared" si="16"/>
        <v>3216.2675790615335</v>
      </c>
    </row>
    <row r="38" spans="1:39" ht="12.75" customHeight="1" x14ac:dyDescent="0.2">
      <c r="A38" s="255">
        <v>2</v>
      </c>
      <c r="B38" s="2366"/>
      <c r="C38" s="2372"/>
      <c r="D38" s="675">
        <v>2.4</v>
      </c>
      <c r="E38" s="301" t="s">
        <v>35</v>
      </c>
      <c r="F38" s="210" t="s">
        <v>57</v>
      </c>
      <c r="G38" s="211">
        <v>6.141</v>
      </c>
      <c r="H38" s="302">
        <v>6.81</v>
      </c>
      <c r="I38" s="303"/>
      <c r="J38" s="304">
        <v>18.75</v>
      </c>
      <c r="K38" s="211"/>
      <c r="L38" s="211"/>
      <c r="M38" s="216"/>
      <c r="N38" s="305">
        <f t="shared" si="17"/>
        <v>4.6687500000000002</v>
      </c>
      <c r="O38" s="211">
        <f t="shared" si="18"/>
        <v>7.5</v>
      </c>
      <c r="P38" s="218">
        <f t="shared" si="19"/>
        <v>14.417839906258497</v>
      </c>
      <c r="Q38" s="219">
        <f t="shared" si="20"/>
        <v>15.052352858025218</v>
      </c>
      <c r="R38" s="207">
        <f t="shared" si="4"/>
        <v>1483.390256518969</v>
      </c>
      <c r="S38" s="1018">
        <f t="shared" si="5"/>
        <v>1229.0437365170228</v>
      </c>
      <c r="T38" s="1031">
        <v>2</v>
      </c>
      <c r="U38" s="211" t="s">
        <v>50</v>
      </c>
      <c r="V38" s="211">
        <v>6.3</v>
      </c>
      <c r="W38" s="211">
        <v>11</v>
      </c>
      <c r="X38" s="211">
        <v>35</v>
      </c>
      <c r="Y38" s="211">
        <v>6.3</v>
      </c>
      <c r="Z38" s="219">
        <v>7.91</v>
      </c>
      <c r="AA38" s="306" t="s">
        <v>51</v>
      </c>
      <c r="AB38" s="211">
        <v>6</v>
      </c>
      <c r="AC38" s="307">
        <f t="shared" si="21"/>
        <v>15.380555555555555</v>
      </c>
      <c r="AD38" s="217">
        <f t="shared" si="7"/>
        <v>29.394691926038234</v>
      </c>
      <c r="AE38" s="307">
        <f t="shared" si="8"/>
        <v>30.055387466476464</v>
      </c>
      <c r="AF38" s="181">
        <f t="shared" si="9"/>
        <v>0.95238801840363874</v>
      </c>
      <c r="AG38" s="182">
        <f t="shared" si="10"/>
        <v>0.97379455391383762</v>
      </c>
      <c r="AH38" s="320">
        <f t="shared" si="11"/>
        <v>727.58997749689149</v>
      </c>
      <c r="AI38" s="220">
        <f t="shared" si="12"/>
        <v>615.53024464032433</v>
      </c>
      <c r="AJ38" s="220">
        <f t="shared" si="22"/>
        <v>512.94187053360361</v>
      </c>
      <c r="AK38" s="220">
        <f t="shared" si="23"/>
        <v>410.35349642688288</v>
      </c>
      <c r="AL38" s="220">
        <f t="shared" si="15"/>
        <v>3819.2557283701244</v>
      </c>
      <c r="AM38" s="262">
        <f t="shared" si="16"/>
        <v>3234.7685529146174</v>
      </c>
    </row>
    <row r="39" spans="1:39" ht="12.75" customHeight="1" x14ac:dyDescent="0.2">
      <c r="A39" s="255">
        <v>2</v>
      </c>
      <c r="B39" s="2369" t="s">
        <v>92</v>
      </c>
      <c r="C39" s="2371" t="s">
        <v>43</v>
      </c>
      <c r="D39" s="675">
        <v>2.5</v>
      </c>
      <c r="E39" s="301" t="s">
        <v>35</v>
      </c>
      <c r="F39" s="210" t="s">
        <v>159</v>
      </c>
      <c r="G39" s="2135">
        <f>G5</f>
        <v>5.0832300606437277</v>
      </c>
      <c r="H39" s="2149">
        <f>H5</f>
        <v>4.8489919515499249</v>
      </c>
      <c r="I39" s="303"/>
      <c r="J39" s="304">
        <v>31.1</v>
      </c>
      <c r="K39" s="211"/>
      <c r="L39" s="211"/>
      <c r="M39" s="216"/>
      <c r="N39" s="305">
        <f t="shared" si="17"/>
        <v>7.7439</v>
      </c>
      <c r="O39" s="211">
        <f t="shared" si="18"/>
        <v>12.440000000000001</v>
      </c>
      <c r="P39" s="218">
        <f t="shared" si="19"/>
        <v>19.158068247301138</v>
      </c>
      <c r="Q39" s="219">
        <f t="shared" si="20"/>
        <v>18.944055265722756</v>
      </c>
      <c r="R39" s="207">
        <f t="shared" si="4"/>
        <v>1116.3590692400378</v>
      </c>
      <c r="S39" s="1018">
        <f t="shared" si="5"/>
        <v>976.55965106234532</v>
      </c>
      <c r="T39" s="1031">
        <v>1</v>
      </c>
      <c r="U39" s="211" t="s">
        <v>50</v>
      </c>
      <c r="V39" s="211">
        <v>6.3</v>
      </c>
      <c r="W39" s="211">
        <v>11</v>
      </c>
      <c r="X39" s="211">
        <v>35</v>
      </c>
      <c r="Y39" s="211">
        <v>6.3</v>
      </c>
      <c r="Z39" s="219">
        <v>7.7</v>
      </c>
      <c r="AA39" s="306" t="s">
        <v>51</v>
      </c>
      <c r="AB39" s="211">
        <v>6</v>
      </c>
      <c r="AC39" s="307">
        <f t="shared" si="21"/>
        <v>14.972222222222221</v>
      </c>
      <c r="AD39" s="217">
        <f t="shared" si="7"/>
        <v>33.405424803136661</v>
      </c>
      <c r="AE39" s="307">
        <f t="shared" si="8"/>
        <v>33.177611836538155</v>
      </c>
      <c r="AF39" s="181">
        <f t="shared" ref="AF39:AF56" si="24">SQRT(POWER((AC39+O39+G39),2)+POWER(N39,2))*POWER(6.3/X39,2)</f>
        <v>1.0823357636216278</v>
      </c>
      <c r="AG39" s="182">
        <f t="shared" ref="AG39:AG56" si="25">SQRT(POWER((H39+O39+AC39),2)+POWER(N39,2))*POWER(6.3/X39,2)</f>
        <v>1.0749546235038361</v>
      </c>
      <c r="AH39" s="320">
        <f t="shared" si="11"/>
        <v>640.23383516398269</v>
      </c>
      <c r="AI39" s="220">
        <f t="shared" si="12"/>
        <v>557.60493224006393</v>
      </c>
      <c r="AJ39" s="220">
        <f t="shared" si="22"/>
        <v>464.67077686671996</v>
      </c>
      <c r="AK39" s="220">
        <f t="shared" si="23"/>
        <v>371.73662149337594</v>
      </c>
      <c r="AL39" s="220">
        <f t="shared" si="15"/>
        <v>3360.7070164141473</v>
      </c>
      <c r="AM39" s="262">
        <f t="shared" si="16"/>
        <v>2930.3562505108466</v>
      </c>
    </row>
    <row r="40" spans="1:39" ht="12.75" customHeight="1" x14ac:dyDescent="0.2">
      <c r="A40" s="255">
        <v>2</v>
      </c>
      <c r="B40" s="2366"/>
      <c r="C40" s="2372"/>
      <c r="D40" s="675">
        <v>2.5</v>
      </c>
      <c r="E40" s="301" t="s">
        <v>35</v>
      </c>
      <c r="F40" s="210" t="s">
        <v>159</v>
      </c>
      <c r="G40" s="2135">
        <f>G6</f>
        <v>5.0835973991363321</v>
      </c>
      <c r="H40" s="2149">
        <f>H6</f>
        <v>4.8489919515499249</v>
      </c>
      <c r="I40" s="303"/>
      <c r="J40" s="304">
        <v>31.1</v>
      </c>
      <c r="K40" s="211"/>
      <c r="L40" s="211"/>
      <c r="M40" s="216"/>
      <c r="N40" s="305">
        <f t="shared" si="17"/>
        <v>7.7439</v>
      </c>
      <c r="O40" s="211">
        <f t="shared" si="18"/>
        <v>12.440000000000001</v>
      </c>
      <c r="P40" s="218">
        <f t="shared" si="19"/>
        <v>19.158404239837349</v>
      </c>
      <c r="Q40" s="219">
        <f t="shared" si="20"/>
        <v>18.944055265722756</v>
      </c>
      <c r="R40" s="207">
        <f t="shared" si="4"/>
        <v>1116.3394909750475</v>
      </c>
      <c r="S40" s="1018">
        <f t="shared" si="5"/>
        <v>976.55965106234532</v>
      </c>
      <c r="T40" s="1031">
        <v>2</v>
      </c>
      <c r="U40" s="211" t="s">
        <v>50</v>
      </c>
      <c r="V40" s="211">
        <v>6.3</v>
      </c>
      <c r="W40" s="211">
        <v>11</v>
      </c>
      <c r="X40" s="211">
        <v>35</v>
      </c>
      <c r="Y40" s="211">
        <v>6.3</v>
      </c>
      <c r="Z40" s="219">
        <v>7.7</v>
      </c>
      <c r="AA40" s="306" t="s">
        <v>51</v>
      </c>
      <c r="AB40" s="211">
        <v>6</v>
      </c>
      <c r="AC40" s="307">
        <f t="shared" si="21"/>
        <v>14.972222222222221</v>
      </c>
      <c r="AD40" s="217">
        <f t="shared" si="7"/>
        <v>33.405782135341056</v>
      </c>
      <c r="AE40" s="307">
        <f t="shared" si="8"/>
        <v>33.177611836538155</v>
      </c>
      <c r="AF40" s="181">
        <f t="shared" si="24"/>
        <v>1.0823473411850502</v>
      </c>
      <c r="AG40" s="182">
        <f t="shared" si="25"/>
        <v>1.0749546235038361</v>
      </c>
      <c r="AH40" s="320">
        <f t="shared" si="11"/>
        <v>640.22698676370521</v>
      </c>
      <c r="AI40" s="220">
        <f t="shared" si="12"/>
        <v>557.60493224006393</v>
      </c>
      <c r="AJ40" s="220">
        <f t="shared" si="22"/>
        <v>464.67077686671996</v>
      </c>
      <c r="AK40" s="220">
        <f t="shared" si="23"/>
        <v>371.73662149337594</v>
      </c>
      <c r="AL40" s="220">
        <f t="shared" si="15"/>
        <v>3360.6710678815962</v>
      </c>
      <c r="AM40" s="262">
        <f t="shared" si="16"/>
        <v>2930.3562505108466</v>
      </c>
    </row>
    <row r="41" spans="1:39" ht="12.75" customHeight="1" x14ac:dyDescent="0.2">
      <c r="A41" s="255">
        <v>2</v>
      </c>
      <c r="B41" s="2369" t="s">
        <v>93</v>
      </c>
      <c r="C41" s="2370" t="s">
        <v>341</v>
      </c>
      <c r="D41" s="675">
        <v>2.2999999999999998</v>
      </c>
      <c r="E41" s="301" t="s">
        <v>35</v>
      </c>
      <c r="F41" s="210" t="s">
        <v>78</v>
      </c>
      <c r="G41" s="308">
        <v>6.101</v>
      </c>
      <c r="H41" s="302">
        <v>7.0510000000000002</v>
      </c>
      <c r="I41" s="303"/>
      <c r="J41" s="304">
        <v>6.86</v>
      </c>
      <c r="K41" s="211"/>
      <c r="L41" s="211"/>
      <c r="M41" s="216"/>
      <c r="N41" s="305">
        <f t="shared" si="17"/>
        <v>1.70814</v>
      </c>
      <c r="O41" s="211">
        <f t="shared" si="18"/>
        <v>2.7440000000000002</v>
      </c>
      <c r="P41" s="218">
        <f t="shared" si="19"/>
        <v>9.0084275686492603</v>
      </c>
      <c r="Q41" s="219">
        <f t="shared" si="20"/>
        <v>9.9428249134539222</v>
      </c>
      <c r="R41" s="207">
        <f t="shared" si="4"/>
        <v>2374.1416661244316</v>
      </c>
      <c r="S41" s="1018">
        <f t="shared" si="5"/>
        <v>1860.6382150979164</v>
      </c>
      <c r="T41" s="1031">
        <v>1</v>
      </c>
      <c r="U41" s="211" t="s">
        <v>50</v>
      </c>
      <c r="V41" s="211">
        <v>6.3</v>
      </c>
      <c r="W41" s="211">
        <v>11</v>
      </c>
      <c r="X41" s="211">
        <v>35</v>
      </c>
      <c r="Y41" s="211">
        <v>6.3</v>
      </c>
      <c r="Z41" s="219">
        <v>8.09</v>
      </c>
      <c r="AA41" s="211" t="s">
        <v>63</v>
      </c>
      <c r="AB41" s="211">
        <v>10</v>
      </c>
      <c r="AC41" s="307">
        <f t="shared" si="21"/>
        <v>15.730555555555558</v>
      </c>
      <c r="AD41" s="217">
        <f t="shared" si="7"/>
        <v>24.634846724179098</v>
      </c>
      <c r="AE41" s="307">
        <f t="shared" si="8"/>
        <v>25.582645068079906</v>
      </c>
      <c r="AF41" s="181">
        <f t="shared" si="24"/>
        <v>0.79816903386340277</v>
      </c>
      <c r="AG41" s="182">
        <f t="shared" si="25"/>
        <v>0.82887770020578888</v>
      </c>
      <c r="AH41" s="320">
        <f t="shared" si="11"/>
        <v>868.17196292934921</v>
      </c>
      <c r="AI41" s="220">
        <f t="shared" si="12"/>
        <v>723.14649055124107</v>
      </c>
      <c r="AJ41" s="220">
        <f t="shared" si="22"/>
        <v>602.62207545936758</v>
      </c>
      <c r="AK41" s="220">
        <f t="shared" si="23"/>
        <v>482.09766036749403</v>
      </c>
      <c r="AL41" s="220">
        <f t="shared" si="15"/>
        <v>4557.1968350023326</v>
      </c>
      <c r="AM41" s="262">
        <f t="shared" si="16"/>
        <v>3800.3193947888049</v>
      </c>
    </row>
    <row r="42" spans="1:39" ht="12.75" customHeight="1" x14ac:dyDescent="0.2">
      <c r="A42" s="255">
        <v>2</v>
      </c>
      <c r="B42" s="2366"/>
      <c r="C42" s="2368"/>
      <c r="D42" s="675">
        <v>2.2999999999999998</v>
      </c>
      <c r="E42" s="301" t="s">
        <v>35</v>
      </c>
      <c r="F42" s="210" t="s">
        <v>78</v>
      </c>
      <c r="G42" s="308">
        <v>6.101</v>
      </c>
      <c r="H42" s="302">
        <v>7.0510000000000002</v>
      </c>
      <c r="I42" s="303"/>
      <c r="J42" s="304">
        <v>6.86</v>
      </c>
      <c r="K42" s="211"/>
      <c r="L42" s="211"/>
      <c r="M42" s="216"/>
      <c r="N42" s="305">
        <f t="shared" si="17"/>
        <v>1.70814</v>
      </c>
      <c r="O42" s="211">
        <f t="shared" si="18"/>
        <v>2.7440000000000002</v>
      </c>
      <c r="P42" s="218">
        <f t="shared" si="19"/>
        <v>9.0084275686492603</v>
      </c>
      <c r="Q42" s="219">
        <f t="shared" si="20"/>
        <v>9.9428249134539222</v>
      </c>
      <c r="R42" s="207">
        <f t="shared" si="4"/>
        <v>2374.1416661244316</v>
      </c>
      <c r="S42" s="1018">
        <f t="shared" si="5"/>
        <v>1860.6382150979164</v>
      </c>
      <c r="T42" s="1031">
        <v>2</v>
      </c>
      <c r="U42" s="211" t="s">
        <v>50</v>
      </c>
      <c r="V42" s="211">
        <v>6.3</v>
      </c>
      <c r="W42" s="211">
        <v>11</v>
      </c>
      <c r="X42" s="211">
        <v>35</v>
      </c>
      <c r="Y42" s="211">
        <v>6.3</v>
      </c>
      <c r="Z42" s="219">
        <v>8</v>
      </c>
      <c r="AA42" s="211" t="s">
        <v>63</v>
      </c>
      <c r="AB42" s="211">
        <v>10</v>
      </c>
      <c r="AC42" s="307">
        <f t="shared" si="21"/>
        <v>15.555555555555559</v>
      </c>
      <c r="AD42" s="217">
        <f t="shared" si="7"/>
        <v>24.460270924079179</v>
      </c>
      <c r="AE42" s="307">
        <f t="shared" si="8"/>
        <v>25.408038279940243</v>
      </c>
      <c r="AF42" s="181">
        <f t="shared" si="24"/>
        <v>0.79251277794016539</v>
      </c>
      <c r="AG42" s="182">
        <f t="shared" si="25"/>
        <v>0.8232204402700638</v>
      </c>
      <c r="AH42" s="320">
        <f t="shared" si="11"/>
        <v>874.36820726053975</v>
      </c>
      <c r="AI42" s="220">
        <f t="shared" si="12"/>
        <v>728.11603147677204</v>
      </c>
      <c r="AJ42" s="220">
        <f t="shared" si="22"/>
        <v>606.76335956397668</v>
      </c>
      <c r="AK42" s="220">
        <f t="shared" si="23"/>
        <v>485.41068765118138</v>
      </c>
      <c r="AL42" s="220">
        <f t="shared" si="15"/>
        <v>4589.7220791483478</v>
      </c>
      <c r="AM42" s="262">
        <f t="shared" si="16"/>
        <v>3826.4356008539075</v>
      </c>
    </row>
    <row r="43" spans="1:39" ht="12.75" customHeight="1" x14ac:dyDescent="0.2">
      <c r="A43" s="255">
        <v>2</v>
      </c>
      <c r="B43" s="2369" t="s">
        <v>95</v>
      </c>
      <c r="C43" s="2370" t="s">
        <v>341</v>
      </c>
      <c r="D43" s="675">
        <v>2.4</v>
      </c>
      <c r="E43" s="301" t="s">
        <v>35</v>
      </c>
      <c r="F43" s="210" t="s">
        <v>57</v>
      </c>
      <c r="G43" s="211">
        <v>6.141</v>
      </c>
      <c r="H43" s="302">
        <v>6.81</v>
      </c>
      <c r="I43" s="303"/>
      <c r="J43" s="304">
        <v>22.13</v>
      </c>
      <c r="K43" s="211"/>
      <c r="L43" s="211"/>
      <c r="M43" s="216"/>
      <c r="N43" s="305">
        <f t="shared" si="17"/>
        <v>5.51037</v>
      </c>
      <c r="O43" s="211">
        <f t="shared" si="18"/>
        <v>8.8520000000000003</v>
      </c>
      <c r="P43" s="218">
        <f t="shared" si="19"/>
        <v>15.973547712919006</v>
      </c>
      <c r="Q43" s="219">
        <f t="shared" si="20"/>
        <v>16.603084699443652</v>
      </c>
      <c r="R43" s="207">
        <f t="shared" si="4"/>
        <v>1338.9187938316745</v>
      </c>
      <c r="S43" s="1018">
        <f t="shared" si="5"/>
        <v>1114.2507753766931</v>
      </c>
      <c r="T43" s="1031">
        <v>1</v>
      </c>
      <c r="U43" s="211" t="s">
        <v>50</v>
      </c>
      <c r="V43" s="211">
        <v>6.3</v>
      </c>
      <c r="W43" s="211">
        <v>11</v>
      </c>
      <c r="X43" s="211">
        <v>35</v>
      </c>
      <c r="Y43" s="211">
        <v>6.3</v>
      </c>
      <c r="Z43" s="219">
        <v>8</v>
      </c>
      <c r="AA43" s="211" t="s">
        <v>63</v>
      </c>
      <c r="AB43" s="211">
        <v>5.32</v>
      </c>
      <c r="AC43" s="307">
        <f t="shared" si="21"/>
        <v>15.555555555555559</v>
      </c>
      <c r="AD43" s="217">
        <f t="shared" si="7"/>
        <v>31.04155962685774</v>
      </c>
      <c r="AE43" s="307">
        <f t="shared" si="8"/>
        <v>31.700156977546623</v>
      </c>
      <c r="AF43" s="181">
        <f t="shared" si="24"/>
        <v>1.0057465319101908</v>
      </c>
      <c r="AG43" s="182">
        <f t="shared" si="25"/>
        <v>1.0270850860725105</v>
      </c>
      <c r="AH43" s="320">
        <f t="shared" si="11"/>
        <v>688.98868143498623</v>
      </c>
      <c r="AI43" s="220">
        <f t="shared" si="12"/>
        <v>583.59332457260837</v>
      </c>
      <c r="AJ43" s="220">
        <f t="shared" si="22"/>
        <v>486.32777047717366</v>
      </c>
      <c r="AK43" s="220">
        <f t="shared" si="23"/>
        <v>389.06221638173889</v>
      </c>
      <c r="AL43" s="220">
        <f t="shared" si="15"/>
        <v>3616.6303134157615</v>
      </c>
      <c r="AM43" s="262">
        <f t="shared" si="16"/>
        <v>3066.931885892086</v>
      </c>
    </row>
    <row r="44" spans="1:39" ht="12.75" customHeight="1" x14ac:dyDescent="0.2">
      <c r="A44" s="255">
        <v>2</v>
      </c>
      <c r="B44" s="2366"/>
      <c r="C44" s="2368"/>
      <c r="D44" s="675">
        <v>2.4</v>
      </c>
      <c r="E44" s="301" t="s">
        <v>35</v>
      </c>
      <c r="F44" s="210" t="s">
        <v>57</v>
      </c>
      <c r="G44" s="211">
        <v>6.141</v>
      </c>
      <c r="H44" s="302">
        <v>6.81</v>
      </c>
      <c r="I44" s="303"/>
      <c r="J44" s="304">
        <v>22.13</v>
      </c>
      <c r="K44" s="211"/>
      <c r="L44" s="211"/>
      <c r="M44" s="216"/>
      <c r="N44" s="305">
        <f t="shared" si="17"/>
        <v>5.51037</v>
      </c>
      <c r="O44" s="211">
        <f t="shared" si="18"/>
        <v>8.8520000000000003</v>
      </c>
      <c r="P44" s="218">
        <f t="shared" si="19"/>
        <v>15.973547712919006</v>
      </c>
      <c r="Q44" s="219">
        <f t="shared" si="20"/>
        <v>16.603084699443652</v>
      </c>
      <c r="R44" s="207">
        <f t="shared" si="4"/>
        <v>1338.9187938316745</v>
      </c>
      <c r="S44" s="1018">
        <f t="shared" si="5"/>
        <v>1114.2507753766931</v>
      </c>
      <c r="T44" s="1031">
        <v>2</v>
      </c>
      <c r="U44" s="211" t="s">
        <v>50</v>
      </c>
      <c r="V44" s="211">
        <v>6.3</v>
      </c>
      <c r="W44" s="211">
        <v>11</v>
      </c>
      <c r="X44" s="211">
        <v>35</v>
      </c>
      <c r="Y44" s="211">
        <v>6.3</v>
      </c>
      <c r="Z44" s="219">
        <v>8.08</v>
      </c>
      <c r="AA44" s="211" t="s">
        <v>63</v>
      </c>
      <c r="AB44" s="211">
        <v>5.32</v>
      </c>
      <c r="AC44" s="307">
        <f t="shared" si="21"/>
        <v>15.71111111111111</v>
      </c>
      <c r="AD44" s="217">
        <f t="shared" si="7"/>
        <v>31.194656860756727</v>
      </c>
      <c r="AE44" s="307">
        <f t="shared" si="8"/>
        <v>31.853355840900395</v>
      </c>
      <c r="AF44" s="157">
        <f t="shared" si="24"/>
        <v>1.0107068822885179</v>
      </c>
      <c r="AG44" s="158">
        <f t="shared" si="25"/>
        <v>1.0320487292451725</v>
      </c>
      <c r="AH44" s="320">
        <f t="shared" si="11"/>
        <v>685.60726064275741</v>
      </c>
      <c r="AI44" s="220">
        <f t="shared" si="12"/>
        <v>580.7865297585256</v>
      </c>
      <c r="AJ44" s="220">
        <f t="shared" si="22"/>
        <v>483.98877479877137</v>
      </c>
      <c r="AK44" s="220">
        <f t="shared" si="23"/>
        <v>387.19101983901709</v>
      </c>
      <c r="AL44" s="220">
        <f t="shared" si="15"/>
        <v>3598.8806039225396</v>
      </c>
      <c r="AM44" s="262">
        <f t="shared" si="16"/>
        <v>3052.1814626949545</v>
      </c>
    </row>
    <row r="45" spans="1:39" ht="12.75" customHeight="1" x14ac:dyDescent="0.2">
      <c r="A45" s="255">
        <v>2</v>
      </c>
      <c r="B45" s="2369" t="s">
        <v>135</v>
      </c>
      <c r="C45" s="2370" t="s">
        <v>341</v>
      </c>
      <c r="D45" s="675">
        <v>2.4</v>
      </c>
      <c r="E45" s="301" t="s">
        <v>35</v>
      </c>
      <c r="F45" s="210" t="s">
        <v>161</v>
      </c>
      <c r="G45" s="211">
        <v>17.035</v>
      </c>
      <c r="H45" s="309">
        <v>18.809999999999999</v>
      </c>
      <c r="I45" s="303"/>
      <c r="J45" s="304">
        <v>36.200000000000003</v>
      </c>
      <c r="K45" s="211"/>
      <c r="L45" s="211"/>
      <c r="M45" s="216"/>
      <c r="N45" s="305">
        <f t="shared" si="17"/>
        <v>9.0137999999999998</v>
      </c>
      <c r="O45" s="211">
        <f t="shared" si="18"/>
        <v>14.480000000000002</v>
      </c>
      <c r="P45" s="218">
        <f t="shared" si="19"/>
        <v>32.778709789129891</v>
      </c>
      <c r="Q45" s="219">
        <f t="shared" si="20"/>
        <v>34.488732804207231</v>
      </c>
      <c r="R45" s="220">
        <f t="shared" si="4"/>
        <v>652.47483426228973</v>
      </c>
      <c r="S45" s="871">
        <f t="shared" si="5"/>
        <v>536.40706676654736</v>
      </c>
      <c r="T45" s="1031">
        <v>1</v>
      </c>
      <c r="U45" s="211" t="s">
        <v>50</v>
      </c>
      <c r="V45" s="211">
        <v>6.3</v>
      </c>
      <c r="W45" s="211">
        <v>11</v>
      </c>
      <c r="X45" s="211">
        <v>35</v>
      </c>
      <c r="Y45" s="211">
        <v>6.3</v>
      </c>
      <c r="Z45" s="219">
        <v>7.8</v>
      </c>
      <c r="AA45" s="211" t="s">
        <v>63</v>
      </c>
      <c r="AB45" s="211">
        <v>10</v>
      </c>
      <c r="AC45" s="307">
        <f t="shared" si="21"/>
        <v>15.166666666666666</v>
      </c>
      <c r="AD45" s="217">
        <f t="shared" si="7"/>
        <v>47.543943812201555</v>
      </c>
      <c r="AE45" s="307">
        <f t="shared" si="8"/>
        <v>49.287900491747912</v>
      </c>
      <c r="AF45" s="181">
        <f t="shared" si="24"/>
        <v>1.5404237795153304</v>
      </c>
      <c r="AG45" s="182">
        <f t="shared" si="25"/>
        <v>1.5969279759326322</v>
      </c>
      <c r="AH45" s="320">
        <f t="shared" si="11"/>
        <v>449.84243043601793</v>
      </c>
      <c r="AI45" s="220">
        <f t="shared" si="12"/>
        <v>375.3456693311046</v>
      </c>
      <c r="AJ45" s="220">
        <f t="shared" si="22"/>
        <v>312.78805777592049</v>
      </c>
      <c r="AK45" s="220">
        <f t="shared" si="23"/>
        <v>250.23044622073641</v>
      </c>
      <c r="AL45" s="220">
        <f t="shared" si="15"/>
        <v>2361.30696194759</v>
      </c>
      <c r="AM45" s="262">
        <f t="shared" si="16"/>
        <v>1972.5373012895889</v>
      </c>
    </row>
    <row r="46" spans="1:39" ht="12.75" customHeight="1" x14ac:dyDescent="0.2">
      <c r="A46" s="255">
        <v>2</v>
      </c>
      <c r="B46" s="2366"/>
      <c r="C46" s="2368"/>
      <c r="D46" s="675">
        <v>2.4</v>
      </c>
      <c r="E46" s="301" t="s">
        <v>35</v>
      </c>
      <c r="F46" s="210" t="s">
        <v>161</v>
      </c>
      <c r="G46" s="211">
        <v>10.755000000000001</v>
      </c>
      <c r="H46" s="309">
        <v>12.53</v>
      </c>
      <c r="I46" s="303"/>
      <c r="J46" s="304">
        <v>36.200000000000003</v>
      </c>
      <c r="K46" s="211"/>
      <c r="L46" s="211"/>
      <c r="M46" s="216"/>
      <c r="N46" s="305">
        <f t="shared" si="17"/>
        <v>9.0137999999999998</v>
      </c>
      <c r="O46" s="211">
        <f t="shared" si="18"/>
        <v>14.480000000000002</v>
      </c>
      <c r="P46" s="218">
        <f t="shared" si="19"/>
        <v>26.79652618232446</v>
      </c>
      <c r="Q46" s="219">
        <f t="shared" si="20"/>
        <v>28.474351448979483</v>
      </c>
      <c r="R46" s="207">
        <f t="shared" si="4"/>
        <v>798.1364110957677</v>
      </c>
      <c r="S46" s="1018">
        <f t="shared" si="5"/>
        <v>649.70751074518455</v>
      </c>
      <c r="T46" s="1031">
        <v>2</v>
      </c>
      <c r="U46" s="211" t="s">
        <v>50</v>
      </c>
      <c r="V46" s="211">
        <v>6.3</v>
      </c>
      <c r="W46" s="211">
        <v>11</v>
      </c>
      <c r="X46" s="211">
        <v>35</v>
      </c>
      <c r="Y46" s="211">
        <v>6.3</v>
      </c>
      <c r="Z46" s="219">
        <v>7.8</v>
      </c>
      <c r="AA46" s="211" t="s">
        <v>63</v>
      </c>
      <c r="AB46" s="211">
        <v>10</v>
      </c>
      <c r="AC46" s="307">
        <f t="shared" si="21"/>
        <v>15.166666666666666</v>
      </c>
      <c r="AD46" s="217">
        <f t="shared" si="7"/>
        <v>41.394966600837414</v>
      </c>
      <c r="AE46" s="307">
        <f t="shared" si="8"/>
        <v>43.129106199307117</v>
      </c>
      <c r="AF46" s="181">
        <f t="shared" si="24"/>
        <v>1.3411969178671321</v>
      </c>
      <c r="AG46" s="182">
        <f t="shared" si="25"/>
        <v>1.3973830408575505</v>
      </c>
      <c r="AH46" s="320">
        <f t="shared" si="11"/>
        <v>516.66386020375626</v>
      </c>
      <c r="AI46" s="220">
        <f t="shared" si="12"/>
        <v>428.94466475860349</v>
      </c>
      <c r="AJ46" s="220">
        <f t="shared" si="22"/>
        <v>357.45388729883626</v>
      </c>
      <c r="AK46" s="220">
        <f t="shared" si="23"/>
        <v>285.96310983906898</v>
      </c>
      <c r="AL46" s="220">
        <f t="shared" si="15"/>
        <v>2712.065131124552</v>
      </c>
      <c r="AM46" s="262">
        <f t="shared" si="16"/>
        <v>2254.2137036863551</v>
      </c>
    </row>
    <row r="47" spans="1:39" ht="12.75" customHeight="1" x14ac:dyDescent="0.2">
      <c r="A47" s="254">
        <v>2</v>
      </c>
      <c r="B47" s="2369" t="s">
        <v>56</v>
      </c>
      <c r="C47" s="2371" t="s">
        <v>43</v>
      </c>
      <c r="D47" s="647">
        <v>2.5</v>
      </c>
      <c r="E47" s="335" t="s">
        <v>35</v>
      </c>
      <c r="F47" s="656" t="s">
        <v>159</v>
      </c>
      <c r="G47" s="2135">
        <f>G5</f>
        <v>5.0832300606437277</v>
      </c>
      <c r="H47" s="2149">
        <f>H5</f>
        <v>4.8489919515499249</v>
      </c>
      <c r="I47" s="336"/>
      <c r="J47" s="337">
        <v>20.2</v>
      </c>
      <c r="K47" s="198"/>
      <c r="L47" s="198"/>
      <c r="M47" s="203"/>
      <c r="N47" s="338">
        <f t="shared" si="17"/>
        <v>5.0297999999999998</v>
      </c>
      <c r="O47" s="198">
        <f t="shared" si="18"/>
        <v>8.08</v>
      </c>
      <c r="P47" s="205">
        <f t="shared" si="19"/>
        <v>14.091469535482616</v>
      </c>
      <c r="Q47" s="206">
        <f t="shared" si="20"/>
        <v>13.872913209677437</v>
      </c>
      <c r="R47" s="207">
        <f t="shared" si="4"/>
        <v>1517.7468313819641</v>
      </c>
      <c r="S47" s="1018">
        <f t="shared" si="5"/>
        <v>1333.5338959011731</v>
      </c>
      <c r="T47" s="1030">
        <v>1</v>
      </c>
      <c r="U47" s="198" t="s">
        <v>50</v>
      </c>
      <c r="V47" s="198">
        <v>6.3</v>
      </c>
      <c r="W47" s="211">
        <v>11</v>
      </c>
      <c r="X47" s="198">
        <v>35</v>
      </c>
      <c r="Y47" s="198">
        <v>6.3</v>
      </c>
      <c r="Z47" s="206">
        <v>7.47</v>
      </c>
      <c r="AA47" s="339" t="s">
        <v>51</v>
      </c>
      <c r="AB47" s="198">
        <v>10</v>
      </c>
      <c r="AC47" s="340">
        <f t="shared" si="21"/>
        <v>14.525000000000002</v>
      </c>
      <c r="AD47" s="204">
        <f t="shared" si="7"/>
        <v>28.141374734208263</v>
      </c>
      <c r="AE47" s="340">
        <f t="shared" si="8"/>
        <v>27.910939828600689</v>
      </c>
      <c r="AF47" s="181">
        <f t="shared" si="24"/>
        <v>0.91178054138834763</v>
      </c>
      <c r="AG47" s="182">
        <f t="shared" si="25"/>
        <v>0.90431445044666214</v>
      </c>
      <c r="AH47" s="341">
        <f t="shared" si="11"/>
        <v>759.99425895125648</v>
      </c>
      <c r="AI47" s="207">
        <f t="shared" si="12"/>
        <v>662.8225388900313</v>
      </c>
      <c r="AJ47" s="207">
        <f t="shared" si="22"/>
        <v>552.35211574169273</v>
      </c>
      <c r="AK47" s="207">
        <f t="shared" si="23"/>
        <v>441.88169259335422</v>
      </c>
      <c r="AL47" s="207">
        <f t="shared" si="15"/>
        <v>3989.351855853999</v>
      </c>
      <c r="AM47" s="260">
        <f t="shared" si="16"/>
        <v>3483.3016308034676</v>
      </c>
    </row>
    <row r="48" spans="1:39" ht="12.75" customHeight="1" x14ac:dyDescent="0.2">
      <c r="A48" s="255">
        <v>2</v>
      </c>
      <c r="B48" s="2366"/>
      <c r="C48" s="2372"/>
      <c r="D48" s="675">
        <v>2.5</v>
      </c>
      <c r="E48" s="301" t="s">
        <v>35</v>
      </c>
      <c r="F48" s="210" t="s">
        <v>159</v>
      </c>
      <c r="G48" s="2135">
        <f>G6</f>
        <v>5.0835973991363321</v>
      </c>
      <c r="H48" s="2149">
        <f>H6</f>
        <v>4.8489919515499249</v>
      </c>
      <c r="I48" s="303"/>
      <c r="J48" s="304">
        <v>20.2</v>
      </c>
      <c r="K48" s="211"/>
      <c r="L48" s="211"/>
      <c r="M48" s="216"/>
      <c r="N48" s="305">
        <f t="shared" si="17"/>
        <v>5.0297999999999998</v>
      </c>
      <c r="O48" s="211">
        <f t="shared" si="18"/>
        <v>8.08</v>
      </c>
      <c r="P48" s="218">
        <f t="shared" si="19"/>
        <v>14.091812677102574</v>
      </c>
      <c r="Q48" s="219">
        <f t="shared" si="20"/>
        <v>13.872913209677437</v>
      </c>
      <c r="R48" s="207">
        <f t="shared" si="4"/>
        <v>1517.7098736024122</v>
      </c>
      <c r="S48" s="1018">
        <f t="shared" si="5"/>
        <v>1333.5338959011731</v>
      </c>
      <c r="T48" s="1031">
        <v>2</v>
      </c>
      <c r="U48" s="211" t="s">
        <v>50</v>
      </c>
      <c r="V48" s="211">
        <v>6.3</v>
      </c>
      <c r="W48" s="211">
        <v>11</v>
      </c>
      <c r="X48" s="211">
        <v>35</v>
      </c>
      <c r="Y48" s="211">
        <v>6.3</v>
      </c>
      <c r="Z48" s="219">
        <v>7.42</v>
      </c>
      <c r="AA48" s="306" t="s">
        <v>51</v>
      </c>
      <c r="AB48" s="211">
        <v>10</v>
      </c>
      <c r="AC48" s="307">
        <f t="shared" si="21"/>
        <v>14.427777777777777</v>
      </c>
      <c r="AD48" s="217">
        <f t="shared" si="7"/>
        <v>28.046084792591493</v>
      </c>
      <c r="AE48" s="307">
        <f t="shared" si="8"/>
        <v>27.815314811510952</v>
      </c>
      <c r="AF48" s="181">
        <f t="shared" si="24"/>
        <v>0.90869314727996431</v>
      </c>
      <c r="AG48" s="182">
        <f t="shared" si="25"/>
        <v>0.90121619989295476</v>
      </c>
      <c r="AH48" s="320">
        <f t="shared" si="11"/>
        <v>762.57643072675046</v>
      </c>
      <c r="AI48" s="220">
        <f t="shared" si="12"/>
        <v>665.10122662153196</v>
      </c>
      <c r="AJ48" s="220">
        <f t="shared" si="22"/>
        <v>554.25102218460995</v>
      </c>
      <c r="AK48" s="220">
        <f t="shared" si="23"/>
        <v>443.400817747688</v>
      </c>
      <c r="AL48" s="220">
        <f t="shared" si="15"/>
        <v>4002.9061579337495</v>
      </c>
      <c r="AM48" s="262">
        <f t="shared" si="16"/>
        <v>3495.2767164795227</v>
      </c>
    </row>
    <row r="49" spans="1:39" ht="12.75" customHeight="1" x14ac:dyDescent="0.2">
      <c r="A49" s="255">
        <v>2</v>
      </c>
      <c r="B49" s="2369" t="s">
        <v>152</v>
      </c>
      <c r="C49" s="2370" t="s">
        <v>341</v>
      </c>
      <c r="D49" s="675">
        <v>5.6</v>
      </c>
      <c r="E49" s="301" t="s">
        <v>35</v>
      </c>
      <c r="F49" s="210" t="s">
        <v>46</v>
      </c>
      <c r="G49" s="2145">
        <f>Мартыновская!G15</f>
        <v>4.9020181386774881</v>
      </c>
      <c r="H49" s="2152">
        <f>Мартыновская!H15</f>
        <v>5.2862861120779669</v>
      </c>
      <c r="I49" s="303"/>
      <c r="J49" s="304">
        <v>40.86</v>
      </c>
      <c r="K49" s="211"/>
      <c r="L49" s="211"/>
      <c r="M49" s="311">
        <v>1.81</v>
      </c>
      <c r="N49" s="305">
        <f t="shared" si="17"/>
        <v>10.282739999999999</v>
      </c>
      <c r="O49" s="211">
        <f t="shared" si="18"/>
        <v>17.068000000000001</v>
      </c>
      <c r="P49" s="218">
        <f t="shared" si="19"/>
        <v>24.257296611976731</v>
      </c>
      <c r="Q49" s="219">
        <f t="shared" si="20"/>
        <v>24.605870224160775</v>
      </c>
      <c r="R49" s="207">
        <f t="shared" si="4"/>
        <v>881.6845330750715</v>
      </c>
      <c r="S49" s="1018">
        <f t="shared" si="5"/>
        <v>751.85310787482922</v>
      </c>
      <c r="T49" s="1031">
        <v>1</v>
      </c>
      <c r="U49" s="211" t="s">
        <v>50</v>
      </c>
      <c r="V49" s="211">
        <v>6.3</v>
      </c>
      <c r="W49" s="211">
        <v>11</v>
      </c>
      <c r="X49" s="211">
        <v>35</v>
      </c>
      <c r="Y49" s="211">
        <v>6.3</v>
      </c>
      <c r="Z49" s="219">
        <v>7.83</v>
      </c>
      <c r="AA49" s="211" t="s">
        <v>63</v>
      </c>
      <c r="AB49" s="211"/>
      <c r="AC49" s="307">
        <f t="shared" si="21"/>
        <v>15.225000000000001</v>
      </c>
      <c r="AD49" s="217">
        <f t="shared" si="7"/>
        <v>38.590207517505632</v>
      </c>
      <c r="AE49" s="307">
        <f t="shared" si="8"/>
        <v>38.960717223904084</v>
      </c>
      <c r="AF49" s="181">
        <f t="shared" si="24"/>
        <v>1.2503227235671823</v>
      </c>
      <c r="AG49" s="182">
        <f t="shared" si="25"/>
        <v>1.2623272380544921</v>
      </c>
      <c r="AH49" s="320">
        <f t="shared" si="11"/>
        <v>554.21529483334177</v>
      </c>
      <c r="AI49" s="220">
        <f t="shared" si="12"/>
        <v>474.83725450129685</v>
      </c>
      <c r="AJ49" s="220">
        <f t="shared" si="22"/>
        <v>395.69771208441404</v>
      </c>
      <c r="AK49" s="220">
        <f t="shared" si="23"/>
        <v>316.55816966753122</v>
      </c>
      <c r="AL49" s="220">
        <f t="shared" si="15"/>
        <v>2909.1796272738247</v>
      </c>
      <c r="AM49" s="262">
        <f t="shared" si="16"/>
        <v>2495.3909771089175</v>
      </c>
    </row>
    <row r="50" spans="1:39" ht="12.75" customHeight="1" x14ac:dyDescent="0.2">
      <c r="A50" s="256">
        <v>2</v>
      </c>
      <c r="B50" s="2366"/>
      <c r="C50" s="2368"/>
      <c r="D50" s="646">
        <v>5.6</v>
      </c>
      <c r="E50" s="326" t="s">
        <v>35</v>
      </c>
      <c r="F50" s="653" t="s">
        <v>46</v>
      </c>
      <c r="G50" s="2145">
        <f>Мартыновская!G16</f>
        <v>4.8982573492001933</v>
      </c>
      <c r="H50" s="2152">
        <f>Мартыновская!H16</f>
        <v>5.2312064066132784</v>
      </c>
      <c r="I50" s="328"/>
      <c r="J50" s="329">
        <v>40.86</v>
      </c>
      <c r="K50" s="223"/>
      <c r="L50" s="223"/>
      <c r="M50" s="330">
        <v>1.81</v>
      </c>
      <c r="N50" s="331">
        <f t="shared" si="17"/>
        <v>10.282739999999999</v>
      </c>
      <c r="O50" s="223">
        <f t="shared" si="18"/>
        <v>17.068000000000001</v>
      </c>
      <c r="P50" s="227">
        <f t="shared" si="19"/>
        <v>24.253890488721424</v>
      </c>
      <c r="Q50" s="228">
        <f t="shared" si="20"/>
        <v>24.555841428717986</v>
      </c>
      <c r="R50" s="332">
        <f t="shared" si="4"/>
        <v>881.80835346559184</v>
      </c>
      <c r="S50" s="1038">
        <f t="shared" si="5"/>
        <v>753.38489433167229</v>
      </c>
      <c r="T50" s="1042">
        <v>2</v>
      </c>
      <c r="U50" s="223" t="s">
        <v>50</v>
      </c>
      <c r="V50" s="223">
        <v>6.3</v>
      </c>
      <c r="W50" s="211">
        <v>11</v>
      </c>
      <c r="X50" s="223">
        <v>35</v>
      </c>
      <c r="Y50" s="223">
        <v>6.3</v>
      </c>
      <c r="Z50" s="228">
        <v>7.5</v>
      </c>
      <c r="AA50" s="223" t="s">
        <v>63</v>
      </c>
      <c r="AB50" s="223"/>
      <c r="AC50" s="333">
        <f t="shared" si="21"/>
        <v>14.583333333333334</v>
      </c>
      <c r="AD50" s="946">
        <f t="shared" si="7"/>
        <v>37.968504328829461</v>
      </c>
      <c r="AE50" s="333">
        <f t="shared" si="8"/>
        <v>38.289116986114223</v>
      </c>
      <c r="AF50" s="181">
        <f t="shared" si="24"/>
        <v>1.2301795402540745</v>
      </c>
      <c r="AG50" s="182">
        <f t="shared" si="25"/>
        <v>1.2405673903501009</v>
      </c>
      <c r="AH50" s="334">
        <f t="shared" si="11"/>
        <v>563.29011677067479</v>
      </c>
      <c r="AI50" s="229">
        <f t="shared" si="12"/>
        <v>483.16601311827412</v>
      </c>
      <c r="AJ50" s="229">
        <f t="shared" si="22"/>
        <v>402.63834426522845</v>
      </c>
      <c r="AK50" s="229">
        <f t="shared" si="23"/>
        <v>322.11067541218273</v>
      </c>
      <c r="AL50" s="229">
        <f t="shared" si="15"/>
        <v>2956.8150630825135</v>
      </c>
      <c r="AM50" s="264">
        <f t="shared" si="16"/>
        <v>2539.16072960054</v>
      </c>
    </row>
    <row r="51" spans="1:39" ht="12.75" customHeight="1" x14ac:dyDescent="0.2">
      <c r="A51" s="256">
        <v>2</v>
      </c>
      <c r="B51" s="2369" t="s">
        <v>153</v>
      </c>
      <c r="C51" s="2371" t="s">
        <v>43</v>
      </c>
      <c r="D51" s="646">
        <v>2.4</v>
      </c>
      <c r="E51" s="326" t="s">
        <v>35</v>
      </c>
      <c r="F51" s="653" t="s">
        <v>161</v>
      </c>
      <c r="G51" s="211">
        <v>17.035</v>
      </c>
      <c r="H51" s="309">
        <v>18.809999999999999</v>
      </c>
      <c r="I51" s="328"/>
      <c r="J51" s="329">
        <v>45.48</v>
      </c>
      <c r="K51" s="223"/>
      <c r="L51" s="223"/>
      <c r="M51" s="330"/>
      <c r="N51" s="331">
        <f t="shared" ref="N51:N56" si="26">0.314*I51+0.249*J51+0.195*K51+0.159*L51+0.06*M51</f>
        <v>11.32452</v>
      </c>
      <c r="O51" s="223">
        <f t="shared" ref="O51:O56" si="27">0.4*SUM(I51:M51)</f>
        <v>18.192</v>
      </c>
      <c r="P51" s="227">
        <f t="shared" ref="P51:P56" si="28">SQRT(POWER(N51,2)+POWER(O51+G51,2))</f>
        <v>37.002517241809379</v>
      </c>
      <c r="Q51" s="228">
        <f t="shared" ref="Q51:Q56" si="29">SQRT(POWER(N51,2)+POWER(O51+H51,2))</f>
        <v>38.696159463574674</v>
      </c>
      <c r="R51" s="220">
        <f t="shared" ref="R51:R56" si="30">37000/1.73/SQRT(POWER((G51+O51),2)+N51*N51)</f>
        <v>577.99535899759258</v>
      </c>
      <c r="S51" s="871">
        <f t="shared" ref="S51:S56" si="31">37000/2/SQRT(N51*N51+POWER((H51+O51),2))</f>
        <v>478.0836200919203</v>
      </c>
      <c r="T51" s="1031">
        <v>1</v>
      </c>
      <c r="U51" s="211" t="s">
        <v>50</v>
      </c>
      <c r="V51" s="211">
        <v>6.3</v>
      </c>
      <c r="W51" s="211">
        <v>11</v>
      </c>
      <c r="X51" s="211">
        <v>35</v>
      </c>
      <c r="Y51" s="211">
        <v>6.3</v>
      </c>
      <c r="Z51" s="219">
        <v>7.96</v>
      </c>
      <c r="AA51" s="211" t="s">
        <v>63</v>
      </c>
      <c r="AB51" s="223">
        <v>6</v>
      </c>
      <c r="AC51" s="333">
        <f t="shared" ref="AC51:AC56" si="32">Z51/100*X51*X51/V51</f>
        <v>15.47777777777778</v>
      </c>
      <c r="AD51" s="946">
        <f t="shared" ref="AD51:AD56" si="33">SQRT(POWER(N51,2)+POWER(O51+AC51+G51,2))</f>
        <v>51.954010843477974</v>
      </c>
      <c r="AE51" s="333">
        <f t="shared" ref="AE51:AE56" si="34">SQRT(POWER(N51,2)+POWER(O51+AC51+H51,2))</f>
        <v>53.687725122557936</v>
      </c>
      <c r="AF51" s="181">
        <f t="shared" si="24"/>
        <v>1.6833099513286862</v>
      </c>
      <c r="AG51" s="182">
        <f t="shared" si="25"/>
        <v>1.7394822939708767</v>
      </c>
      <c r="AH51" s="334">
        <f t="shared" ref="AH51:AH56" si="35">37000/1.73/SQRT(POWER((G51+O51+AC51),2)+N51*N51)</f>
        <v>411.65798154501977</v>
      </c>
      <c r="AI51" s="229">
        <f t="shared" ref="AI51:AI56" si="36">37000/2/SQRT(POWER((H51+O51+AC51),2)+N51*N51)</f>
        <v>344.58528383850017</v>
      </c>
      <c r="AJ51" s="229">
        <f t="shared" ref="AJ51:AJ56" si="37">AI51/1.2</f>
        <v>287.15440319875017</v>
      </c>
      <c r="AK51" s="229">
        <f t="shared" ref="AK51:AK56" si="38">AI51/1.5</f>
        <v>229.72352255900012</v>
      </c>
      <c r="AL51" s="229">
        <f t="shared" ref="AL51:AL56" si="39">SUM(6300/(1.732*AF51))</f>
        <v>2160.8696556733657</v>
      </c>
      <c r="AM51" s="264">
        <f t="shared" ref="AM51:AM56" si="40">SUM(6300/(2*AG51))</f>
        <v>1810.8836237759019</v>
      </c>
    </row>
    <row r="52" spans="1:39" ht="12.75" customHeight="1" x14ac:dyDescent="0.2">
      <c r="A52" s="256">
        <v>2</v>
      </c>
      <c r="B52" s="2366"/>
      <c r="C52" s="2372"/>
      <c r="D52" s="646">
        <v>2.4</v>
      </c>
      <c r="E52" s="326" t="s">
        <v>35</v>
      </c>
      <c r="F52" s="653" t="s">
        <v>161</v>
      </c>
      <c r="G52" s="211">
        <v>10.755000000000001</v>
      </c>
      <c r="H52" s="309">
        <v>12.53</v>
      </c>
      <c r="I52" s="328"/>
      <c r="J52" s="329">
        <v>45.48</v>
      </c>
      <c r="K52" s="223"/>
      <c r="L52" s="223"/>
      <c r="M52" s="330"/>
      <c r="N52" s="331">
        <f t="shared" si="26"/>
        <v>11.32452</v>
      </c>
      <c r="O52" s="223">
        <f t="shared" si="27"/>
        <v>18.192</v>
      </c>
      <c r="P52" s="227">
        <f t="shared" si="28"/>
        <v>31.083332547048428</v>
      </c>
      <c r="Q52" s="228">
        <f t="shared" si="29"/>
        <v>32.742724951207101</v>
      </c>
      <c r="R52" s="220">
        <f t="shared" si="30"/>
        <v>688.06274889032409</v>
      </c>
      <c r="S52" s="871">
        <f t="shared" si="31"/>
        <v>565.01100710367029</v>
      </c>
      <c r="T52" s="1042">
        <v>2</v>
      </c>
      <c r="U52" s="223" t="s">
        <v>50</v>
      </c>
      <c r="V52" s="223">
        <v>6.3</v>
      </c>
      <c r="W52" s="211">
        <v>11</v>
      </c>
      <c r="X52" s="223">
        <v>35</v>
      </c>
      <c r="Y52" s="223">
        <v>6.3</v>
      </c>
      <c r="Z52" s="228">
        <v>7.97</v>
      </c>
      <c r="AA52" s="223" t="s">
        <v>63</v>
      </c>
      <c r="AB52" s="223">
        <v>6</v>
      </c>
      <c r="AC52" s="333">
        <f t="shared" si="32"/>
        <v>15.497222222222222</v>
      </c>
      <c r="AD52" s="946">
        <f t="shared" si="33"/>
        <v>45.864295941054969</v>
      </c>
      <c r="AE52" s="333">
        <f t="shared" si="34"/>
        <v>47.586355776184</v>
      </c>
      <c r="AF52" s="181">
        <f t="shared" si="24"/>
        <v>1.486003188490181</v>
      </c>
      <c r="AG52" s="182">
        <f t="shared" si="25"/>
        <v>1.5417979271483615</v>
      </c>
      <c r="AH52" s="334">
        <f t="shared" si="35"/>
        <v>466.31661509600553</v>
      </c>
      <c r="AI52" s="229">
        <f t="shared" si="36"/>
        <v>388.76689963426179</v>
      </c>
      <c r="AJ52" s="229">
        <f t="shared" si="37"/>
        <v>323.97241636188483</v>
      </c>
      <c r="AK52" s="229">
        <f t="shared" si="38"/>
        <v>259.17793308950786</v>
      </c>
      <c r="AL52" s="229">
        <f t="shared" si="39"/>
        <v>2447.7830351191087</v>
      </c>
      <c r="AM52" s="264">
        <f t="shared" si="40"/>
        <v>2043.069292372247</v>
      </c>
    </row>
    <row r="53" spans="1:39" ht="12.75" customHeight="1" x14ac:dyDescent="0.2">
      <c r="A53" s="255">
        <v>2</v>
      </c>
      <c r="B53" s="2369" t="s">
        <v>59</v>
      </c>
      <c r="C53" s="2371" t="s">
        <v>340</v>
      </c>
      <c r="D53" s="675">
        <v>2.5</v>
      </c>
      <c r="E53" s="301" t="s">
        <v>35</v>
      </c>
      <c r="F53" s="210" t="s">
        <v>159</v>
      </c>
      <c r="G53" s="2135">
        <f>G5</f>
        <v>5.0832300606437277</v>
      </c>
      <c r="H53" s="2149">
        <f>H5</f>
        <v>4.8489919515499249</v>
      </c>
      <c r="I53" s="303"/>
      <c r="J53" s="304">
        <v>20.100000000000001</v>
      </c>
      <c r="K53" s="211"/>
      <c r="L53" s="211"/>
      <c r="M53" s="216"/>
      <c r="N53" s="331">
        <f t="shared" si="26"/>
        <v>5.0049000000000001</v>
      </c>
      <c r="O53" s="223">
        <f t="shared" si="27"/>
        <v>8.0400000000000009</v>
      </c>
      <c r="P53" s="227">
        <f t="shared" si="28"/>
        <v>14.045219515357642</v>
      </c>
      <c r="Q53" s="228">
        <f t="shared" si="29"/>
        <v>13.826609762957759</v>
      </c>
      <c r="R53" s="220">
        <f t="shared" si="30"/>
        <v>1522.7446757673279</v>
      </c>
      <c r="S53" s="871">
        <f t="shared" si="31"/>
        <v>1337.9997206229475</v>
      </c>
      <c r="T53" s="1031">
        <v>1</v>
      </c>
      <c r="U53" s="211" t="s">
        <v>184</v>
      </c>
      <c r="V53" s="211">
        <v>10</v>
      </c>
      <c r="W53" s="211">
        <v>11</v>
      </c>
      <c r="X53" s="211">
        <v>36.75</v>
      </c>
      <c r="Y53" s="211">
        <v>6.3</v>
      </c>
      <c r="Z53" s="219">
        <v>8.02</v>
      </c>
      <c r="AA53" s="211" t="s">
        <v>317</v>
      </c>
      <c r="AB53" s="211">
        <v>9</v>
      </c>
      <c r="AC53" s="333">
        <f t="shared" si="32"/>
        <v>10.831511249999998</v>
      </c>
      <c r="AD53" s="946">
        <f t="shared" si="33"/>
        <v>24.471997369848282</v>
      </c>
      <c r="AE53" s="333">
        <f t="shared" si="34"/>
        <v>24.242757601905364</v>
      </c>
      <c r="AF53" s="181">
        <f t="shared" si="24"/>
        <v>0.7191770655628883</v>
      </c>
      <c r="AG53" s="182">
        <f t="shared" si="25"/>
        <v>0.71244022340293323</v>
      </c>
      <c r="AH53" s="334">
        <f t="shared" si="35"/>
        <v>873.94922914405379</v>
      </c>
      <c r="AI53" s="229">
        <f t="shared" si="36"/>
        <v>763.11450635244523</v>
      </c>
      <c r="AJ53" s="229">
        <f t="shared" si="37"/>
        <v>635.9287552937044</v>
      </c>
      <c r="AK53" s="229">
        <f t="shared" si="38"/>
        <v>508.74300423496351</v>
      </c>
      <c r="AL53" s="229">
        <f t="shared" si="39"/>
        <v>5057.7438701722549</v>
      </c>
      <c r="AM53" s="264">
        <f t="shared" si="40"/>
        <v>4421.4235756569033</v>
      </c>
    </row>
    <row r="54" spans="1:39" ht="12.75" customHeight="1" x14ac:dyDescent="0.2">
      <c r="A54" s="255">
        <v>2</v>
      </c>
      <c r="B54" s="2366"/>
      <c r="C54" s="2372"/>
      <c r="D54" s="675">
        <v>2.5</v>
      </c>
      <c r="E54" s="301" t="s">
        <v>35</v>
      </c>
      <c r="F54" s="210" t="s">
        <v>159</v>
      </c>
      <c r="G54" s="2135">
        <f>G6</f>
        <v>5.0835973991363321</v>
      </c>
      <c r="H54" s="2149">
        <f>H6</f>
        <v>4.8489919515499249</v>
      </c>
      <c r="I54" s="303"/>
      <c r="J54" s="304">
        <v>20.100000000000001</v>
      </c>
      <c r="K54" s="211"/>
      <c r="L54" s="211"/>
      <c r="M54" s="216"/>
      <c r="N54" s="305">
        <f t="shared" si="26"/>
        <v>5.0049000000000001</v>
      </c>
      <c r="O54" s="211">
        <f t="shared" si="27"/>
        <v>8.0400000000000009</v>
      </c>
      <c r="P54" s="218">
        <f t="shared" si="28"/>
        <v>14.045562740759728</v>
      </c>
      <c r="Q54" s="219">
        <f t="shared" si="29"/>
        <v>13.826609762957759</v>
      </c>
      <c r="R54" s="207">
        <f t="shared" si="30"/>
        <v>1522.707465107758</v>
      </c>
      <c r="S54" s="1018">
        <f t="shared" si="31"/>
        <v>1337.9997206229475</v>
      </c>
      <c r="T54" s="1031">
        <v>2</v>
      </c>
      <c r="U54" s="211" t="s">
        <v>184</v>
      </c>
      <c r="V54" s="211">
        <v>10</v>
      </c>
      <c r="W54" s="211">
        <v>11</v>
      </c>
      <c r="X54" s="211">
        <v>36.75</v>
      </c>
      <c r="Y54" s="211">
        <v>6.3</v>
      </c>
      <c r="Z54" s="219">
        <v>8.16</v>
      </c>
      <c r="AA54" s="211" t="s">
        <v>317</v>
      </c>
      <c r="AB54" s="211">
        <v>9</v>
      </c>
      <c r="AC54" s="307">
        <f t="shared" si="32"/>
        <v>11.02059</v>
      </c>
      <c r="AD54" s="217">
        <f t="shared" si="33"/>
        <v>24.657469642577151</v>
      </c>
      <c r="AE54" s="307">
        <f t="shared" si="34"/>
        <v>24.427794274307331</v>
      </c>
      <c r="AF54" s="181">
        <f t="shared" si="24"/>
        <v>0.72462767929206329</v>
      </c>
      <c r="AG54" s="182">
        <f t="shared" si="25"/>
        <v>0.71787803581637877</v>
      </c>
      <c r="AH54" s="320">
        <f t="shared" si="35"/>
        <v>867.37542606820625</v>
      </c>
      <c r="AI54" s="220">
        <f t="shared" si="36"/>
        <v>757.33403483989275</v>
      </c>
      <c r="AJ54" s="220">
        <f t="shared" si="37"/>
        <v>631.11169569991068</v>
      </c>
      <c r="AK54" s="220">
        <f t="shared" si="38"/>
        <v>504.8893565599285</v>
      </c>
      <c r="AL54" s="220">
        <f t="shared" si="39"/>
        <v>5019.6997697808038</v>
      </c>
      <c r="AM54" s="262">
        <f t="shared" si="40"/>
        <v>4387.9319924000538</v>
      </c>
    </row>
    <row r="55" spans="1:39" ht="12.75" customHeight="1" x14ac:dyDescent="0.2">
      <c r="A55" s="255">
        <v>2</v>
      </c>
      <c r="B55" s="2369" t="s">
        <v>61</v>
      </c>
      <c r="C55" s="2370" t="s">
        <v>341</v>
      </c>
      <c r="D55" s="675">
        <v>2.4</v>
      </c>
      <c r="E55" s="301" t="s">
        <v>35</v>
      </c>
      <c r="F55" s="210" t="s">
        <v>57</v>
      </c>
      <c r="G55" s="211">
        <v>6.141</v>
      </c>
      <c r="H55" s="302">
        <v>6.81</v>
      </c>
      <c r="I55" s="303"/>
      <c r="J55" s="304">
        <v>15</v>
      </c>
      <c r="K55" s="211"/>
      <c r="L55" s="211"/>
      <c r="M55" s="216"/>
      <c r="N55" s="305">
        <f t="shared" si="26"/>
        <v>3.7349999999999999</v>
      </c>
      <c r="O55" s="211">
        <f t="shared" si="27"/>
        <v>6</v>
      </c>
      <c r="P55" s="218">
        <f t="shared" si="28"/>
        <v>12.70252360753563</v>
      </c>
      <c r="Q55" s="219">
        <f t="shared" si="29"/>
        <v>13.343400053959259</v>
      </c>
      <c r="R55" s="207">
        <f t="shared" si="30"/>
        <v>1683.7034826927188</v>
      </c>
      <c r="S55" s="1018">
        <f t="shared" si="31"/>
        <v>1386.4532222063351</v>
      </c>
      <c r="T55" s="1031">
        <v>1</v>
      </c>
      <c r="U55" s="310" t="s">
        <v>184</v>
      </c>
      <c r="V55" s="211">
        <v>10</v>
      </c>
      <c r="W55" s="211">
        <v>11</v>
      </c>
      <c r="X55" s="211">
        <v>36.75</v>
      </c>
      <c r="Y55" s="211">
        <v>6.3</v>
      </c>
      <c r="Z55" s="219">
        <v>8.26</v>
      </c>
      <c r="AA55" s="211" t="s">
        <v>107</v>
      </c>
      <c r="AB55" s="211">
        <v>12</v>
      </c>
      <c r="AC55" s="307">
        <f t="shared" si="32"/>
        <v>11.15564625</v>
      </c>
      <c r="AD55" s="217">
        <f t="shared" si="33"/>
        <v>23.594150789923319</v>
      </c>
      <c r="AE55" s="307">
        <f t="shared" si="34"/>
        <v>24.254946406457776</v>
      </c>
      <c r="AF55" s="181">
        <f t="shared" si="24"/>
        <v>0.69337912525488943</v>
      </c>
      <c r="AG55" s="182">
        <f t="shared" si="25"/>
        <v>0.71279842500610613</v>
      </c>
      <c r="AH55" s="320">
        <f t="shared" si="35"/>
        <v>906.46548067872743</v>
      </c>
      <c r="AI55" s="220">
        <f t="shared" si="36"/>
        <v>762.73101947875068</v>
      </c>
      <c r="AJ55" s="220">
        <f t="shared" si="37"/>
        <v>635.60918289895892</v>
      </c>
      <c r="AK55" s="220">
        <f t="shared" si="38"/>
        <v>508.4873463191671</v>
      </c>
      <c r="AL55" s="220">
        <f t="shared" si="39"/>
        <v>5245.9228471610504</v>
      </c>
      <c r="AM55" s="262">
        <f t="shared" si="40"/>
        <v>4419.2016838042473</v>
      </c>
    </row>
    <row r="56" spans="1:39" ht="12.75" customHeight="1" thickBot="1" x14ac:dyDescent="0.25">
      <c r="A56" s="258">
        <v>2</v>
      </c>
      <c r="B56" s="2381"/>
      <c r="C56" s="2437"/>
      <c r="D56" s="676">
        <v>2.4</v>
      </c>
      <c r="E56" s="312" t="s">
        <v>35</v>
      </c>
      <c r="F56" s="240" t="s">
        <v>57</v>
      </c>
      <c r="G56" s="241">
        <v>6.141</v>
      </c>
      <c r="H56" s="313">
        <v>6.81</v>
      </c>
      <c r="I56" s="314"/>
      <c r="J56" s="315">
        <v>15</v>
      </c>
      <c r="K56" s="241"/>
      <c r="L56" s="241"/>
      <c r="M56" s="249"/>
      <c r="N56" s="245">
        <f t="shared" si="26"/>
        <v>3.7349999999999999</v>
      </c>
      <c r="O56" s="241">
        <f t="shared" si="27"/>
        <v>6</v>
      </c>
      <c r="P56" s="246">
        <f t="shared" si="28"/>
        <v>12.70252360753563</v>
      </c>
      <c r="Q56" s="247">
        <f t="shared" si="29"/>
        <v>13.343400053959259</v>
      </c>
      <c r="R56" s="316">
        <f t="shared" si="30"/>
        <v>1683.7034826927188</v>
      </c>
      <c r="S56" s="1046">
        <f t="shared" si="31"/>
        <v>1386.4532222063351</v>
      </c>
      <c r="T56" s="1032">
        <v>2</v>
      </c>
      <c r="U56" s="344" t="s">
        <v>184</v>
      </c>
      <c r="V56" s="241">
        <v>10</v>
      </c>
      <c r="W56" s="241">
        <v>11</v>
      </c>
      <c r="X56" s="241">
        <v>36.75</v>
      </c>
      <c r="Y56" s="241">
        <v>6.3</v>
      </c>
      <c r="Z56" s="247">
        <v>8.2100000000000009</v>
      </c>
      <c r="AA56" s="241" t="s">
        <v>107</v>
      </c>
      <c r="AB56" s="241">
        <v>12</v>
      </c>
      <c r="AC56" s="317">
        <f t="shared" si="32"/>
        <v>11.088118125000001</v>
      </c>
      <c r="AD56" s="250">
        <f t="shared" si="33"/>
        <v>23.52747657240792</v>
      </c>
      <c r="AE56" s="317">
        <f t="shared" si="34"/>
        <v>24.188225956370871</v>
      </c>
      <c r="AF56" s="175">
        <f t="shared" si="24"/>
        <v>0.69141971967892668</v>
      </c>
      <c r="AG56" s="176">
        <f t="shared" si="25"/>
        <v>0.71083766075865418</v>
      </c>
      <c r="AH56" s="321">
        <f t="shared" si="35"/>
        <v>909.03430170987258</v>
      </c>
      <c r="AI56" s="248">
        <f t="shared" si="36"/>
        <v>764.83492561087701</v>
      </c>
      <c r="AJ56" s="248">
        <f t="shared" si="37"/>
        <v>637.36243800906425</v>
      </c>
      <c r="AK56" s="248">
        <f t="shared" si="38"/>
        <v>509.88995040725132</v>
      </c>
      <c r="AL56" s="248">
        <f t="shared" si="39"/>
        <v>5260.7892013960318</v>
      </c>
      <c r="AM56" s="268">
        <f t="shared" si="40"/>
        <v>4431.3915453468044</v>
      </c>
    </row>
    <row r="57" spans="1:39" ht="76.5" customHeight="1" x14ac:dyDescent="0.2">
      <c r="A57" s="195"/>
      <c r="B57" s="1127"/>
      <c r="C57" s="186"/>
      <c r="D57" s="187"/>
      <c r="E57" s="1433"/>
      <c r="F57" s="187"/>
      <c r="G57" s="186"/>
      <c r="H57" s="186"/>
      <c r="I57" s="1434"/>
      <c r="J57" s="1435"/>
      <c r="K57" s="186"/>
      <c r="M57" s="942"/>
      <c r="N57" s="503"/>
      <c r="P57" s="1436"/>
      <c r="Q57" s="503"/>
      <c r="R57" s="190"/>
      <c r="S57" s="190"/>
      <c r="U57" s="1392"/>
      <c r="V57" s="186"/>
      <c r="W57" s="186"/>
      <c r="X57" s="186"/>
      <c r="Y57" s="186"/>
      <c r="Z57" s="503"/>
      <c r="AA57" s="186"/>
      <c r="AC57" s="503"/>
      <c r="AD57" s="503"/>
      <c r="AE57" s="503"/>
      <c r="AF57" s="1128"/>
      <c r="AG57" s="1128"/>
      <c r="AJ57" s="190"/>
      <c r="AL57" s="190"/>
      <c r="AM57" s="190"/>
    </row>
    <row r="58" spans="1:39" ht="76.5" customHeight="1" thickBot="1" x14ac:dyDescent="0.25">
      <c r="A58" s="2396" t="s">
        <v>597</v>
      </c>
      <c r="B58" s="2397"/>
      <c r="C58" s="2397"/>
      <c r="D58" s="2397"/>
      <c r="E58" s="2397"/>
      <c r="F58" s="2397"/>
      <c r="G58" s="2397"/>
      <c r="H58" s="2397"/>
      <c r="I58" s="2397"/>
      <c r="J58" s="2397"/>
      <c r="K58" s="2397"/>
      <c r="L58" s="2397"/>
      <c r="M58" s="2397"/>
      <c r="N58" s="2397"/>
      <c r="O58" s="2397"/>
      <c r="P58" s="2397"/>
      <c r="Q58" s="2397"/>
      <c r="R58" s="2397"/>
      <c r="S58" s="2397"/>
      <c r="U58" s="1392"/>
      <c r="V58" s="186"/>
      <c r="W58" s="186"/>
      <c r="X58" s="186"/>
      <c r="Y58" s="186"/>
      <c r="Z58" s="503"/>
      <c r="AA58" s="186"/>
      <c r="AC58" s="503"/>
      <c r="AD58" s="503"/>
      <c r="AE58" s="503"/>
      <c r="AF58" s="1128"/>
      <c r="AG58" s="1128"/>
      <c r="AJ58" s="190"/>
      <c r="AL58" s="190"/>
      <c r="AM58" s="190"/>
    </row>
    <row r="59" spans="1:39" ht="85.5" customHeight="1" thickBot="1" x14ac:dyDescent="0.25">
      <c r="A59" s="1437"/>
      <c r="B59" s="1438"/>
      <c r="C59" s="1439"/>
      <c r="D59" s="1440" t="s">
        <v>441</v>
      </c>
      <c r="E59" s="1441"/>
      <c r="F59" s="1442" t="s">
        <v>5</v>
      </c>
      <c r="G59" s="2458" t="s">
        <v>445</v>
      </c>
      <c r="H59" s="2459"/>
      <c r="I59" s="1443"/>
      <c r="J59" s="1443"/>
      <c r="K59" s="1444"/>
      <c r="L59" s="1445"/>
      <c r="M59" s="1445"/>
      <c r="N59" s="2456" t="s">
        <v>469</v>
      </c>
      <c r="O59" s="2457"/>
      <c r="P59" s="2440" t="s">
        <v>588</v>
      </c>
      <c r="Q59" s="2441"/>
      <c r="R59" s="2440" t="s">
        <v>589</v>
      </c>
      <c r="S59" s="2441"/>
      <c r="T59" s="1445"/>
      <c r="U59" s="1446" t="s">
        <v>473</v>
      </c>
      <c r="V59" s="1447" t="s">
        <v>12</v>
      </c>
      <c r="W59" s="1448"/>
      <c r="X59" s="1449" t="s">
        <v>595</v>
      </c>
      <c r="Y59" s="1450" t="s">
        <v>596</v>
      </c>
      <c r="Z59" s="1451" t="s">
        <v>16</v>
      </c>
      <c r="AA59" s="1439"/>
      <c r="AB59" s="1445"/>
      <c r="AC59" s="1439"/>
      <c r="AD59" s="2440" t="s">
        <v>590</v>
      </c>
      <c r="AE59" s="2441"/>
      <c r="AF59" s="2450" t="s">
        <v>591</v>
      </c>
      <c r="AG59" s="2451"/>
      <c r="AH59" s="2438" t="s">
        <v>592</v>
      </c>
      <c r="AI59" s="2439"/>
      <c r="AJ59" s="1452"/>
      <c r="AK59" s="1453"/>
      <c r="AL59" s="2440" t="s">
        <v>593</v>
      </c>
      <c r="AM59" s="2441"/>
    </row>
    <row r="60" spans="1:39" s="1563" customFormat="1" ht="45" customHeight="1" x14ac:dyDescent="0.2">
      <c r="A60" s="1542">
        <v>2</v>
      </c>
      <c r="B60" s="2452" t="s">
        <v>585</v>
      </c>
      <c r="C60" s="2454"/>
      <c r="D60" s="1543" t="s">
        <v>443</v>
      </c>
      <c r="E60" s="1544" t="s">
        <v>39</v>
      </c>
      <c r="F60" s="1588" t="s">
        <v>586</v>
      </c>
      <c r="G60" s="1545">
        <v>3.5459999999999998</v>
      </c>
      <c r="H60" s="1546">
        <v>11.621</v>
      </c>
      <c r="I60" s="1547"/>
      <c r="J60" s="1548">
        <v>48.05</v>
      </c>
      <c r="K60" s="1549"/>
      <c r="L60" s="1549"/>
      <c r="M60" s="1550"/>
      <c r="N60" s="1551">
        <f>0.314*I60+0.249*J60+0.195*K60+0.159*L60+0.06*M60</f>
        <v>11.964449999999999</v>
      </c>
      <c r="O60" s="1552">
        <f>0.4*SUM(I60:M60)</f>
        <v>19.22</v>
      </c>
      <c r="P60" s="1553">
        <f>SQRT(POWER(N60,2)+POWER(O60+G60,2))</f>
        <v>25.71845290452946</v>
      </c>
      <c r="Q60" s="1554">
        <f>SQRT(POWER(N60,2)+POWER(O60+H60,2))</f>
        <v>33.08043749412181</v>
      </c>
      <c r="R60" s="1555">
        <f>115000/1.73/SQRT(POWER((G60+O60),2)+N60*N60)</f>
        <v>2584.6806837902427</v>
      </c>
      <c r="S60" s="1556">
        <f>115000/2/SQRT(N60*N60+POWER((H60+O60),2))</f>
        <v>1738.1874109197436</v>
      </c>
      <c r="T60" s="1557">
        <v>1</v>
      </c>
      <c r="U60" s="1558" t="s">
        <v>594</v>
      </c>
      <c r="V60" s="1549">
        <v>25</v>
      </c>
      <c r="W60" s="1549">
        <v>11</v>
      </c>
      <c r="X60" s="1549">
        <v>115</v>
      </c>
      <c r="Y60" s="1549">
        <v>37</v>
      </c>
      <c r="Z60" s="1559">
        <v>10.17</v>
      </c>
      <c r="AA60" s="1549"/>
      <c r="AB60" s="1549"/>
      <c r="AC60" s="1560">
        <f>Z60/100*X60*X60/V60</f>
        <v>53.799299999999995</v>
      </c>
      <c r="AD60" s="1561">
        <f>SQRT(POWER(N60,2)+POWER(O60+AC60+G60,2))</f>
        <v>77.494472240879858</v>
      </c>
      <c r="AE60" s="1560">
        <f>SQRT(POWER(N60,2)+POWER(O60+AC60+H60,2))</f>
        <v>85.481743360161389</v>
      </c>
      <c r="AF60" s="1537">
        <f>SQRT(POWER((AC60+O60+G60),2)+POWER(N60,2))*POWER(37/X60,2)</f>
        <v>8.0219230622128173</v>
      </c>
      <c r="AG60" s="1538">
        <f>SQRT(POWER((H60+O60+AC60),2)+POWER(N60,2))*POWER(37/X60,2)</f>
        <v>8.8487339629535686</v>
      </c>
      <c r="AH60" s="1555">
        <f>115000/1.73/SQRT(POWER((G60+O60+AC60),2)+N60*N60)</f>
        <v>857.79006575697429</v>
      </c>
      <c r="AI60" s="1562">
        <f>115000/2/SQRT(POWER((H60+O60+AC60),2)+N60*N60)</f>
        <v>672.65825122136857</v>
      </c>
      <c r="AJ60" s="1562">
        <f>AI60/1.2</f>
        <v>560.54854268447389</v>
      </c>
      <c r="AK60" s="1562">
        <f>AI60/1.5</f>
        <v>448.43883414757903</v>
      </c>
      <c r="AL60" s="1562">
        <f>SUM(37000/(1.732*AF60))</f>
        <v>2663.0256161030848</v>
      </c>
      <c r="AM60" s="1556">
        <f>SUM(37000/(2*AG60))</f>
        <v>2090.6945646069566</v>
      </c>
    </row>
    <row r="61" spans="1:39" s="1563" customFormat="1" ht="45" customHeight="1" thickBot="1" x14ac:dyDescent="0.25">
      <c r="A61" s="1564">
        <v>2</v>
      </c>
      <c r="B61" s="2453"/>
      <c r="C61" s="2455"/>
      <c r="D61" s="1565" t="s">
        <v>444</v>
      </c>
      <c r="E61" s="1566" t="s">
        <v>35</v>
      </c>
      <c r="F61" s="1567" t="s">
        <v>586</v>
      </c>
      <c r="G61" s="1568">
        <v>3.5459999999999998</v>
      </c>
      <c r="H61" s="1569">
        <v>10.497999999999999</v>
      </c>
      <c r="I61" s="1570"/>
      <c r="J61" s="1571">
        <v>48.05</v>
      </c>
      <c r="K61" s="1572"/>
      <c r="L61" s="1572"/>
      <c r="M61" s="1573"/>
      <c r="N61" s="1574">
        <f>0.314*I61+0.249*J61+0.195*K61+0.159*L61+0.06*M61</f>
        <v>11.964449999999999</v>
      </c>
      <c r="O61" s="1575">
        <f>0.4*SUM(I61:M61)</f>
        <v>19.22</v>
      </c>
      <c r="P61" s="1576">
        <f>SQRT(POWER(N61,2)+POWER(O61+G61,2))</f>
        <v>25.71845290452946</v>
      </c>
      <c r="Q61" s="1577">
        <f>SQRT(POWER(N61,2)+POWER(O61+H61,2))</f>
        <v>32.03603576915377</v>
      </c>
      <c r="R61" s="1578">
        <f>115000/1.73/SQRT(POWER((G61+O61),2)+N61*N61)</f>
        <v>2584.6806837902427</v>
      </c>
      <c r="S61" s="1579">
        <f>115000/2/SQRT(N61*N61+POWER((H61+O61),2))</f>
        <v>1794.8537832313345</v>
      </c>
      <c r="T61" s="1580">
        <v>2</v>
      </c>
      <c r="U61" s="1581" t="s">
        <v>594</v>
      </c>
      <c r="V61" s="1572">
        <v>25</v>
      </c>
      <c r="W61" s="1572">
        <v>11</v>
      </c>
      <c r="X61" s="1572">
        <v>115</v>
      </c>
      <c r="Y61" s="1572">
        <v>37</v>
      </c>
      <c r="Z61" s="1582">
        <v>10.17</v>
      </c>
      <c r="AA61" s="1572"/>
      <c r="AB61" s="1572"/>
      <c r="AC61" s="1583">
        <f>Z61/100*X61*X61/V61</f>
        <v>53.799299999999995</v>
      </c>
      <c r="AD61" s="1584">
        <f>SQRT(POWER(N61,2)+POWER(O61+AC61+G61,2))</f>
        <v>77.494472240879858</v>
      </c>
      <c r="AE61" s="1583">
        <f>SQRT(POWER(N61,2)+POWER(O61+AC61+H61,2))</f>
        <v>84.369944074252516</v>
      </c>
      <c r="AF61" s="1540">
        <f>SQRT(POWER((AC61+O61+G61),2)+POWER(N61,2))*POWER(37/X61,2)</f>
        <v>8.0219230622128173</v>
      </c>
      <c r="AG61" s="1541">
        <f>SQRT(POWER((H61+O61+AC61),2)+POWER(N61,2))*POWER(37/X61,2)</f>
        <v>8.7336448724122242</v>
      </c>
      <c r="AH61" s="1585">
        <f>115000/1.73/SQRT(POWER((G61+O61+AC61),2)+N61*N61)</f>
        <v>857.79006575697429</v>
      </c>
      <c r="AI61" s="1586">
        <f>115000/2/SQRT(POWER((H61+O61+AC61),2)+N61*N61)</f>
        <v>681.52231971844446</v>
      </c>
      <c r="AJ61" s="1586">
        <f>AI61/1.2</f>
        <v>567.93526643203711</v>
      </c>
      <c r="AK61" s="1586">
        <f>AI61/1.5</f>
        <v>454.34821314562964</v>
      </c>
      <c r="AL61" s="1586">
        <f>SUM(37000/(1.732*AF61))</f>
        <v>2663.0256161030848</v>
      </c>
      <c r="AM61" s="1587">
        <f>SUM(37000/(2*AG61))</f>
        <v>2118.2450477735442</v>
      </c>
    </row>
    <row r="62" spans="1:39" s="1510" customFormat="1" ht="45" customHeight="1" x14ac:dyDescent="0.2">
      <c r="A62" s="1485">
        <v>2</v>
      </c>
      <c r="B62" s="2476" t="s">
        <v>585</v>
      </c>
      <c r="C62" s="2448"/>
      <c r="D62" s="1486" t="s">
        <v>443</v>
      </c>
      <c r="E62" s="1487" t="s">
        <v>39</v>
      </c>
      <c r="F62" s="1588" t="s">
        <v>587</v>
      </c>
      <c r="G62" s="1488">
        <v>4.1539999999999999</v>
      </c>
      <c r="H62" s="1489">
        <v>6.8869999999999996</v>
      </c>
      <c r="I62" s="1490"/>
      <c r="J62" s="1491">
        <v>1.85</v>
      </c>
      <c r="K62" s="1492"/>
      <c r="L62" s="1492"/>
      <c r="M62" s="1493"/>
      <c r="N62" s="1494">
        <f>0.314*I62+0.249*J62+0.195*K62+0.159*L62+0.06*M62</f>
        <v>0.46065</v>
      </c>
      <c r="O62" s="1495">
        <f>0.4*SUM(I62:M62)</f>
        <v>0.7400000000000001</v>
      </c>
      <c r="P62" s="1496">
        <f>SQRT(POWER(N62,2)+POWER(O62+G62,2))</f>
        <v>4.9156316402370912</v>
      </c>
      <c r="Q62" s="1497">
        <f>SQRT(POWER(N62,2)+POWER(O62+H62,2))</f>
        <v>7.6408983387099187</v>
      </c>
      <c r="R62" s="1498">
        <f>115000/1.73/SQRT(POWER((G62+O62),2)+N62*N62)</f>
        <v>13522.980016480684</v>
      </c>
      <c r="S62" s="1499">
        <f>115000/2/SQRT(N62*N62+POWER((H62+O62),2))</f>
        <v>7525.2931594046358</v>
      </c>
      <c r="T62" s="1500">
        <v>1</v>
      </c>
      <c r="U62" s="1501" t="s">
        <v>594</v>
      </c>
      <c r="V62" s="1492">
        <v>25</v>
      </c>
      <c r="W62" s="1492">
        <v>11</v>
      </c>
      <c r="X62" s="1492">
        <v>115</v>
      </c>
      <c r="Y62" s="1492">
        <v>37</v>
      </c>
      <c r="Z62" s="1502">
        <v>10.17</v>
      </c>
      <c r="AA62" s="1492"/>
      <c r="AB62" s="1492"/>
      <c r="AC62" s="1503">
        <f>Z62/100*X62*X62/V62</f>
        <v>53.799299999999995</v>
      </c>
      <c r="AD62" s="1504">
        <f t="shared" ref="AD62:AD74" si="41">SQRT(POWER(N62,2)+POWER(O62+AC62+G62,2))</f>
        <v>58.695107660796559</v>
      </c>
      <c r="AE62" s="1503">
        <f t="shared" ref="AE62:AE74" si="42">SQRT(POWER(N62,2)+POWER(O62+AC62+H62,2))</f>
        <v>61.428027236046738</v>
      </c>
      <c r="AF62" s="1505">
        <f>SQRT(POWER((AC62+O62+G62),2)+POWER(N62,2))*POWER(37/X62,2)</f>
        <v>6.0758867589890722</v>
      </c>
      <c r="AG62" s="1506">
        <f>SQRT(POWER((H62+O62+AC62),2)+POWER(N62,2))*POWER(37/X62,2)</f>
        <v>6.3587878477238542</v>
      </c>
      <c r="AH62" s="1507">
        <f t="shared" ref="AH62:AH74" si="43">37000/1.73/SQRT(POWER((G62+O62+AC62),2)+N62*N62)</f>
        <v>364.37931693716172</v>
      </c>
      <c r="AI62" s="1508">
        <f t="shared" ref="AI62:AI74" si="44">37000/2/SQRT(POWER((H62+O62+AC62),2)+N62*N62)</f>
        <v>301.16545870683552</v>
      </c>
      <c r="AJ62" s="1508">
        <f>AI62/1.2</f>
        <v>250.97121558902961</v>
      </c>
      <c r="AK62" s="1508">
        <f>AI62/1.5</f>
        <v>200.77697247122367</v>
      </c>
      <c r="AL62" s="1508">
        <f>SUM(37000/(1.732*AF62))</f>
        <v>3515.9619414360536</v>
      </c>
      <c r="AM62" s="1509">
        <f>SUM(37000/(2*AG62))</f>
        <v>2909.3595262219869</v>
      </c>
    </row>
    <row r="63" spans="1:39" s="1510" customFormat="1" ht="45" customHeight="1" thickBot="1" x14ac:dyDescent="0.25">
      <c r="A63" s="1511">
        <v>2</v>
      </c>
      <c r="B63" s="2477"/>
      <c r="C63" s="2449"/>
      <c r="D63" s="1512" t="s">
        <v>444</v>
      </c>
      <c r="E63" s="1513" t="s">
        <v>35</v>
      </c>
      <c r="F63" s="1514" t="s">
        <v>587</v>
      </c>
      <c r="G63" s="1515">
        <v>4.1539999999999999</v>
      </c>
      <c r="H63" s="1516">
        <v>6.8869999999999996</v>
      </c>
      <c r="I63" s="1517"/>
      <c r="J63" s="1518">
        <v>1.85</v>
      </c>
      <c r="K63" s="1519"/>
      <c r="L63" s="1519"/>
      <c r="M63" s="1520"/>
      <c r="N63" s="1521">
        <f>0.314*I63+0.249*J63+0.195*K63+0.159*L63+0.06*M63</f>
        <v>0.46065</v>
      </c>
      <c r="O63" s="1522">
        <f>0.4*SUM(I63:M63)</f>
        <v>0.7400000000000001</v>
      </c>
      <c r="P63" s="1523">
        <f>SQRT(POWER(N63,2)+POWER(O63+G63,2))</f>
        <v>4.9156316402370912</v>
      </c>
      <c r="Q63" s="1524">
        <f>SQRT(POWER(N63,2)+POWER(O63+H63,2))</f>
        <v>7.6408983387099187</v>
      </c>
      <c r="R63" s="1525">
        <f>115000/1.73/SQRT(POWER((G63+O63),2)+N63*N63)</f>
        <v>13522.980016480684</v>
      </c>
      <c r="S63" s="1526">
        <f>115000/2/SQRT(N63*N63+POWER((H63+O63),2))</f>
        <v>7525.2931594046358</v>
      </c>
      <c r="T63" s="1527">
        <v>2</v>
      </c>
      <c r="U63" s="1528" t="s">
        <v>594</v>
      </c>
      <c r="V63" s="1519">
        <v>25</v>
      </c>
      <c r="W63" s="1519">
        <v>11</v>
      </c>
      <c r="X63" s="1519">
        <v>115</v>
      </c>
      <c r="Y63" s="1519">
        <v>37</v>
      </c>
      <c r="Z63" s="1529">
        <v>10.17</v>
      </c>
      <c r="AA63" s="1519"/>
      <c r="AB63" s="1519"/>
      <c r="AC63" s="1530">
        <f>Z63/100*X63*X63/V63</f>
        <v>53.799299999999995</v>
      </c>
      <c r="AD63" s="1531">
        <f t="shared" si="41"/>
        <v>58.695107660796559</v>
      </c>
      <c r="AE63" s="1530">
        <f t="shared" si="42"/>
        <v>61.428027236046738</v>
      </c>
      <c r="AF63" s="1532">
        <f>SQRT(POWER((AC63+O63+G63),2)+POWER(N63,2))*POWER(37/X63,2)</f>
        <v>6.0758867589890722</v>
      </c>
      <c r="AG63" s="1533">
        <f>SQRT(POWER((H63+O63+AC63),2)+POWER(N63,2))*POWER(37/X63,2)</f>
        <v>6.3587878477238542</v>
      </c>
      <c r="AH63" s="1534">
        <f t="shared" si="43"/>
        <v>364.37931693716172</v>
      </c>
      <c r="AI63" s="1535">
        <f t="shared" si="44"/>
        <v>301.16545870683552</v>
      </c>
      <c r="AJ63" s="1535">
        <f>AI63/1.2</f>
        <v>250.97121558902961</v>
      </c>
      <c r="AK63" s="1535">
        <f>AI63/1.5</f>
        <v>200.77697247122367</v>
      </c>
      <c r="AL63" s="1535">
        <f>SUM(37000/(1.732*AF63))</f>
        <v>3515.9619414360536</v>
      </c>
      <c r="AM63" s="1536">
        <f>SUM(37000/(2*AG63))</f>
        <v>2909.3595262219869</v>
      </c>
    </row>
    <row r="64" spans="1:39" s="101" customFormat="1" ht="69.75" customHeight="1" x14ac:dyDescent="0.2">
      <c r="A64" s="2462" t="s">
        <v>0</v>
      </c>
      <c r="B64" s="2430" t="s">
        <v>384</v>
      </c>
      <c r="C64" s="2445" t="s">
        <v>2</v>
      </c>
      <c r="D64" s="2430" t="s">
        <v>318</v>
      </c>
      <c r="E64" s="2433" t="s">
        <v>4</v>
      </c>
      <c r="F64" s="2465" t="s">
        <v>5</v>
      </c>
      <c r="G64" s="2468" t="s">
        <v>389</v>
      </c>
      <c r="H64" s="2469"/>
      <c r="I64" s="2470" t="s">
        <v>7</v>
      </c>
      <c r="J64" s="2398"/>
      <c r="K64" s="2398"/>
      <c r="L64" s="2398"/>
      <c r="M64" s="2471"/>
      <c r="N64" s="2472" t="s">
        <v>8</v>
      </c>
      <c r="O64" s="2473"/>
      <c r="P64" s="2405" t="s">
        <v>385</v>
      </c>
      <c r="Q64" s="2405"/>
      <c r="R64" s="2406" t="s">
        <v>388</v>
      </c>
      <c r="S64" s="2407"/>
      <c r="T64" s="2408" t="s">
        <v>9</v>
      </c>
      <c r="U64" s="2411" t="s">
        <v>10</v>
      </c>
      <c r="V64" s="2415" t="s">
        <v>12</v>
      </c>
      <c r="W64" s="2421" t="s">
        <v>13</v>
      </c>
      <c r="X64" s="2415" t="s">
        <v>335</v>
      </c>
      <c r="Y64" s="2415" t="s">
        <v>336</v>
      </c>
      <c r="Z64" s="2417" t="s">
        <v>16</v>
      </c>
      <c r="AA64" s="2415" t="s">
        <v>17</v>
      </c>
      <c r="AB64" s="2415" t="s">
        <v>18</v>
      </c>
      <c r="AC64" s="2419" t="s">
        <v>19</v>
      </c>
      <c r="AD64" s="2398" t="s">
        <v>386</v>
      </c>
      <c r="AE64" s="2398"/>
      <c r="AF64" s="2399" t="s">
        <v>387</v>
      </c>
      <c r="AG64" s="2400"/>
      <c r="AH64" s="2401" t="s">
        <v>382</v>
      </c>
      <c r="AI64" s="2402"/>
      <c r="AJ64" s="2403" t="s">
        <v>20</v>
      </c>
      <c r="AK64" s="2403" t="s">
        <v>21</v>
      </c>
      <c r="AL64" s="2401" t="s">
        <v>383</v>
      </c>
      <c r="AM64" s="2414"/>
    </row>
    <row r="65" spans="1:39" s="101" customFormat="1" ht="36" customHeight="1" x14ac:dyDescent="0.2">
      <c r="A65" s="2463"/>
      <c r="B65" s="2431"/>
      <c r="C65" s="2446"/>
      <c r="D65" s="2431"/>
      <c r="E65" s="2434"/>
      <c r="F65" s="2466"/>
      <c r="G65" s="1454" t="s">
        <v>220</v>
      </c>
      <c r="H65" s="1455" t="s">
        <v>29</v>
      </c>
      <c r="I65" s="1456" t="s">
        <v>24</v>
      </c>
      <c r="J65" s="1457" t="s">
        <v>25</v>
      </c>
      <c r="K65" s="1458" t="s">
        <v>26</v>
      </c>
      <c r="L65" s="1458" t="s">
        <v>27</v>
      </c>
      <c r="M65" s="1459" t="s">
        <v>28</v>
      </c>
      <c r="N65" s="2474"/>
      <c r="O65" s="2475"/>
      <c r="P65" s="1460" t="s">
        <v>216</v>
      </c>
      <c r="Q65" s="1460" t="s">
        <v>217</v>
      </c>
      <c r="R65" s="1461" t="s">
        <v>218</v>
      </c>
      <c r="S65" s="1462" t="s">
        <v>219</v>
      </c>
      <c r="T65" s="2409"/>
      <c r="U65" s="2412"/>
      <c r="V65" s="2416"/>
      <c r="W65" s="2422"/>
      <c r="X65" s="2416"/>
      <c r="Y65" s="2416"/>
      <c r="Z65" s="2418"/>
      <c r="AA65" s="2416"/>
      <c r="AB65" s="2416"/>
      <c r="AC65" s="2420"/>
      <c r="AD65" s="1463" t="s">
        <v>216</v>
      </c>
      <c r="AE65" s="1464" t="s">
        <v>217</v>
      </c>
      <c r="AF65" s="1465" t="s">
        <v>216</v>
      </c>
      <c r="AG65" s="1466" t="s">
        <v>217</v>
      </c>
      <c r="AH65" s="1467" t="s">
        <v>218</v>
      </c>
      <c r="AI65" s="1462" t="s">
        <v>219</v>
      </c>
      <c r="AJ65" s="2404"/>
      <c r="AK65" s="2404"/>
      <c r="AL65" s="1461" t="s">
        <v>218</v>
      </c>
      <c r="AM65" s="1468" t="s">
        <v>219</v>
      </c>
    </row>
    <row r="66" spans="1:39" s="101" customFormat="1" ht="13.5" thickBot="1" x14ac:dyDescent="0.25">
      <c r="A66" s="2464"/>
      <c r="B66" s="2432"/>
      <c r="C66" s="2447"/>
      <c r="D66" s="2432"/>
      <c r="E66" s="2435"/>
      <c r="F66" s="2467"/>
      <c r="G66" s="1469" t="s">
        <v>30</v>
      </c>
      <c r="H66" s="1470" t="s">
        <v>30</v>
      </c>
      <c r="I66" s="1471" t="s">
        <v>31</v>
      </c>
      <c r="J66" s="1472" t="s">
        <v>31</v>
      </c>
      <c r="K66" s="1473" t="s">
        <v>31</v>
      </c>
      <c r="L66" s="1473" t="s">
        <v>31</v>
      </c>
      <c r="M66" s="1474" t="s">
        <v>31</v>
      </c>
      <c r="N66" s="1475" t="s">
        <v>30</v>
      </c>
      <c r="O66" s="1473" t="s">
        <v>30</v>
      </c>
      <c r="P66" s="1473" t="s">
        <v>30</v>
      </c>
      <c r="Q66" s="1473" t="s">
        <v>30</v>
      </c>
      <c r="R66" s="1476" t="s">
        <v>35</v>
      </c>
      <c r="S66" s="1477" t="s">
        <v>35</v>
      </c>
      <c r="T66" s="2410"/>
      <c r="U66" s="2413"/>
      <c r="V66" s="1478" t="s">
        <v>32</v>
      </c>
      <c r="W66" s="2423"/>
      <c r="X66" s="1478" t="s">
        <v>33</v>
      </c>
      <c r="Y66" s="1478" t="s">
        <v>33</v>
      </c>
      <c r="Z66" s="1479" t="s">
        <v>34</v>
      </c>
      <c r="AA66" s="1478" t="s">
        <v>35</v>
      </c>
      <c r="AB66" s="1478" t="s">
        <v>34</v>
      </c>
      <c r="AC66" s="1480" t="s">
        <v>30</v>
      </c>
      <c r="AD66" s="1475" t="s">
        <v>30</v>
      </c>
      <c r="AE66" s="1481" t="s">
        <v>30</v>
      </c>
      <c r="AF66" s="1482" t="s">
        <v>30</v>
      </c>
      <c r="AG66" s="1474" t="s">
        <v>30</v>
      </c>
      <c r="AH66" s="1483" t="s">
        <v>35</v>
      </c>
      <c r="AI66" s="1476" t="s">
        <v>35</v>
      </c>
      <c r="AJ66" s="1476" t="s">
        <v>35</v>
      </c>
      <c r="AK66" s="1476" t="s">
        <v>35</v>
      </c>
      <c r="AL66" s="1476" t="s">
        <v>35</v>
      </c>
      <c r="AM66" s="1484" t="s">
        <v>35</v>
      </c>
    </row>
    <row r="67" spans="1:39" ht="27" customHeight="1" x14ac:dyDescent="0.2">
      <c r="A67" s="255">
        <v>2</v>
      </c>
      <c r="B67" s="2442" t="s">
        <v>160</v>
      </c>
      <c r="C67" s="2367" t="s">
        <v>342</v>
      </c>
      <c r="D67" s="675">
        <v>2.5</v>
      </c>
      <c r="E67" s="383" t="s">
        <v>39</v>
      </c>
      <c r="F67" s="210" t="s">
        <v>159</v>
      </c>
      <c r="G67" s="1620">
        <v>8.0220000000000002</v>
      </c>
      <c r="H67" s="1621">
        <v>8.8490000000000002</v>
      </c>
      <c r="I67" s="303"/>
      <c r="J67" s="1614">
        <v>30.32</v>
      </c>
      <c r="K67" s="211"/>
      <c r="L67" s="211"/>
      <c r="M67" s="302"/>
      <c r="N67" s="305">
        <f t="shared" ref="N67:N76" si="45">0.314*I67+0.249*J67+0.195*K67+0.159*L67+0.06*M67</f>
        <v>7.5496800000000004</v>
      </c>
      <c r="O67" s="211">
        <f t="shared" ref="O67:O76" si="46">0.4*SUM(I67:M67)</f>
        <v>12.128</v>
      </c>
      <c r="P67" s="218">
        <f>SQRT(POWER(N67,2)+POWER(O67+G67,2))</f>
        <v>21.517903431849486</v>
      </c>
      <c r="Q67" s="219">
        <f>SQRT(POWER(N67,2)+POWER(O67+H67,2))</f>
        <v>22.294218916624999</v>
      </c>
      <c r="R67" s="207">
        <f t="shared" ref="R67:R74" si="47">37000/1.73/SQRT(POWER((G67+O67),2)+N67*N67)</f>
        <v>993.9296969489169</v>
      </c>
      <c r="S67" s="1018">
        <f t="shared" ref="S67:S74" si="48">37000/2/SQRT(N67*N67+POWER((H67+O67),2))</f>
        <v>829.81153406564897</v>
      </c>
      <c r="T67" s="1031">
        <v>1</v>
      </c>
      <c r="U67" s="211" t="s">
        <v>50</v>
      </c>
      <c r="V67" s="1616">
        <v>6.3</v>
      </c>
      <c r="W67" s="211">
        <v>11</v>
      </c>
      <c r="X67" s="211">
        <v>35</v>
      </c>
      <c r="Y67" s="211">
        <v>6.3</v>
      </c>
      <c r="Z67" s="219">
        <v>7.4</v>
      </c>
      <c r="AA67" s="211" t="s">
        <v>63</v>
      </c>
      <c r="AB67" s="211"/>
      <c r="AC67" s="307">
        <f t="shared" ref="AC67:AC76" si="49">Z67/100*X67*X67/V67</f>
        <v>14.388888888888891</v>
      </c>
      <c r="AD67" s="217">
        <f t="shared" si="41"/>
        <v>35.354384647189271</v>
      </c>
      <c r="AE67" s="307">
        <f t="shared" si="42"/>
        <v>36.16274000962364</v>
      </c>
      <c r="AF67" s="1608">
        <f>SQRT(POWER((AC67+O67+G67),2)+POWER(N67,2))*POWER(6.3/X67,2)</f>
        <v>1.1454820625689324</v>
      </c>
      <c r="AG67" s="1609">
        <f t="shared" ref="AG67:AG74" si="50">SQRT(POWER((H67+O67+AC67),2)+POWER(N67,2))*POWER(6.3/X67,2)</f>
        <v>1.1716727763118058</v>
      </c>
      <c r="AH67" s="261">
        <f t="shared" si="43"/>
        <v>604.94005058845062</v>
      </c>
      <c r="AI67" s="220">
        <f t="shared" si="44"/>
        <v>511.57627975857952</v>
      </c>
      <c r="AJ67" s="220">
        <f t="shared" ref="AJ67:AJ76" si="51">AI67/1.2</f>
        <v>426.31356646548295</v>
      </c>
      <c r="AK67" s="220">
        <f t="shared" ref="AK67:AK76" si="52">AI67/1.5</f>
        <v>341.05085317238633</v>
      </c>
      <c r="AL67" s="220">
        <f t="shared" ref="AL67:AL74" si="53">SUM(6300/(1.732*AF67))</f>
        <v>3175.4433471980078</v>
      </c>
      <c r="AM67" s="262">
        <f t="shared" ref="AM67:AM74" si="54">SUM(6300/(2*AG67))</f>
        <v>2688.4639326652082</v>
      </c>
    </row>
    <row r="68" spans="1:39" ht="27" customHeight="1" x14ac:dyDescent="0.2">
      <c r="A68" s="255">
        <v>2</v>
      </c>
      <c r="B68" s="2425"/>
      <c r="C68" s="2368"/>
      <c r="D68" s="675">
        <v>2.5</v>
      </c>
      <c r="E68" s="383" t="s">
        <v>39</v>
      </c>
      <c r="F68" s="210" t="s">
        <v>159</v>
      </c>
      <c r="G68" s="1620">
        <v>8.0219230622128173</v>
      </c>
      <c r="H68" s="1621">
        <v>8.7336448724122242</v>
      </c>
      <c r="I68" s="303"/>
      <c r="J68" s="1614">
        <v>30.32</v>
      </c>
      <c r="K68" s="211"/>
      <c r="L68" s="211"/>
      <c r="M68" s="302"/>
      <c r="N68" s="305">
        <f t="shared" si="45"/>
        <v>7.5496800000000004</v>
      </c>
      <c r="O68" s="211">
        <f t="shared" si="46"/>
        <v>12.128</v>
      </c>
      <c r="P68" s="218">
        <f>SQRT(POWER(N68,2)+POWER(O68+G68,2))</f>
        <v>21.517831385051235</v>
      </c>
      <c r="Q68" s="219">
        <f>SQRT(POWER(N68,2)+POWER(O68+H68,2))</f>
        <v>22.185713756493012</v>
      </c>
      <c r="R68" s="207">
        <f t="shared" si="47"/>
        <v>993.93302486105972</v>
      </c>
      <c r="S68" s="1018">
        <f t="shared" si="48"/>
        <v>833.86994906060534</v>
      </c>
      <c r="T68" s="1031">
        <v>2</v>
      </c>
      <c r="U68" s="223" t="s">
        <v>50</v>
      </c>
      <c r="V68" s="1616">
        <v>6.3</v>
      </c>
      <c r="W68" s="223">
        <v>11</v>
      </c>
      <c r="X68" s="211">
        <v>35</v>
      </c>
      <c r="Y68" s="211">
        <v>6.3</v>
      </c>
      <c r="Z68" s="219">
        <v>7.95</v>
      </c>
      <c r="AA68" s="211" t="s">
        <v>63</v>
      </c>
      <c r="AB68" s="211"/>
      <c r="AC68" s="307">
        <f t="shared" si="49"/>
        <v>15.458333333333334</v>
      </c>
      <c r="AD68" s="217">
        <f t="shared" si="41"/>
        <v>36.399802082337665</v>
      </c>
      <c r="AE68" s="307">
        <f t="shared" si="42"/>
        <v>37.096340587290172</v>
      </c>
      <c r="AF68" s="1608">
        <f>SQRT(POWER((AC68+O68+G68),2)+POWER(N68,2))*POWER(6.3/X68,2)</f>
        <v>1.1793535874677403</v>
      </c>
      <c r="AG68" s="1609">
        <f t="shared" si="50"/>
        <v>1.2019214350282015</v>
      </c>
      <c r="AH68" s="261">
        <f t="shared" si="43"/>
        <v>587.56592106230175</v>
      </c>
      <c r="AI68" s="220">
        <f t="shared" si="44"/>
        <v>498.70148125441813</v>
      </c>
      <c r="AJ68" s="220">
        <f t="shared" si="51"/>
        <v>415.58456771201514</v>
      </c>
      <c r="AK68" s="220">
        <f t="shared" si="52"/>
        <v>332.4676541696121</v>
      </c>
      <c r="AL68" s="220">
        <f t="shared" si="53"/>
        <v>3084.2432952862541</v>
      </c>
      <c r="AM68" s="262">
        <f t="shared" si="54"/>
        <v>2620.8035801658611</v>
      </c>
    </row>
    <row r="69" spans="1:39" ht="27" customHeight="1" x14ac:dyDescent="0.2">
      <c r="A69" s="1589">
        <v>2</v>
      </c>
      <c r="B69" s="2426" t="s">
        <v>91</v>
      </c>
      <c r="C69" s="2443" t="s">
        <v>43</v>
      </c>
      <c r="D69" s="1590">
        <v>2.5</v>
      </c>
      <c r="E69" s="1591" t="s">
        <v>39</v>
      </c>
      <c r="F69" s="1592" t="s">
        <v>159</v>
      </c>
      <c r="G69" s="1620">
        <v>8.0220000000000002</v>
      </c>
      <c r="H69" s="1621">
        <v>8.8490000000000002</v>
      </c>
      <c r="I69" s="1594"/>
      <c r="J69" s="1615">
        <v>16.350000000000001</v>
      </c>
      <c r="K69" s="1593"/>
      <c r="L69" s="1593"/>
      <c r="M69" s="1595"/>
      <c r="N69" s="1596">
        <f t="shared" si="45"/>
        <v>4.0711500000000003</v>
      </c>
      <c r="O69" s="1593">
        <f t="shared" si="46"/>
        <v>6.5400000000000009</v>
      </c>
      <c r="P69" s="1597">
        <f t="shared" ref="P69:P74" si="55">SQRT(POWER(N69,2)+POWER(O69+G69,2))</f>
        <v>15.120387108883822</v>
      </c>
      <c r="Q69" s="1598">
        <f t="shared" ref="Q69:Q74" si="56">SQRT(POWER(N69,2)+POWER(O69+H69,2))</f>
        <v>15.918403918813596</v>
      </c>
      <c r="R69" s="1599">
        <f t="shared" si="47"/>
        <v>1414.4666457929736</v>
      </c>
      <c r="S69" s="1600">
        <f t="shared" si="48"/>
        <v>1162.1768171201684</v>
      </c>
      <c r="T69" s="1601">
        <v>1</v>
      </c>
      <c r="U69" s="1593" t="s">
        <v>50</v>
      </c>
      <c r="V69" s="1617">
        <v>6.3</v>
      </c>
      <c r="W69" s="1593">
        <v>11</v>
      </c>
      <c r="X69" s="1593">
        <v>35</v>
      </c>
      <c r="Y69" s="1593">
        <v>6.3</v>
      </c>
      <c r="Z69" s="1598">
        <v>8</v>
      </c>
      <c r="AA69" s="1593" t="s">
        <v>51</v>
      </c>
      <c r="AB69" s="1593">
        <v>6</v>
      </c>
      <c r="AC69" s="1602">
        <f t="shared" si="49"/>
        <v>15.555555555555559</v>
      </c>
      <c r="AD69" s="1603">
        <f t="shared" si="41"/>
        <v>30.391469443981737</v>
      </c>
      <c r="AE69" s="1602">
        <f t="shared" si="42"/>
        <v>31.21121242203456</v>
      </c>
      <c r="AF69" s="1610">
        <f t="shared" ref="AF69:AF74" si="57">SQRT(POWER((AC69+O69+G69),2)+POWER(N69,2))*POWER(6.3/X69,2)</f>
        <v>0.98468360998500826</v>
      </c>
      <c r="AG69" s="1611">
        <f t="shared" si="50"/>
        <v>1.0112432824739197</v>
      </c>
      <c r="AH69" s="1604">
        <f t="shared" si="43"/>
        <v>703.72652682739658</v>
      </c>
      <c r="AI69" s="1605">
        <f t="shared" si="44"/>
        <v>592.73570503590338</v>
      </c>
      <c r="AJ69" s="1605">
        <f t="shared" si="51"/>
        <v>493.94642086325285</v>
      </c>
      <c r="AK69" s="1605">
        <f t="shared" si="52"/>
        <v>395.15713669060227</v>
      </c>
      <c r="AL69" s="1605">
        <f t="shared" si="53"/>
        <v>3693.9920173694654</v>
      </c>
      <c r="AM69" s="1606">
        <f t="shared" si="54"/>
        <v>3114.9774288673602</v>
      </c>
    </row>
    <row r="70" spans="1:39" ht="27" customHeight="1" x14ac:dyDescent="0.2">
      <c r="A70" s="1589">
        <v>2</v>
      </c>
      <c r="B70" s="2427"/>
      <c r="C70" s="2444"/>
      <c r="D70" s="1590">
        <v>2.5</v>
      </c>
      <c r="E70" s="1591" t="s">
        <v>39</v>
      </c>
      <c r="F70" s="1592" t="s">
        <v>159</v>
      </c>
      <c r="G70" s="1620">
        <v>8.0219230622128173</v>
      </c>
      <c r="H70" s="1621">
        <v>8.7336448724122242</v>
      </c>
      <c r="I70" s="1594"/>
      <c r="J70" s="1615">
        <v>16.350000000000001</v>
      </c>
      <c r="K70" s="1593"/>
      <c r="L70" s="1593"/>
      <c r="M70" s="1595"/>
      <c r="N70" s="1596">
        <f t="shared" si="45"/>
        <v>4.0711500000000003</v>
      </c>
      <c r="O70" s="1593">
        <f t="shared" si="46"/>
        <v>6.5400000000000009</v>
      </c>
      <c r="P70" s="1597">
        <f t="shared" si="55"/>
        <v>15.120313012378597</v>
      </c>
      <c r="Q70" s="1598">
        <f t="shared" si="56"/>
        <v>15.806912728647054</v>
      </c>
      <c r="R70" s="1599">
        <f t="shared" si="47"/>
        <v>1414.4735773317007</v>
      </c>
      <c r="S70" s="1600">
        <f t="shared" si="48"/>
        <v>1170.3740203785799</v>
      </c>
      <c r="T70" s="1601">
        <v>2</v>
      </c>
      <c r="U70" s="1593" t="s">
        <v>50</v>
      </c>
      <c r="V70" s="1617">
        <v>6.3</v>
      </c>
      <c r="W70" s="1593">
        <v>11</v>
      </c>
      <c r="X70" s="1593">
        <v>35</v>
      </c>
      <c r="Y70" s="1593">
        <v>6.3</v>
      </c>
      <c r="Z70" s="1598">
        <v>7.91</v>
      </c>
      <c r="AA70" s="1593" t="s">
        <v>51</v>
      </c>
      <c r="AB70" s="1593">
        <v>6</v>
      </c>
      <c r="AC70" s="1602">
        <f t="shared" si="49"/>
        <v>15.380555555555555</v>
      </c>
      <c r="AD70" s="1603">
        <f t="shared" si="41"/>
        <v>30.217979550228307</v>
      </c>
      <c r="AE70" s="1602">
        <f t="shared" si="42"/>
        <v>30.923361172429495</v>
      </c>
      <c r="AF70" s="1610">
        <f t="shared" si="57"/>
        <v>0.97906253742739713</v>
      </c>
      <c r="AG70" s="1611">
        <f t="shared" si="50"/>
        <v>1.0019169019867156</v>
      </c>
      <c r="AH70" s="1604">
        <f t="shared" si="43"/>
        <v>707.76681814362507</v>
      </c>
      <c r="AI70" s="1605">
        <f t="shared" si="44"/>
        <v>598.25320723848552</v>
      </c>
      <c r="AJ70" s="1605">
        <f t="shared" si="51"/>
        <v>498.5443393654046</v>
      </c>
      <c r="AK70" s="1605">
        <f t="shared" si="52"/>
        <v>398.83547149232368</v>
      </c>
      <c r="AL70" s="1605">
        <f t="shared" si="53"/>
        <v>3715.200261340714</v>
      </c>
      <c r="AM70" s="1606">
        <f t="shared" si="54"/>
        <v>3143.9733113133625</v>
      </c>
    </row>
    <row r="71" spans="1:39" ht="27" customHeight="1" x14ac:dyDescent="0.2">
      <c r="A71" s="255">
        <v>2</v>
      </c>
      <c r="B71" s="2424" t="s">
        <v>93</v>
      </c>
      <c r="C71" s="2370" t="s">
        <v>341</v>
      </c>
      <c r="D71" s="675">
        <v>1.4</v>
      </c>
      <c r="E71" s="1607" t="s">
        <v>39</v>
      </c>
      <c r="F71" s="210" t="s">
        <v>159</v>
      </c>
      <c r="G71" s="1620">
        <v>8.0220000000000002</v>
      </c>
      <c r="H71" s="1621">
        <v>8.8490000000000002</v>
      </c>
      <c r="I71" s="303"/>
      <c r="J71" s="1614">
        <v>11.3</v>
      </c>
      <c r="K71" s="211"/>
      <c r="L71" s="211"/>
      <c r="M71" s="302"/>
      <c r="N71" s="305">
        <f t="shared" si="45"/>
        <v>2.8137000000000003</v>
      </c>
      <c r="O71" s="211">
        <f t="shared" si="46"/>
        <v>4.5200000000000005</v>
      </c>
      <c r="P71" s="218">
        <f t="shared" si="55"/>
        <v>12.85374154439088</v>
      </c>
      <c r="Q71" s="219">
        <f t="shared" si="56"/>
        <v>13.661883789946391</v>
      </c>
      <c r="R71" s="207">
        <f t="shared" si="47"/>
        <v>1663.8955406978141</v>
      </c>
      <c r="S71" s="1018">
        <f t="shared" si="48"/>
        <v>1354.1324376960313</v>
      </c>
      <c r="T71" s="1031">
        <v>1</v>
      </c>
      <c r="U71" s="211" t="s">
        <v>50</v>
      </c>
      <c r="V71" s="1616">
        <v>6.3</v>
      </c>
      <c r="W71" s="211">
        <v>11</v>
      </c>
      <c r="X71" s="211">
        <v>35</v>
      </c>
      <c r="Y71" s="211">
        <v>6.3</v>
      </c>
      <c r="Z71" s="219">
        <v>8.09</v>
      </c>
      <c r="AA71" s="211" t="s">
        <v>63</v>
      </c>
      <c r="AB71" s="211">
        <v>10</v>
      </c>
      <c r="AC71" s="307">
        <f t="shared" si="49"/>
        <v>15.730555555555558</v>
      </c>
      <c r="AD71" s="217">
        <f t="shared" si="41"/>
        <v>28.412221055946603</v>
      </c>
      <c r="AE71" s="307">
        <f t="shared" si="42"/>
        <v>29.235270500217101</v>
      </c>
      <c r="AF71" s="1608">
        <f t="shared" si="57"/>
        <v>0.92055596221266989</v>
      </c>
      <c r="AG71" s="1609">
        <f t="shared" si="50"/>
        <v>0.947222764207034</v>
      </c>
      <c r="AH71" s="261">
        <f t="shared" si="43"/>
        <v>752.74943112966935</v>
      </c>
      <c r="AI71" s="220">
        <f t="shared" si="44"/>
        <v>632.79729188285148</v>
      </c>
      <c r="AJ71" s="220">
        <f t="shared" si="51"/>
        <v>527.33107656904292</v>
      </c>
      <c r="AK71" s="220">
        <f t="shared" si="52"/>
        <v>421.8648612552343</v>
      </c>
      <c r="AL71" s="220">
        <f t="shared" si="53"/>
        <v>3951.3224010588083</v>
      </c>
      <c r="AM71" s="262">
        <f t="shared" si="54"/>
        <v>3325.5112936786495</v>
      </c>
    </row>
    <row r="72" spans="1:39" ht="27" customHeight="1" x14ac:dyDescent="0.2">
      <c r="A72" s="255">
        <v>2</v>
      </c>
      <c r="B72" s="2425"/>
      <c r="C72" s="2368"/>
      <c r="D72" s="675">
        <v>1.4</v>
      </c>
      <c r="E72" s="1607" t="s">
        <v>39</v>
      </c>
      <c r="F72" s="210" t="s">
        <v>159</v>
      </c>
      <c r="G72" s="1620">
        <v>8.0219230622128173</v>
      </c>
      <c r="H72" s="1621">
        <v>8.7336448724122242</v>
      </c>
      <c r="I72" s="303"/>
      <c r="J72" s="1614">
        <v>11.3</v>
      </c>
      <c r="K72" s="211"/>
      <c r="L72" s="211"/>
      <c r="M72" s="302"/>
      <c r="N72" s="305">
        <f t="shared" si="45"/>
        <v>2.8137000000000003</v>
      </c>
      <c r="O72" s="211">
        <f t="shared" si="46"/>
        <v>4.5200000000000005</v>
      </c>
      <c r="P72" s="218">
        <f t="shared" si="55"/>
        <v>12.853666472585388</v>
      </c>
      <c r="Q72" s="219">
        <f t="shared" si="56"/>
        <v>13.549022477434262</v>
      </c>
      <c r="R72" s="207">
        <f t="shared" si="47"/>
        <v>1663.9052586753776</v>
      </c>
      <c r="S72" s="1018">
        <f t="shared" si="48"/>
        <v>1365.4121565457237</v>
      </c>
      <c r="T72" s="1031">
        <v>2</v>
      </c>
      <c r="U72" s="211" t="s">
        <v>50</v>
      </c>
      <c r="V72" s="1616">
        <v>6.3</v>
      </c>
      <c r="W72" s="211">
        <v>11</v>
      </c>
      <c r="X72" s="211">
        <v>35</v>
      </c>
      <c r="Y72" s="211">
        <v>6.3</v>
      </c>
      <c r="Z72" s="219">
        <v>8</v>
      </c>
      <c r="AA72" s="211" t="s">
        <v>63</v>
      </c>
      <c r="AB72" s="211">
        <v>10</v>
      </c>
      <c r="AC72" s="307">
        <f t="shared" si="49"/>
        <v>15.555555555555559</v>
      </c>
      <c r="AD72" s="217">
        <f t="shared" si="41"/>
        <v>28.238010063847476</v>
      </c>
      <c r="AE72" s="307">
        <f t="shared" si="42"/>
        <v>28.946276737929857</v>
      </c>
      <c r="AF72" s="1608">
        <f t="shared" si="57"/>
        <v>0.91491152606865822</v>
      </c>
      <c r="AG72" s="1609">
        <f t="shared" si="50"/>
        <v>0.93785936630892719</v>
      </c>
      <c r="AH72" s="261">
        <f t="shared" si="43"/>
        <v>757.39342781720688</v>
      </c>
      <c r="AI72" s="220">
        <f t="shared" si="44"/>
        <v>639.11501183703058</v>
      </c>
      <c r="AJ72" s="220">
        <f t="shared" si="51"/>
        <v>532.59584319752548</v>
      </c>
      <c r="AK72" s="220">
        <f t="shared" si="52"/>
        <v>426.07667455802039</v>
      </c>
      <c r="AL72" s="220">
        <f t="shared" si="53"/>
        <v>3975.6996073150399</v>
      </c>
      <c r="AM72" s="262">
        <f t="shared" si="54"/>
        <v>3358.7125246690798</v>
      </c>
    </row>
    <row r="73" spans="1:39" ht="27" customHeight="1" x14ac:dyDescent="0.2">
      <c r="A73" s="1589">
        <v>2</v>
      </c>
      <c r="B73" s="2426" t="s">
        <v>95</v>
      </c>
      <c r="C73" s="2428" t="s">
        <v>341</v>
      </c>
      <c r="D73" s="1590">
        <v>2.5</v>
      </c>
      <c r="E73" s="1591" t="s">
        <v>39</v>
      </c>
      <c r="F73" s="1592" t="s">
        <v>159</v>
      </c>
      <c r="G73" s="1620">
        <v>8.0220000000000002</v>
      </c>
      <c r="H73" s="1621">
        <v>8.8490000000000002</v>
      </c>
      <c r="I73" s="1594"/>
      <c r="J73" s="1615">
        <v>19.579999999999998</v>
      </c>
      <c r="K73" s="1593"/>
      <c r="L73" s="1593"/>
      <c r="M73" s="1595"/>
      <c r="N73" s="1596">
        <f t="shared" si="45"/>
        <v>4.8754199999999992</v>
      </c>
      <c r="O73" s="1593">
        <f t="shared" si="46"/>
        <v>7.8319999999999999</v>
      </c>
      <c r="P73" s="1597">
        <f t="shared" si="55"/>
        <v>16.586712639230232</v>
      </c>
      <c r="Q73" s="1598">
        <f t="shared" si="56"/>
        <v>17.378880319986095</v>
      </c>
      <c r="R73" s="1599">
        <f t="shared" si="47"/>
        <v>1289.4226663341276</v>
      </c>
      <c r="S73" s="1600">
        <f t="shared" si="48"/>
        <v>1064.5104666912628</v>
      </c>
      <c r="T73" s="1601">
        <v>1</v>
      </c>
      <c r="U73" s="1593" t="s">
        <v>50</v>
      </c>
      <c r="V73" s="1617">
        <v>6.3</v>
      </c>
      <c r="W73" s="1593">
        <v>11</v>
      </c>
      <c r="X73" s="1593">
        <v>35</v>
      </c>
      <c r="Y73" s="1593">
        <v>6.3</v>
      </c>
      <c r="Z73" s="1598">
        <v>8</v>
      </c>
      <c r="AA73" s="1593" t="s">
        <v>63</v>
      </c>
      <c r="AB73" s="1593">
        <v>5.32</v>
      </c>
      <c r="AC73" s="1602">
        <f t="shared" si="49"/>
        <v>15.555555555555559</v>
      </c>
      <c r="AD73" s="1603">
        <f t="shared" si="41"/>
        <v>31.785687036367971</v>
      </c>
      <c r="AE73" s="1602">
        <f t="shared" si="42"/>
        <v>32.603147612812165</v>
      </c>
      <c r="AF73" s="1610">
        <f t="shared" si="57"/>
        <v>1.0298562599783223</v>
      </c>
      <c r="AG73" s="1611">
        <f t="shared" si="50"/>
        <v>1.0563419826551144</v>
      </c>
      <c r="AH73" s="1604">
        <f t="shared" si="43"/>
        <v>672.85892585941917</v>
      </c>
      <c r="AI73" s="1605">
        <f t="shared" si="44"/>
        <v>567.42987578076634</v>
      </c>
      <c r="AJ73" s="1605">
        <f t="shared" si="51"/>
        <v>472.8582298173053</v>
      </c>
      <c r="AK73" s="1605">
        <f t="shared" si="52"/>
        <v>378.28658385384421</v>
      </c>
      <c r="AL73" s="1605">
        <f t="shared" si="53"/>
        <v>3531.962212858456</v>
      </c>
      <c r="AM73" s="1606">
        <f t="shared" si="54"/>
        <v>2981.988836685709</v>
      </c>
    </row>
    <row r="74" spans="1:39" ht="27" customHeight="1" x14ac:dyDescent="0.2">
      <c r="A74" s="1589">
        <v>2</v>
      </c>
      <c r="B74" s="2427"/>
      <c r="C74" s="2429"/>
      <c r="D74" s="1590">
        <v>2.5</v>
      </c>
      <c r="E74" s="1591" t="s">
        <v>39</v>
      </c>
      <c r="F74" s="1592" t="s">
        <v>159</v>
      </c>
      <c r="G74" s="1620">
        <v>8.0219230622128173</v>
      </c>
      <c r="H74" s="1621">
        <v>8.7336448724122242</v>
      </c>
      <c r="I74" s="1594"/>
      <c r="J74" s="1615">
        <v>19.579999999999998</v>
      </c>
      <c r="K74" s="1593"/>
      <c r="L74" s="1593"/>
      <c r="M74" s="1595"/>
      <c r="N74" s="1596">
        <f t="shared" si="45"/>
        <v>4.8754199999999992</v>
      </c>
      <c r="O74" s="1593">
        <f t="shared" si="46"/>
        <v>7.8319999999999999</v>
      </c>
      <c r="P74" s="1597">
        <f t="shared" si="55"/>
        <v>16.586639100160209</v>
      </c>
      <c r="Q74" s="1598">
        <f t="shared" si="56"/>
        <v>17.268187809242676</v>
      </c>
      <c r="R74" s="1599">
        <f t="shared" si="47"/>
        <v>1289.4283831609769</v>
      </c>
      <c r="S74" s="1600">
        <f t="shared" si="48"/>
        <v>1071.3341900357375</v>
      </c>
      <c r="T74" s="1601">
        <v>2</v>
      </c>
      <c r="U74" s="1593" t="s">
        <v>50</v>
      </c>
      <c r="V74" s="1617">
        <v>6.3</v>
      </c>
      <c r="W74" s="1593">
        <v>11</v>
      </c>
      <c r="X74" s="1593">
        <v>35</v>
      </c>
      <c r="Y74" s="1593">
        <v>6.3</v>
      </c>
      <c r="Z74" s="1598">
        <v>8.08</v>
      </c>
      <c r="AA74" s="1593" t="s">
        <v>63</v>
      </c>
      <c r="AB74" s="1593">
        <v>5.32</v>
      </c>
      <c r="AC74" s="1602">
        <f t="shared" si="49"/>
        <v>15.71111111111111</v>
      </c>
      <c r="AD74" s="1603">
        <f t="shared" si="41"/>
        <v>31.939334722869656</v>
      </c>
      <c r="AE74" s="1602">
        <f t="shared" si="42"/>
        <v>32.642896577912765</v>
      </c>
      <c r="AF74" s="1610">
        <f t="shared" si="57"/>
        <v>1.0348344450209768</v>
      </c>
      <c r="AG74" s="1611">
        <f t="shared" si="50"/>
        <v>1.0576298491243739</v>
      </c>
      <c r="AH74" s="1604">
        <f t="shared" si="43"/>
        <v>669.62206390855692</v>
      </c>
      <c r="AI74" s="1605">
        <f t="shared" si="44"/>
        <v>566.73892146316734</v>
      </c>
      <c r="AJ74" s="1605">
        <f t="shared" si="51"/>
        <v>472.28243455263947</v>
      </c>
      <c r="AK74" s="1605">
        <f t="shared" si="52"/>
        <v>377.82594764211154</v>
      </c>
      <c r="AL74" s="1605">
        <f t="shared" si="53"/>
        <v>3514.971319731666</v>
      </c>
      <c r="AM74" s="1606">
        <f t="shared" si="54"/>
        <v>2978.3576953770053</v>
      </c>
    </row>
    <row r="75" spans="1:39" ht="27" customHeight="1" x14ac:dyDescent="0.2">
      <c r="A75" s="255">
        <v>2</v>
      </c>
      <c r="B75" s="2424" t="s">
        <v>61</v>
      </c>
      <c r="C75" s="2370" t="s">
        <v>341</v>
      </c>
      <c r="D75" s="675">
        <v>2.5</v>
      </c>
      <c r="E75" s="383" t="s">
        <v>39</v>
      </c>
      <c r="F75" s="210" t="s">
        <v>159</v>
      </c>
      <c r="G75" s="1620">
        <v>8.0220000000000002</v>
      </c>
      <c r="H75" s="1621">
        <v>8.8490000000000002</v>
      </c>
      <c r="I75" s="303"/>
      <c r="J75" s="1614">
        <v>19.8</v>
      </c>
      <c r="K75" s="211"/>
      <c r="L75" s="211"/>
      <c r="M75" s="302"/>
      <c r="N75" s="305">
        <f t="shared" si="45"/>
        <v>4.9302000000000001</v>
      </c>
      <c r="O75" s="211">
        <f t="shared" si="46"/>
        <v>7.9200000000000008</v>
      </c>
      <c r="P75" s="218">
        <f>SQRT(POWER(N75,2)+POWER(O75+G75,2))</f>
        <v>16.686948074468262</v>
      </c>
      <c r="Q75" s="219">
        <f>SQRT(POWER(N75,2)+POWER(O75+H75,2))</f>
        <v>17.478736597363095</v>
      </c>
      <c r="R75" s="207">
        <f>37000/1.73/SQRT(POWER((G75+O75),2)+N75*N75)</f>
        <v>1281.6773409703162</v>
      </c>
      <c r="S75" s="1018">
        <f>37000/2/SQRT(N75*N75+POWER((H75+O75),2))</f>
        <v>1058.428902852794</v>
      </c>
      <c r="T75" s="1031">
        <v>1</v>
      </c>
      <c r="U75" s="310" t="s">
        <v>184</v>
      </c>
      <c r="V75" s="1616">
        <v>10</v>
      </c>
      <c r="W75" s="211">
        <v>11</v>
      </c>
      <c r="X75" s="211">
        <v>36.75</v>
      </c>
      <c r="Y75" s="211">
        <v>6.3</v>
      </c>
      <c r="Z75" s="219">
        <v>8.26</v>
      </c>
      <c r="AA75" s="211" t="s">
        <v>107</v>
      </c>
      <c r="AB75" s="211">
        <v>12</v>
      </c>
      <c r="AC75" s="307">
        <f t="shared" si="49"/>
        <v>11.15564625</v>
      </c>
      <c r="AD75" s="217">
        <f>SQRT(POWER(N75,2)+POWER(O75+AC75+G75,2))</f>
        <v>27.542499965147304</v>
      </c>
      <c r="AE75" s="307">
        <f>SQRT(POWER(N75,2)+POWER(O75+AC75+H75,2))</f>
        <v>28.356529058184098</v>
      </c>
      <c r="AF75" s="1608">
        <f>SQRT(POWER((AC75+O75+G75),2)+POWER(N75,2))*POWER(6.3/X75,2)</f>
        <v>0.80941224387371669</v>
      </c>
      <c r="AG75" s="1609">
        <f>SQRT(POWER((H75+O75+AC75),2)+POWER(N75,2))*POWER(6.3/X75,2)</f>
        <v>0.83333473150581838</v>
      </c>
      <c r="AH75" s="261">
        <f>37000/1.73/SQRT(POWER((G75+O75+AC75),2)+N75*N75)</f>
        <v>776.51931611357031</v>
      </c>
      <c r="AI75" s="220">
        <f>37000/2/SQRT(POWER((H75+O75+AC75),2)+N75*N75)</f>
        <v>652.40706865217123</v>
      </c>
      <c r="AJ75" s="220">
        <f t="shared" si="51"/>
        <v>543.67255721014271</v>
      </c>
      <c r="AK75" s="220">
        <f t="shared" si="52"/>
        <v>434.93804576811414</v>
      </c>
      <c r="AL75" s="220">
        <f>SUM(6300/(1.732*AF75))</f>
        <v>4493.8947025450143</v>
      </c>
      <c r="AM75" s="262">
        <f>SUM(6300/(2*AG75))</f>
        <v>3779.9936579002488</v>
      </c>
    </row>
    <row r="76" spans="1:39" ht="27" customHeight="1" thickBot="1" x14ac:dyDescent="0.25">
      <c r="A76" s="258">
        <v>2</v>
      </c>
      <c r="B76" s="2436"/>
      <c r="C76" s="2437"/>
      <c r="D76" s="676">
        <v>2.5</v>
      </c>
      <c r="E76" s="394" t="s">
        <v>39</v>
      </c>
      <c r="F76" s="240" t="s">
        <v>159</v>
      </c>
      <c r="G76" s="1539">
        <v>8.0219230622128173</v>
      </c>
      <c r="H76" s="1622">
        <v>8.7336448724122242</v>
      </c>
      <c r="I76" s="314"/>
      <c r="J76" s="1618">
        <v>19.8</v>
      </c>
      <c r="K76" s="241"/>
      <c r="L76" s="241"/>
      <c r="M76" s="313"/>
      <c r="N76" s="245">
        <f t="shared" si="45"/>
        <v>4.9302000000000001</v>
      </c>
      <c r="O76" s="241">
        <f t="shared" si="46"/>
        <v>7.9200000000000008</v>
      </c>
      <c r="P76" s="246">
        <f>SQRT(POWER(N76,2)+POWER(O76+G76,2))</f>
        <v>16.686874571396316</v>
      </c>
      <c r="Q76" s="247">
        <f>SQRT(POWER(N76,2)+POWER(O76+H76,2))</f>
        <v>17.36809602623218</v>
      </c>
      <c r="R76" s="316">
        <f>37000/1.73/SQRT(POWER((G76+O76),2)+N76*N76)</f>
        <v>1281.6829865584939</v>
      </c>
      <c r="S76" s="1046">
        <f>37000/2/SQRT(N76*N76+POWER((H76+O76),2))</f>
        <v>1065.1714483877927</v>
      </c>
      <c r="T76" s="1032">
        <v>2</v>
      </c>
      <c r="U76" s="344" t="s">
        <v>184</v>
      </c>
      <c r="V76" s="1619">
        <v>10</v>
      </c>
      <c r="W76" s="241">
        <v>11</v>
      </c>
      <c r="X76" s="241">
        <v>36.75</v>
      </c>
      <c r="Y76" s="241">
        <v>6.3</v>
      </c>
      <c r="Z76" s="247">
        <v>8.2100000000000009</v>
      </c>
      <c r="AA76" s="241" t="s">
        <v>107</v>
      </c>
      <c r="AB76" s="241">
        <v>12</v>
      </c>
      <c r="AC76" s="317">
        <f t="shared" si="49"/>
        <v>11.088118125000001</v>
      </c>
      <c r="AD76" s="250">
        <f>SQRT(POWER(N76,2)+POWER(O76+AC76+G76,2))</f>
        <v>27.47598949305414</v>
      </c>
      <c r="AE76" s="317">
        <f>SQRT(POWER(N76,2)+POWER(O76+AC76+H76,2))</f>
        <v>28.176449141873615</v>
      </c>
      <c r="AF76" s="1612">
        <f>SQRT(POWER((AC76+O76+G76),2)+POWER(N76,2))*POWER(6.3/X76,2)</f>
        <v>0.80745765040812167</v>
      </c>
      <c r="AG76" s="1613">
        <f>SQRT(POWER((H76+O76+AC76),2)+POWER(N76,2))*POWER(6.3/X76,2)</f>
        <v>0.82804258702648992</v>
      </c>
      <c r="AH76" s="267">
        <f>37000/1.73/SQRT(POWER((G76+O76+AC76),2)+N76*N76)</f>
        <v>778.3990178916348</v>
      </c>
      <c r="AI76" s="248">
        <f>37000/2/SQRT(POWER((H76+O76+AC76),2)+N76*N76)</f>
        <v>656.57670016718896</v>
      </c>
      <c r="AJ76" s="248">
        <f t="shared" si="51"/>
        <v>547.14725013932411</v>
      </c>
      <c r="AK76" s="248">
        <f t="shared" si="52"/>
        <v>437.71780011145933</v>
      </c>
      <c r="AL76" s="248">
        <f>SUM(6300/(1.732*AF76))</f>
        <v>4504.7729662115071</v>
      </c>
      <c r="AM76" s="268">
        <f>SUM(6300/(2*AG76))</f>
        <v>3804.1521648200305</v>
      </c>
    </row>
    <row r="139" spans="1:1" x14ac:dyDescent="0.2">
      <c r="A139" s="195"/>
    </row>
    <row r="140" spans="1:1" x14ac:dyDescent="0.2">
      <c r="A140" s="195"/>
    </row>
    <row r="141" spans="1:1" x14ac:dyDescent="0.2">
      <c r="A141" s="195"/>
    </row>
    <row r="142" spans="1:1" x14ac:dyDescent="0.2">
      <c r="A142" s="195"/>
    </row>
  </sheetData>
  <mergeCells count="130">
    <mergeCell ref="B55:B56"/>
    <mergeCell ref="C5:C6"/>
    <mergeCell ref="C7:C8"/>
    <mergeCell ref="C9:C10"/>
    <mergeCell ref="C11:C12"/>
    <mergeCell ref="C33:C34"/>
    <mergeCell ref="C13:C14"/>
    <mergeCell ref="C15:C16"/>
    <mergeCell ref="C25:C26"/>
    <mergeCell ref="C27:C28"/>
    <mergeCell ref="C29:C30"/>
    <mergeCell ref="C31:C32"/>
    <mergeCell ref="C19:C20"/>
    <mergeCell ref="C21:C22"/>
    <mergeCell ref="C23:C24"/>
    <mergeCell ref="C47:C48"/>
    <mergeCell ref="C35:C36"/>
    <mergeCell ref="C49:C50"/>
    <mergeCell ref="C51:C52"/>
    <mergeCell ref="C53:C54"/>
    <mergeCell ref="C55:C56"/>
    <mergeCell ref="C43:C44"/>
    <mergeCell ref="C45:C46"/>
    <mergeCell ref="C37:C38"/>
    <mergeCell ref="B53:B54"/>
    <mergeCell ref="B33:B34"/>
    <mergeCell ref="B35:B36"/>
    <mergeCell ref="B37:B38"/>
    <mergeCell ref="B39:B40"/>
    <mergeCell ref="B41:B42"/>
    <mergeCell ref="C17:C18"/>
    <mergeCell ref="B43:B44"/>
    <mergeCell ref="B45:B46"/>
    <mergeCell ref="B47:B48"/>
    <mergeCell ref="B49:B50"/>
    <mergeCell ref="B51:B52"/>
    <mergeCell ref="B21:B22"/>
    <mergeCell ref="B23:B24"/>
    <mergeCell ref="B25:B26"/>
    <mergeCell ref="B27:B28"/>
    <mergeCell ref="C41:C42"/>
    <mergeCell ref="C39:C40"/>
    <mergeCell ref="T2:T4"/>
    <mergeCell ref="U2:U4"/>
    <mergeCell ref="F2:F4"/>
    <mergeCell ref="B5:B6"/>
    <mergeCell ref="B7:B8"/>
    <mergeCell ref="E2:E4"/>
    <mergeCell ref="B29:B30"/>
    <mergeCell ref="B31:B32"/>
    <mergeCell ref="B9:B10"/>
    <mergeCell ref="B11:B12"/>
    <mergeCell ref="B13:B14"/>
    <mergeCell ref="B15:B16"/>
    <mergeCell ref="B17:B18"/>
    <mergeCell ref="B19:B20"/>
    <mergeCell ref="A1:AM1"/>
    <mergeCell ref="A2:A4"/>
    <mergeCell ref="X2:X3"/>
    <mergeCell ref="AK2:AK3"/>
    <mergeCell ref="G2:H2"/>
    <mergeCell ref="AF2:AG2"/>
    <mergeCell ref="B2:B4"/>
    <mergeCell ref="D2:D4"/>
    <mergeCell ref="AL2:AM2"/>
    <mergeCell ref="C2:C4"/>
    <mergeCell ref="Y2:Y3"/>
    <mergeCell ref="I2:M2"/>
    <mergeCell ref="AJ2:AJ3"/>
    <mergeCell ref="AB2:AB3"/>
    <mergeCell ref="AH2:AI2"/>
    <mergeCell ref="Z2:Z3"/>
    <mergeCell ref="AC2:AC3"/>
    <mergeCell ref="AD2:AE2"/>
    <mergeCell ref="AA2:AA3"/>
    <mergeCell ref="N2:O3"/>
    <mergeCell ref="V2:V3"/>
    <mergeCell ref="W2:W4"/>
    <mergeCell ref="R2:S2"/>
    <mergeCell ref="P2:Q2"/>
    <mergeCell ref="AL59:AM59"/>
    <mergeCell ref="B67:B68"/>
    <mergeCell ref="C67:C68"/>
    <mergeCell ref="B69:B70"/>
    <mergeCell ref="C69:C70"/>
    <mergeCell ref="B64:B66"/>
    <mergeCell ref="C64:C66"/>
    <mergeCell ref="C62:C63"/>
    <mergeCell ref="P59:Q59"/>
    <mergeCell ref="R59:S59"/>
    <mergeCell ref="AD59:AE59"/>
    <mergeCell ref="AF59:AG59"/>
    <mergeCell ref="B60:B61"/>
    <mergeCell ref="C60:C61"/>
    <mergeCell ref="N59:O59"/>
    <mergeCell ref="G59:H59"/>
    <mergeCell ref="F64:F66"/>
    <mergeCell ref="G64:H64"/>
    <mergeCell ref="I64:M64"/>
    <mergeCell ref="N64:O65"/>
    <mergeCell ref="B62:B63"/>
    <mergeCell ref="B71:B72"/>
    <mergeCell ref="C71:C72"/>
    <mergeCell ref="B73:B74"/>
    <mergeCell ref="C73:C74"/>
    <mergeCell ref="D64:D66"/>
    <mergeCell ref="E64:E66"/>
    <mergeCell ref="B75:B76"/>
    <mergeCell ref="C75:C76"/>
    <mergeCell ref="AH59:AI59"/>
    <mergeCell ref="AL64:AM64"/>
    <mergeCell ref="X64:X65"/>
    <mergeCell ref="Y64:Y65"/>
    <mergeCell ref="Z64:Z65"/>
    <mergeCell ref="AA64:AA65"/>
    <mergeCell ref="AB64:AB65"/>
    <mergeCell ref="AC64:AC65"/>
    <mergeCell ref="V64:V65"/>
    <mergeCell ref="W64:W66"/>
    <mergeCell ref="A58:S58"/>
    <mergeCell ref="AD64:AE64"/>
    <mergeCell ref="AF64:AG64"/>
    <mergeCell ref="AH64:AI64"/>
    <mergeCell ref="AJ64:AJ65"/>
    <mergeCell ref="AK64:AK65"/>
    <mergeCell ref="P64:Q64"/>
    <mergeCell ref="R64:S64"/>
    <mergeCell ref="T64:T66"/>
    <mergeCell ref="U64:U66"/>
    <mergeCell ref="A64:A66"/>
  </mergeCells>
  <phoneticPr fontId="0" type="noConversion"/>
  <pageMargins left="0.43307086614173229" right="0.43307086614173229" top="0.39370078740157483" bottom="0.45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C31D-5C74-4B88-AEC0-E6D3F8F7F527}">
  <sheetPr codeName="Лист5"/>
  <dimension ref="A1:AO31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G23" sqref="G23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hidden="1" customWidth="1"/>
    <col min="4" max="4" width="5.140625" style="185" customWidth="1"/>
    <col min="5" max="5" width="3.140625" style="186" customWidth="1"/>
    <col min="6" max="6" width="15.7109375" style="100" customWidth="1"/>
    <col min="7" max="8" width="7" style="100" customWidth="1"/>
    <col min="9" max="11" width="5.5703125" style="188" customWidth="1"/>
    <col min="12" max="12" width="5.5703125" style="189" customWidth="1"/>
    <col min="13" max="16" width="5.5703125" style="186" customWidth="1"/>
    <col min="17" max="20" width="6.7109375" style="100" customWidth="1"/>
    <col min="21" max="21" width="3.5703125" style="186" customWidth="1"/>
    <col min="22" max="22" width="15.85546875" style="100" customWidth="1"/>
    <col min="23" max="23" width="5.7109375" style="100" customWidth="1"/>
    <col min="24" max="24" width="7.42578125" style="100" customWidth="1"/>
    <col min="25" max="27" width="5.85546875" style="100" customWidth="1"/>
    <col min="28" max="28" width="11.42578125" style="100" customWidth="1"/>
    <col min="29" max="29" width="6.140625" style="186" customWidth="1"/>
    <col min="30" max="30" width="6.140625" style="100" customWidth="1"/>
    <col min="31" max="34" width="6.7109375" style="100" customWidth="1"/>
    <col min="35" max="36" width="6.7109375" style="190" customWidth="1"/>
    <col min="37" max="37" width="6.7109375" style="191" customWidth="1"/>
    <col min="38" max="40" width="6.7109375" style="190" customWidth="1"/>
    <col min="41" max="16384" width="9.140625" style="100"/>
  </cols>
  <sheetData>
    <row r="1" spans="1:41" ht="36.75" customHeight="1" thickBot="1" x14ac:dyDescent="0.25">
      <c r="A1" s="2302" t="s">
        <v>344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  <c r="AN1" s="2302"/>
      <c r="AO1" s="269"/>
    </row>
    <row r="2" spans="1:41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1"/>
      <c r="N2" s="2322"/>
      <c r="O2" s="2323" t="s">
        <v>8</v>
      </c>
      <c r="P2" s="2324"/>
      <c r="Q2" s="2327" t="s">
        <v>385</v>
      </c>
      <c r="R2" s="2327"/>
      <c r="S2" s="2328" t="s">
        <v>388</v>
      </c>
      <c r="T2" s="2329"/>
      <c r="U2" s="2330" t="s">
        <v>9</v>
      </c>
      <c r="V2" s="2333" t="s">
        <v>10</v>
      </c>
      <c r="W2" s="2341" t="s">
        <v>12</v>
      </c>
      <c r="X2" s="2338" t="s">
        <v>13</v>
      </c>
      <c r="Y2" s="2341" t="s">
        <v>335</v>
      </c>
      <c r="Z2" s="2341" t="s">
        <v>336</v>
      </c>
      <c r="AA2" s="2460" t="s">
        <v>16</v>
      </c>
      <c r="AB2" s="2341" t="s">
        <v>17</v>
      </c>
      <c r="AC2" s="2341" t="s">
        <v>18</v>
      </c>
      <c r="AD2" s="2345" t="s">
        <v>19</v>
      </c>
      <c r="AE2" s="2321" t="s">
        <v>386</v>
      </c>
      <c r="AF2" s="2321"/>
      <c r="AG2" s="2347" t="s">
        <v>387</v>
      </c>
      <c r="AH2" s="2348"/>
      <c r="AI2" s="2349" t="s">
        <v>382</v>
      </c>
      <c r="AJ2" s="2350"/>
      <c r="AK2" s="2351" t="s">
        <v>20</v>
      </c>
      <c r="AL2" s="2351" t="s">
        <v>21</v>
      </c>
      <c r="AM2" s="2349" t="s">
        <v>383</v>
      </c>
      <c r="AN2" s="2353"/>
    </row>
    <row r="3" spans="1:41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322" t="s">
        <v>24</v>
      </c>
      <c r="J3" s="323" t="s">
        <v>25</v>
      </c>
      <c r="K3" s="323" t="s">
        <v>198</v>
      </c>
      <c r="L3" s="324" t="s">
        <v>26</v>
      </c>
      <c r="M3" s="324" t="s">
        <v>27</v>
      </c>
      <c r="N3" s="325" t="s">
        <v>28</v>
      </c>
      <c r="O3" s="2325"/>
      <c r="P3" s="2326"/>
      <c r="Q3" s="104" t="s">
        <v>216</v>
      </c>
      <c r="R3" s="104" t="s">
        <v>217</v>
      </c>
      <c r="S3" s="105" t="s">
        <v>218</v>
      </c>
      <c r="T3" s="110" t="s">
        <v>219</v>
      </c>
      <c r="U3" s="2331"/>
      <c r="V3" s="2334"/>
      <c r="W3" s="2342"/>
      <c r="X3" s="2339"/>
      <c r="Y3" s="2342"/>
      <c r="Z3" s="2342"/>
      <c r="AA3" s="2461"/>
      <c r="AB3" s="2342"/>
      <c r="AC3" s="2342"/>
      <c r="AD3" s="2346"/>
      <c r="AE3" s="1021" t="s">
        <v>216</v>
      </c>
      <c r="AF3" s="106" t="s">
        <v>217</v>
      </c>
      <c r="AG3" s="107" t="s">
        <v>216</v>
      </c>
      <c r="AH3" s="108" t="s">
        <v>217</v>
      </c>
      <c r="AI3" s="109" t="s">
        <v>218</v>
      </c>
      <c r="AJ3" s="110" t="s">
        <v>219</v>
      </c>
      <c r="AK3" s="2352"/>
      <c r="AL3" s="2352"/>
      <c r="AM3" s="105" t="s">
        <v>218</v>
      </c>
      <c r="AN3" s="111" t="s">
        <v>219</v>
      </c>
    </row>
    <row r="4" spans="1:41" s="101" customFormat="1" ht="13.5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5" t="s">
        <v>31</v>
      </c>
      <c r="L4" s="116" t="s">
        <v>31</v>
      </c>
      <c r="M4" s="116" t="s">
        <v>31</v>
      </c>
      <c r="N4" s="117" t="s">
        <v>31</v>
      </c>
      <c r="O4" s="118" t="s">
        <v>30</v>
      </c>
      <c r="P4" s="116" t="s">
        <v>30</v>
      </c>
      <c r="Q4" s="116" t="s">
        <v>30</v>
      </c>
      <c r="R4" s="116" t="s">
        <v>30</v>
      </c>
      <c r="S4" s="119" t="s">
        <v>35</v>
      </c>
      <c r="T4" s="1017" t="s">
        <v>35</v>
      </c>
      <c r="U4" s="2332"/>
      <c r="V4" s="2335"/>
      <c r="W4" s="120" t="s">
        <v>32</v>
      </c>
      <c r="X4" s="2340"/>
      <c r="Y4" s="120" t="s">
        <v>33</v>
      </c>
      <c r="Z4" s="120" t="s">
        <v>33</v>
      </c>
      <c r="AA4" s="121" t="s">
        <v>34</v>
      </c>
      <c r="AB4" s="120" t="s">
        <v>35</v>
      </c>
      <c r="AC4" s="120" t="s">
        <v>34</v>
      </c>
      <c r="AD4" s="1025" t="s">
        <v>30</v>
      </c>
      <c r="AE4" s="118" t="s">
        <v>30</v>
      </c>
      <c r="AF4" s="122" t="s">
        <v>30</v>
      </c>
      <c r="AG4" s="123" t="s">
        <v>30</v>
      </c>
      <c r="AH4" s="124" t="s">
        <v>30</v>
      </c>
      <c r="AI4" s="1090" t="s">
        <v>35</v>
      </c>
      <c r="AJ4" s="1088" t="s">
        <v>35</v>
      </c>
      <c r="AK4" s="1088" t="s">
        <v>35</v>
      </c>
      <c r="AL4" s="1088" t="s">
        <v>35</v>
      </c>
      <c r="AM4" s="1088" t="s">
        <v>35</v>
      </c>
      <c r="AN4" s="1089" t="s">
        <v>35</v>
      </c>
    </row>
    <row r="5" spans="1:41" ht="12.75" customHeight="1" x14ac:dyDescent="0.2">
      <c r="A5" s="346">
        <v>3</v>
      </c>
      <c r="B5" s="2306" t="s">
        <v>102</v>
      </c>
      <c r="C5" s="2482" t="s">
        <v>345</v>
      </c>
      <c r="D5" s="672">
        <v>1.2</v>
      </c>
      <c r="E5" s="544" t="s">
        <v>39</v>
      </c>
      <c r="F5" s="128" t="s">
        <v>46</v>
      </c>
      <c r="G5" s="2145">
        <f>Мартыновская!G15</f>
        <v>4.9020181386774881</v>
      </c>
      <c r="H5" s="2152">
        <f>Мартыновская!H15</f>
        <v>5.2862861120779669</v>
      </c>
      <c r="I5" s="347"/>
      <c r="J5" s="348">
        <v>0.92</v>
      </c>
      <c r="K5" s="348"/>
      <c r="L5" s="349"/>
      <c r="M5" s="349"/>
      <c r="N5" s="350"/>
      <c r="O5" s="351">
        <f>0.314*I5+0.249*J5+0.195*L5+0.159*M5+0.06*N5</f>
        <v>0.22908000000000001</v>
      </c>
      <c r="P5" s="349">
        <f t="shared" ref="P5:P14" si="0">0.4*SUM(I5:N5)</f>
        <v>0.36800000000000005</v>
      </c>
      <c r="Q5" s="352">
        <f t="shared" ref="Q5:Q14" si="1">SQRT(POWER(O5,2)+POWER(P5+G5,2))</f>
        <v>5.2749946756740655</v>
      </c>
      <c r="R5" s="353">
        <f t="shared" ref="R5:R14" si="2">SQRT(POWER(O5,2)+POWER(P5+H5,2))</f>
        <v>5.6589247285714785</v>
      </c>
      <c r="S5" s="354">
        <f>37000/1.73/SQRT(POWER((G5+P5),2)+O5*O5)</f>
        <v>4054.4653695335232</v>
      </c>
      <c r="T5" s="357">
        <f>37000/2/SQRT(O5*O5+POWER((H5+P5),2))</f>
        <v>3269.172305225216</v>
      </c>
      <c r="U5" s="1026">
        <v>1</v>
      </c>
      <c r="V5" s="349" t="s">
        <v>191</v>
      </c>
      <c r="W5" s="349">
        <v>10</v>
      </c>
      <c r="X5" s="349">
        <v>11</v>
      </c>
      <c r="Y5" s="349">
        <v>36.75</v>
      </c>
      <c r="Z5" s="349">
        <v>6.3</v>
      </c>
      <c r="AA5" s="353">
        <v>14.3</v>
      </c>
      <c r="AB5" s="349" t="s">
        <v>74</v>
      </c>
      <c r="AC5" s="349">
        <v>12</v>
      </c>
      <c r="AD5" s="528">
        <f t="shared" ref="AD5:AD14" si="3">AA5/100*Y5*Y5/W5</f>
        <v>19.313043749999999</v>
      </c>
      <c r="AE5" s="351">
        <f t="shared" ref="AE5:AE20" si="4">SQRT(POWER(O5,2)+POWER(P5+AD5+G5,2))</f>
        <v>24.584129219253374</v>
      </c>
      <c r="AF5" s="355">
        <f t="shared" ref="AF5:AF20" si="5">SQRT(POWER(O5,2)+POWER(P5+AD5+H5,2))</f>
        <v>24.968380766245335</v>
      </c>
      <c r="AG5" s="1303">
        <f t="shared" ref="AG5:AG10" si="6">SQRT(POWER((AD5+P5+G5),2)+POWER(O5,2))*POWER(6.3/Y5,2)</f>
        <v>0.72247236889234412</v>
      </c>
      <c r="AH5" s="1309">
        <f t="shared" ref="AH5:AH10" si="7">SQRT(POWER((H5+P5+AD5),2)+POWER(O5,2))*POWER(6.3/Y5,2)</f>
        <v>0.73376465925292444</v>
      </c>
      <c r="AI5" s="356">
        <f>37000/1.73/SQRT(POWER((G5+P5+AD5),2)+O5*O5)</f>
        <v>869.96301745129517</v>
      </c>
      <c r="AJ5" s="354">
        <f t="shared" ref="AJ5:AJ28" si="8">37000/2/SQRT(POWER((H5+P5+AD5),2)+O5*O5)</f>
        <v>740.93711455290202</v>
      </c>
      <c r="AK5" s="354">
        <f t="shared" ref="AK5:AK10" si="9">AJ5/1.2</f>
        <v>617.4475954607517</v>
      </c>
      <c r="AL5" s="357">
        <f>AJ5/1.5</f>
        <v>493.95807636860133</v>
      </c>
      <c r="AM5" s="354">
        <f>6300/(SQRT(3)*AG5)</f>
        <v>5034.5270663723322</v>
      </c>
      <c r="AN5" s="358">
        <f>6300/(2*AH5)</f>
        <v>4292.9295657372522</v>
      </c>
    </row>
    <row r="6" spans="1:41" ht="12.75" customHeight="1" x14ac:dyDescent="0.2">
      <c r="A6" s="359">
        <v>3</v>
      </c>
      <c r="B6" s="2359"/>
      <c r="C6" s="2483"/>
      <c r="D6" s="673">
        <v>1.2</v>
      </c>
      <c r="E6" s="546" t="s">
        <v>39</v>
      </c>
      <c r="F6" s="145" t="s">
        <v>46</v>
      </c>
      <c r="G6" s="2145">
        <f>Мартыновская!G16</f>
        <v>4.8982573492001933</v>
      </c>
      <c r="H6" s="2152">
        <f>Мартыновская!H16</f>
        <v>5.2312064066132784</v>
      </c>
      <c r="I6" s="270"/>
      <c r="J6" s="148">
        <v>0.92</v>
      </c>
      <c r="K6" s="148"/>
      <c r="L6" s="152"/>
      <c r="M6" s="152"/>
      <c r="N6" s="272"/>
      <c r="O6" s="151">
        <f>0.314*I6+0.249*J6+0.195*L6+0.159*M6+0.06*N6</f>
        <v>0.22908000000000001</v>
      </c>
      <c r="P6" s="152">
        <f t="shared" si="0"/>
        <v>0.36800000000000005</v>
      </c>
      <c r="Q6" s="153">
        <f t="shared" si="1"/>
        <v>5.2712374367320098</v>
      </c>
      <c r="R6" s="154">
        <f t="shared" si="2"/>
        <v>5.6038906154794974</v>
      </c>
      <c r="S6" s="137">
        <f>37000/1.73/SQRT(POWER((G6+P6),2)+O6*O6)</f>
        <v>4057.355316222222</v>
      </c>
      <c r="T6" s="142">
        <f t="shared" ref="T6:T20" si="10">37000/2/SQRT(O6*O6+POWER((H6+P6),2))</f>
        <v>3301.2778566551383</v>
      </c>
      <c r="U6" s="1027">
        <v>2</v>
      </c>
      <c r="V6" s="152" t="s">
        <v>191</v>
      </c>
      <c r="W6" s="152">
        <v>10</v>
      </c>
      <c r="X6" s="152">
        <v>11</v>
      </c>
      <c r="Y6" s="152">
        <v>36.75</v>
      </c>
      <c r="Z6" s="152">
        <v>6.3</v>
      </c>
      <c r="AA6" s="154">
        <v>8.1300000000000008</v>
      </c>
      <c r="AB6" s="152" t="s">
        <v>74</v>
      </c>
      <c r="AC6" s="152">
        <v>12</v>
      </c>
      <c r="AD6" s="274">
        <f t="shared" si="3"/>
        <v>10.980073125000001</v>
      </c>
      <c r="AE6" s="151">
        <f t="shared" si="4"/>
        <v>16.247945455451461</v>
      </c>
      <c r="AF6" s="156">
        <f t="shared" si="5"/>
        <v>16.58086208355196</v>
      </c>
      <c r="AG6" s="1303">
        <f t="shared" si="6"/>
        <v>0.47749064195612462</v>
      </c>
      <c r="AH6" s="1309">
        <f t="shared" si="7"/>
        <v>0.48727431429213924</v>
      </c>
      <c r="AI6" s="360">
        <f t="shared" ref="AI6:AI28" si="11">37000/1.73/SQRT(POWER((G6+P6+AD6),2)+O6*O6)</f>
        <v>1316.3069321985213</v>
      </c>
      <c r="AJ6" s="155">
        <f t="shared" si="8"/>
        <v>1115.7441577390482</v>
      </c>
      <c r="AK6" s="155">
        <f t="shared" si="9"/>
        <v>929.78679811587358</v>
      </c>
      <c r="AL6" s="361">
        <f t="shared" ref="AL6:AL20" si="12">AJ6/1.5</f>
        <v>743.82943849269884</v>
      </c>
      <c r="AM6" s="155">
        <f t="shared" ref="AM6:AM28" si="13">6300/(SQRT(3)*AG6)</f>
        <v>7617.5455104078574</v>
      </c>
      <c r="AN6" s="160">
        <f t="shared" ref="AN6:AN28" si="14">6300/(2*AH6)</f>
        <v>6464.5311841975254</v>
      </c>
    </row>
    <row r="7" spans="1:41" ht="12.75" customHeight="1" x14ac:dyDescent="0.2">
      <c r="A7" s="359">
        <v>3</v>
      </c>
      <c r="B7" s="2358" t="s">
        <v>155</v>
      </c>
      <c r="C7" s="2362" t="s">
        <v>345</v>
      </c>
      <c r="D7" s="673">
        <v>1.2</v>
      </c>
      <c r="E7" s="546" t="s">
        <v>39</v>
      </c>
      <c r="F7" s="145" t="s">
        <v>46</v>
      </c>
      <c r="G7" s="2145">
        <f>Мартыновская!G15</f>
        <v>4.9020181386774881</v>
      </c>
      <c r="H7" s="2152">
        <f>H5</f>
        <v>5.2862861120779669</v>
      </c>
      <c r="I7" s="270"/>
      <c r="J7" s="148">
        <v>1.3420000000000001</v>
      </c>
      <c r="K7" s="148"/>
      <c r="L7" s="152"/>
      <c r="M7" s="152"/>
      <c r="N7" s="272"/>
      <c r="O7" s="151">
        <f>0.314*I7+0.249*J7+0.195*L7+0.159*M7+0.06*N7</f>
        <v>0.33415800000000001</v>
      </c>
      <c r="P7" s="152">
        <f t="shared" si="0"/>
        <v>0.53680000000000005</v>
      </c>
      <c r="Q7" s="153">
        <f t="shared" si="1"/>
        <v>5.4490737116111081</v>
      </c>
      <c r="R7" s="154">
        <f t="shared" si="2"/>
        <v>5.8326660660146921</v>
      </c>
      <c r="S7" s="137">
        <f t="shared" ref="S7:S20" si="15">37000/1.73/SQRT(POWER((G7+P7),2)+O7*O7)</f>
        <v>3924.9392408513991</v>
      </c>
      <c r="T7" s="142">
        <f t="shared" si="10"/>
        <v>3171.7913884688696</v>
      </c>
      <c r="U7" s="1027">
        <v>1</v>
      </c>
      <c r="V7" s="152" t="s">
        <v>191</v>
      </c>
      <c r="W7" s="152">
        <v>10</v>
      </c>
      <c r="X7" s="152">
        <v>11</v>
      </c>
      <c r="Y7" s="152">
        <v>35</v>
      </c>
      <c r="Z7" s="152">
        <v>6.3</v>
      </c>
      <c r="AA7" s="154">
        <v>8.1199999999999992</v>
      </c>
      <c r="AB7" s="152" t="s">
        <v>103</v>
      </c>
      <c r="AC7" s="152"/>
      <c r="AD7" s="274">
        <f t="shared" si="3"/>
        <v>9.9469999999999992</v>
      </c>
      <c r="AE7" s="151">
        <f t="shared" si="4"/>
        <v>15.38944642816697</v>
      </c>
      <c r="AF7" s="156">
        <f t="shared" si="5"/>
        <v>15.77362601152057</v>
      </c>
      <c r="AG7" s="1303">
        <f t="shared" si="6"/>
        <v>0.4986180642726098</v>
      </c>
      <c r="AH7" s="1309">
        <f t="shared" si="7"/>
        <v>0.51106548277326647</v>
      </c>
      <c r="AI7" s="360">
        <f t="shared" si="11"/>
        <v>1389.7370082038517</v>
      </c>
      <c r="AJ7" s="155">
        <f t="shared" si="8"/>
        <v>1172.8438335287126</v>
      </c>
      <c r="AK7" s="155">
        <f t="shared" si="9"/>
        <v>977.3698612739272</v>
      </c>
      <c r="AL7" s="361">
        <f t="shared" si="12"/>
        <v>781.89588901914169</v>
      </c>
      <c r="AM7" s="155">
        <f t="shared" si="13"/>
        <v>7294.7752127688964</v>
      </c>
      <c r="AN7" s="160">
        <f t="shared" si="14"/>
        <v>6163.5937197454859</v>
      </c>
    </row>
    <row r="8" spans="1:41" ht="12.75" customHeight="1" x14ac:dyDescent="0.2">
      <c r="A8" s="359">
        <v>3</v>
      </c>
      <c r="B8" s="2359"/>
      <c r="C8" s="2363"/>
      <c r="D8" s="673">
        <v>1.2</v>
      </c>
      <c r="E8" s="546" t="s">
        <v>39</v>
      </c>
      <c r="F8" s="145" t="s">
        <v>46</v>
      </c>
      <c r="G8" s="2145">
        <f>Мартыновская!G16</f>
        <v>4.8982573492001933</v>
      </c>
      <c r="H8" s="2152">
        <f>H6</f>
        <v>5.2312064066132784</v>
      </c>
      <c r="I8" s="270"/>
      <c r="J8" s="148">
        <v>1.3420000000000001</v>
      </c>
      <c r="K8" s="148"/>
      <c r="L8" s="152"/>
      <c r="M8" s="152"/>
      <c r="N8" s="272"/>
      <c r="O8" s="151">
        <f>0.314*I8+0.249*J8+0.195*L8+0.159*M8+0.06*N8</f>
        <v>0.33415800000000001</v>
      </c>
      <c r="P8" s="152">
        <f t="shared" si="0"/>
        <v>0.53680000000000005</v>
      </c>
      <c r="Q8" s="153">
        <f t="shared" si="1"/>
        <v>5.4453200051107222</v>
      </c>
      <c r="R8" s="154">
        <f t="shared" si="2"/>
        <v>5.7776776888033332</v>
      </c>
      <c r="S8" s="137">
        <f t="shared" si="15"/>
        <v>3927.6448798089218</v>
      </c>
      <c r="T8" s="142">
        <f t="shared" si="10"/>
        <v>3201.9785450911336</v>
      </c>
      <c r="U8" s="1027">
        <v>2</v>
      </c>
      <c r="V8" s="152" t="s">
        <v>191</v>
      </c>
      <c r="W8" s="152">
        <v>10</v>
      </c>
      <c r="X8" s="152">
        <v>11</v>
      </c>
      <c r="Y8" s="152">
        <v>35</v>
      </c>
      <c r="Z8" s="152">
        <v>6.3</v>
      </c>
      <c r="AA8" s="154">
        <v>8.0500000000000007</v>
      </c>
      <c r="AB8" s="152" t="s">
        <v>104</v>
      </c>
      <c r="AC8" s="152"/>
      <c r="AD8" s="274">
        <f t="shared" si="3"/>
        <v>9.8612500000000001</v>
      </c>
      <c r="AE8" s="151">
        <f t="shared" si="4"/>
        <v>15.299956865630694</v>
      </c>
      <c r="AF8" s="156">
        <f t="shared" si="5"/>
        <v>15.632828195583363</v>
      </c>
      <c r="AG8" s="1303">
        <f>SQRT(POWER((AD8+P8+G8),2)+POWER(O8,2))*POWER(6.3/Y8,2)</f>
        <v>0.49571860244643445</v>
      </c>
      <c r="AH8" s="1309">
        <f t="shared" si="7"/>
        <v>0.50650363353690098</v>
      </c>
      <c r="AI8" s="360">
        <f t="shared" si="11"/>
        <v>1397.8655903950871</v>
      </c>
      <c r="AJ8" s="155">
        <f t="shared" si="8"/>
        <v>1183.4071076931989</v>
      </c>
      <c r="AK8" s="155">
        <f t="shared" si="9"/>
        <v>986.17258974433241</v>
      </c>
      <c r="AL8" s="361">
        <f t="shared" si="12"/>
        <v>788.93807179546593</v>
      </c>
      <c r="AM8" s="155">
        <f t="shared" si="13"/>
        <v>7337.4424077371132</v>
      </c>
      <c r="AN8" s="160">
        <f t="shared" si="14"/>
        <v>6219.106421811106</v>
      </c>
    </row>
    <row r="9" spans="1:41" x14ac:dyDescent="0.2">
      <c r="A9" s="359">
        <v>3</v>
      </c>
      <c r="B9" s="2358" t="s">
        <v>154</v>
      </c>
      <c r="C9" s="2483" t="s">
        <v>341</v>
      </c>
      <c r="D9" s="673">
        <v>2.2999999999999998</v>
      </c>
      <c r="E9" s="546" t="s">
        <v>39</v>
      </c>
      <c r="F9" s="145" t="s">
        <v>197</v>
      </c>
      <c r="G9" s="152">
        <v>6.3479999999999999</v>
      </c>
      <c r="H9" s="162">
        <v>6.79</v>
      </c>
      <c r="I9" s="362"/>
      <c r="J9" s="148">
        <v>0.08</v>
      </c>
      <c r="K9" s="148">
        <v>0.6</v>
      </c>
      <c r="L9" s="363"/>
      <c r="M9" s="152"/>
      <c r="N9" s="272"/>
      <c r="O9" s="151">
        <f>0.314*I9+0.249*J9+0.025*K9+0.195*L9+0.159*M9+0.06*N9</f>
        <v>3.492E-2</v>
      </c>
      <c r="P9" s="152">
        <f>0.4*J9+0.04725*K9</f>
        <v>6.0350000000000001E-2</v>
      </c>
      <c r="Q9" s="153">
        <f>SQRT(POWER(O9,2)+POWER(P9+G9,2))</f>
        <v>6.4084451412881727</v>
      </c>
      <c r="R9" s="154">
        <f>SQRT(POWER(O9,2)+POWER(P9+H9,2))</f>
        <v>6.8504390026406332</v>
      </c>
      <c r="S9" s="137">
        <f>37000/1.73/SQRT(POWER((G9+P9),2)+O9*O9)</f>
        <v>3337.3591823702691</v>
      </c>
      <c r="T9" s="142">
        <f>37000/2/SQRT(O9*O9+POWER((H9+P9),2))</f>
        <v>2700.5568537824829</v>
      </c>
      <c r="U9" s="1027">
        <v>1</v>
      </c>
      <c r="V9" s="152" t="s">
        <v>191</v>
      </c>
      <c r="W9" s="152">
        <v>10</v>
      </c>
      <c r="X9" s="152">
        <v>11</v>
      </c>
      <c r="Y9" s="152">
        <v>36.75</v>
      </c>
      <c r="Z9" s="152">
        <v>6.3</v>
      </c>
      <c r="AA9" s="154">
        <v>8.5</v>
      </c>
      <c r="AB9" s="364"/>
      <c r="AC9" s="152">
        <v>12</v>
      </c>
      <c r="AD9" s="274">
        <f>AA9/100*Y9*Y9/W9</f>
        <v>11.47978125</v>
      </c>
      <c r="AE9" s="151">
        <f>SQRT(POWER(O9,2)+POWER(P9+AD9+G9,2))</f>
        <v>17.888165334198657</v>
      </c>
      <c r="AF9" s="156">
        <f>SQRT(POWER(O9,2)+POWER(P9+AD9+H9,2))</f>
        <v>18.330164512317573</v>
      </c>
      <c r="AG9" s="157">
        <f t="shared" si="6"/>
        <v>0.52569302206624624</v>
      </c>
      <c r="AH9" s="637">
        <f t="shared" si="7"/>
        <v>0.53868238566810833</v>
      </c>
      <c r="AI9" s="360">
        <f t="shared" si="11"/>
        <v>1195.610776031119</v>
      </c>
      <c r="AJ9" s="155">
        <f t="shared" si="8"/>
        <v>1009.2653553419174</v>
      </c>
      <c r="AK9" s="155">
        <f t="shared" si="9"/>
        <v>841.05446278493116</v>
      </c>
      <c r="AL9" s="361">
        <f>AJ9/1.5</f>
        <v>672.84357022794495</v>
      </c>
      <c r="AM9" s="155">
        <f t="shared" si="13"/>
        <v>6919.0697673675422</v>
      </c>
      <c r="AN9" s="160">
        <f t="shared" si="14"/>
        <v>5847.6016365249598</v>
      </c>
    </row>
    <row r="10" spans="1:41" ht="13.5" thickBot="1" x14ac:dyDescent="0.25">
      <c r="A10" s="365">
        <v>3</v>
      </c>
      <c r="B10" s="2308"/>
      <c r="C10" s="2363"/>
      <c r="D10" s="830">
        <v>2.2999999999999998</v>
      </c>
      <c r="E10" s="547" t="s">
        <v>39</v>
      </c>
      <c r="F10" s="164" t="s">
        <v>197</v>
      </c>
      <c r="G10" s="166">
        <v>6.3479999999999999</v>
      </c>
      <c r="H10" s="366">
        <v>6.79</v>
      </c>
      <c r="I10" s="367"/>
      <c r="J10" s="168">
        <v>0.08</v>
      </c>
      <c r="K10" s="168">
        <v>0.6</v>
      </c>
      <c r="L10" s="368"/>
      <c r="M10" s="166"/>
      <c r="N10" s="369"/>
      <c r="O10" s="538">
        <f>0.314*I10+0.249*J10+0.025*K10+0.195*L10+0.159*M10+0.06*N10</f>
        <v>3.492E-2</v>
      </c>
      <c r="P10" s="276">
        <f>0.4*J10+0.04725*K10</f>
        <v>6.0350000000000001E-2</v>
      </c>
      <c r="Q10" s="287">
        <f>SQRT(POWER(O10,2)+POWER(P10+G10,2))</f>
        <v>6.4084451412881727</v>
      </c>
      <c r="R10" s="288">
        <f>SQRT(POWER(O10,2)+POWER(P10+H10,2))</f>
        <v>6.8504390026406332</v>
      </c>
      <c r="S10" s="289">
        <f>37000/1.73/SQRT(POWER((G10+P10),2)+O10*O10)</f>
        <v>3337.3591823702691</v>
      </c>
      <c r="T10" s="1045">
        <f>37000/2/SQRT(O10*O10+POWER((H10+P10),2))</f>
        <v>2700.5568537824829</v>
      </c>
      <c r="U10" s="1047">
        <v>2</v>
      </c>
      <c r="V10" s="276" t="s">
        <v>191</v>
      </c>
      <c r="W10" s="276">
        <v>10</v>
      </c>
      <c r="X10" s="276">
        <v>11</v>
      </c>
      <c r="Y10" s="276">
        <v>36.75</v>
      </c>
      <c r="Z10" s="276">
        <v>6.3</v>
      </c>
      <c r="AA10" s="288">
        <v>8.11</v>
      </c>
      <c r="AB10" s="539"/>
      <c r="AC10" s="276">
        <v>12</v>
      </c>
      <c r="AD10" s="290">
        <f>AA10/100*Y10*Y10/W10</f>
        <v>10.953061875</v>
      </c>
      <c r="AE10" s="538">
        <f>SQRT(POWER(O10,2)+POWER(P10+AD10+G10,2))</f>
        <v>17.361446993260412</v>
      </c>
      <c r="AF10" s="411">
        <f>SQRT(POWER(O10,2)+POWER(P10+AD10+H10,2))</f>
        <v>17.803446121391527</v>
      </c>
      <c r="AG10" s="181">
        <f t="shared" si="6"/>
        <v>0.5102139524549999</v>
      </c>
      <c r="AH10" s="877">
        <f t="shared" si="7"/>
        <v>0.52320331458783265</v>
      </c>
      <c r="AI10" s="371">
        <f t="shared" si="11"/>
        <v>1231.8836814291233</v>
      </c>
      <c r="AJ10" s="174">
        <f t="shared" si="8"/>
        <v>1039.1246657449951</v>
      </c>
      <c r="AK10" s="174">
        <f t="shared" si="9"/>
        <v>865.93722145416268</v>
      </c>
      <c r="AL10" s="372">
        <f>AJ10/1.5</f>
        <v>692.74977716333012</v>
      </c>
      <c r="AM10" s="174">
        <f t="shared" si="13"/>
        <v>7128.9832008571884</v>
      </c>
      <c r="AN10" s="178">
        <f t="shared" si="14"/>
        <v>6020.604059975225</v>
      </c>
    </row>
    <row r="11" spans="1:41" x14ac:dyDescent="0.2">
      <c r="A11" s="373">
        <v>3</v>
      </c>
      <c r="B11" s="2478" t="s">
        <v>102</v>
      </c>
      <c r="C11" s="2484" t="s">
        <v>345</v>
      </c>
      <c r="D11" s="374">
        <v>3.4</v>
      </c>
      <c r="E11" s="604" t="s">
        <v>35</v>
      </c>
      <c r="F11" s="375" t="s">
        <v>46</v>
      </c>
      <c r="G11" s="2145">
        <f>Мартыновская!G15</f>
        <v>4.9020181386774881</v>
      </c>
      <c r="H11" s="2152">
        <f>Мартыновская!H15</f>
        <v>5.2862861120779669</v>
      </c>
      <c r="I11" s="376"/>
      <c r="J11" s="235">
        <v>12.36</v>
      </c>
      <c r="K11" s="377"/>
      <c r="L11" s="378"/>
      <c r="M11" s="232"/>
      <c r="N11" s="295"/>
      <c r="O11" s="298">
        <f t="shared" ref="O11:O16" si="16">0.314*I11+0.249*J11+0.195*L11+0.159*M11+0.06*N11</f>
        <v>3.0776399999999997</v>
      </c>
      <c r="P11" s="232">
        <f t="shared" si="0"/>
        <v>4.944</v>
      </c>
      <c r="Q11" s="252">
        <f t="shared" si="1"/>
        <v>10.315810252072598</v>
      </c>
      <c r="R11" s="238">
        <f t="shared" si="2"/>
        <v>10.683193431955415</v>
      </c>
      <c r="S11" s="253">
        <f t="shared" si="15"/>
        <v>2073.2528724728336</v>
      </c>
      <c r="T11" s="870">
        <f t="shared" si="10"/>
        <v>1731.691943783688</v>
      </c>
      <c r="U11" s="1048">
        <v>1</v>
      </c>
      <c r="V11" s="232" t="s">
        <v>191</v>
      </c>
      <c r="W11" s="232">
        <v>10</v>
      </c>
      <c r="X11" s="232">
        <v>11</v>
      </c>
      <c r="Y11" s="232">
        <v>36.75</v>
      </c>
      <c r="Z11" s="232">
        <v>6.3</v>
      </c>
      <c r="AA11" s="238">
        <v>14.3</v>
      </c>
      <c r="AB11" s="379"/>
      <c r="AC11" s="232">
        <v>12</v>
      </c>
      <c r="AD11" s="540">
        <f t="shared" si="3"/>
        <v>19.313043749999999</v>
      </c>
      <c r="AE11" s="1053">
        <f t="shared" si="4"/>
        <v>29.321029282706359</v>
      </c>
      <c r="AF11" s="540">
        <f t="shared" si="5"/>
        <v>29.703201970648681</v>
      </c>
      <c r="AG11" s="139">
        <f t="shared" ref="AG11:AG22" si="17">SQRT(POWER((AD11+P11+G11),2)+POWER(O11,2))*POWER(6.3/Y11,2)</f>
        <v>0.861679227899942</v>
      </c>
      <c r="AH11" s="633">
        <f t="shared" ref="AH11:AH22" si="18">SQRT(POWER((H11+P11+AD11),2)+POWER(O11,2))*POWER(6.3/Y11,2)</f>
        <v>0.87291042525987972</v>
      </c>
      <c r="AI11" s="319">
        <f t="shared" si="11"/>
        <v>729.41788744123346</v>
      </c>
      <c r="AJ11" s="253">
        <f t="shared" si="8"/>
        <v>622.82847547146048</v>
      </c>
      <c r="AK11" s="237">
        <f t="shared" ref="AK11:AK17" si="19">AJ11/1.2</f>
        <v>519.02372955955047</v>
      </c>
      <c r="AL11" s="380">
        <f t="shared" si="12"/>
        <v>415.2189836476403</v>
      </c>
      <c r="AM11" s="253">
        <f t="shared" si="13"/>
        <v>4221.1841461693048</v>
      </c>
      <c r="AN11" s="266">
        <f t="shared" si="14"/>
        <v>3608.6176872755227</v>
      </c>
    </row>
    <row r="12" spans="1:41" x14ac:dyDescent="0.2">
      <c r="A12" s="381">
        <v>3</v>
      </c>
      <c r="B12" s="2366"/>
      <c r="C12" s="2373"/>
      <c r="D12" s="382">
        <v>3.4</v>
      </c>
      <c r="E12" s="605" t="s">
        <v>35</v>
      </c>
      <c r="F12" s="383" t="s">
        <v>46</v>
      </c>
      <c r="G12" s="2145">
        <f>Мартыновская!G16</f>
        <v>4.8982573492001933</v>
      </c>
      <c r="H12" s="2152">
        <f>Мартыновская!H16</f>
        <v>5.2312064066132784</v>
      </c>
      <c r="I12" s="384"/>
      <c r="J12" s="214">
        <v>12.36</v>
      </c>
      <c r="K12" s="385"/>
      <c r="L12" s="386"/>
      <c r="M12" s="211"/>
      <c r="N12" s="302"/>
      <c r="O12" s="305">
        <f t="shared" si="16"/>
        <v>3.0776399999999997</v>
      </c>
      <c r="P12" s="211">
        <f t="shared" si="0"/>
        <v>4.944</v>
      </c>
      <c r="Q12" s="218">
        <f t="shared" si="1"/>
        <v>10.312220793674134</v>
      </c>
      <c r="R12" s="219">
        <f t="shared" si="2"/>
        <v>10.630460638504047</v>
      </c>
      <c r="S12" s="220">
        <f t="shared" si="15"/>
        <v>2073.9745264292542</v>
      </c>
      <c r="T12" s="871">
        <f t="shared" si="10"/>
        <v>1740.2820657641209</v>
      </c>
      <c r="U12" s="1031">
        <v>2</v>
      </c>
      <c r="V12" s="211" t="s">
        <v>191</v>
      </c>
      <c r="W12" s="211">
        <v>10</v>
      </c>
      <c r="X12" s="211">
        <v>11</v>
      </c>
      <c r="Y12" s="211">
        <v>36.75</v>
      </c>
      <c r="Z12" s="211">
        <v>6.3</v>
      </c>
      <c r="AA12" s="219">
        <v>8.1300000000000008</v>
      </c>
      <c r="AB12" s="387"/>
      <c r="AC12" s="211">
        <v>12</v>
      </c>
      <c r="AD12" s="333">
        <f t="shared" si="3"/>
        <v>10.980073125000001</v>
      </c>
      <c r="AE12" s="946">
        <f t="shared" si="4"/>
        <v>21.048546608885044</v>
      </c>
      <c r="AF12" s="333">
        <f t="shared" si="5"/>
        <v>21.377972776442011</v>
      </c>
      <c r="AG12" s="157">
        <f t="shared" si="17"/>
        <v>0.61856953299580542</v>
      </c>
      <c r="AH12" s="637">
        <f t="shared" si="18"/>
        <v>0.62825062853217339</v>
      </c>
      <c r="AI12" s="320">
        <f t="shared" si="11"/>
        <v>1016.0931124796135</v>
      </c>
      <c r="AJ12" s="220">
        <f t="shared" si="8"/>
        <v>865.37672179967103</v>
      </c>
      <c r="AK12" s="229">
        <f t="shared" si="19"/>
        <v>721.14726816639256</v>
      </c>
      <c r="AL12" s="388">
        <f t="shared" si="12"/>
        <v>576.91781453311398</v>
      </c>
      <c r="AM12" s="220">
        <f t="shared" si="13"/>
        <v>5880.1905070861412</v>
      </c>
      <c r="AN12" s="262">
        <f t="shared" si="14"/>
        <v>5013.9225604271478</v>
      </c>
    </row>
    <row r="13" spans="1:41" x14ac:dyDescent="0.2">
      <c r="A13" s="381">
        <v>3</v>
      </c>
      <c r="B13" s="2369" t="s">
        <v>155</v>
      </c>
      <c r="C13" s="2371" t="s">
        <v>345</v>
      </c>
      <c r="D13" s="382">
        <v>3.4</v>
      </c>
      <c r="E13" s="605" t="s">
        <v>35</v>
      </c>
      <c r="F13" s="383" t="s">
        <v>46</v>
      </c>
      <c r="G13" s="2145">
        <f>Мартыновская!G15</f>
        <v>4.9020181386774881</v>
      </c>
      <c r="H13" s="2152">
        <f>Мартыновская!H15</f>
        <v>5.2862861120779669</v>
      </c>
      <c r="I13" s="384"/>
      <c r="J13" s="214">
        <v>12.022</v>
      </c>
      <c r="K13" s="385"/>
      <c r="L13" s="386"/>
      <c r="M13" s="211"/>
      <c r="N13" s="302"/>
      <c r="O13" s="305">
        <f t="shared" si="16"/>
        <v>2.9934780000000001</v>
      </c>
      <c r="P13" s="211">
        <f t="shared" si="0"/>
        <v>4.8088000000000006</v>
      </c>
      <c r="Q13" s="218">
        <f t="shared" si="1"/>
        <v>10.161737029610229</v>
      </c>
      <c r="R13" s="219">
        <f t="shared" si="2"/>
        <v>10.529561916184047</v>
      </c>
      <c r="S13" s="220">
        <f t="shared" si="15"/>
        <v>2104.6877295361937</v>
      </c>
      <c r="T13" s="871">
        <f t="shared" si="10"/>
        <v>1756.9581856549328</v>
      </c>
      <c r="U13" s="1031">
        <v>1</v>
      </c>
      <c r="V13" s="211" t="s">
        <v>191</v>
      </c>
      <c r="W13" s="211">
        <v>10</v>
      </c>
      <c r="X13" s="211">
        <v>11</v>
      </c>
      <c r="Y13" s="211">
        <v>35</v>
      </c>
      <c r="Z13" s="211">
        <v>6.3</v>
      </c>
      <c r="AA13" s="219">
        <v>8.1199999999999992</v>
      </c>
      <c r="AB13" s="387"/>
      <c r="AC13" s="211"/>
      <c r="AD13" s="333">
        <f t="shared" si="3"/>
        <v>9.9469999999999992</v>
      </c>
      <c r="AE13" s="946">
        <f t="shared" si="4"/>
        <v>19.884434226545185</v>
      </c>
      <c r="AF13" s="333">
        <f t="shared" si="5"/>
        <v>20.264405401107442</v>
      </c>
      <c r="AG13" s="157">
        <f t="shared" si="17"/>
        <v>0.64425566894006392</v>
      </c>
      <c r="AH13" s="637">
        <f t="shared" si="18"/>
        <v>0.65656673499588114</v>
      </c>
      <c r="AI13" s="320">
        <f t="shared" si="11"/>
        <v>1075.5791687772926</v>
      </c>
      <c r="AJ13" s="220">
        <f t="shared" si="8"/>
        <v>912.93080817406963</v>
      </c>
      <c r="AK13" s="229">
        <f t="shared" si="19"/>
        <v>760.77567347839135</v>
      </c>
      <c r="AL13" s="388">
        <f t="shared" si="12"/>
        <v>608.62053878271308</v>
      </c>
      <c r="AM13" s="220">
        <f t="shared" si="13"/>
        <v>5645.7503926644176</v>
      </c>
      <c r="AN13" s="262">
        <f t="shared" si="14"/>
        <v>4797.6844273412071</v>
      </c>
    </row>
    <row r="14" spans="1:41" x14ac:dyDescent="0.2">
      <c r="A14" s="381">
        <v>3</v>
      </c>
      <c r="B14" s="2366"/>
      <c r="C14" s="2372"/>
      <c r="D14" s="382">
        <v>3.4</v>
      </c>
      <c r="E14" s="605" t="s">
        <v>35</v>
      </c>
      <c r="F14" s="383" t="s">
        <v>46</v>
      </c>
      <c r="G14" s="2145">
        <f>Мартыновская!G16</f>
        <v>4.8982573492001933</v>
      </c>
      <c r="H14" s="2152">
        <f>Мартыновская!H16</f>
        <v>5.2312064066132784</v>
      </c>
      <c r="I14" s="384"/>
      <c r="J14" s="214">
        <v>12.022</v>
      </c>
      <c r="K14" s="385"/>
      <c r="L14" s="386"/>
      <c r="M14" s="211"/>
      <c r="N14" s="302"/>
      <c r="O14" s="305">
        <f t="shared" si="16"/>
        <v>2.9934780000000001</v>
      </c>
      <c r="P14" s="211">
        <f t="shared" si="0"/>
        <v>4.8088000000000006</v>
      </c>
      <c r="Q14" s="218">
        <f t="shared" si="1"/>
        <v>10.158143182547956</v>
      </c>
      <c r="R14" s="219">
        <f t="shared" si="2"/>
        <v>10.476766637723669</v>
      </c>
      <c r="S14" s="220">
        <f t="shared" si="15"/>
        <v>2105.4323465078064</v>
      </c>
      <c r="T14" s="871">
        <f t="shared" si="10"/>
        <v>1765.8119761288845</v>
      </c>
      <c r="U14" s="1031">
        <v>2</v>
      </c>
      <c r="V14" s="211" t="s">
        <v>191</v>
      </c>
      <c r="W14" s="211">
        <v>10</v>
      </c>
      <c r="X14" s="211">
        <v>11</v>
      </c>
      <c r="Y14" s="211">
        <v>35</v>
      </c>
      <c r="Z14" s="211">
        <v>6.3</v>
      </c>
      <c r="AA14" s="219">
        <v>8.0500000000000007</v>
      </c>
      <c r="AB14" s="387"/>
      <c r="AC14" s="211"/>
      <c r="AD14" s="333">
        <f t="shared" si="3"/>
        <v>9.8612500000000001</v>
      </c>
      <c r="AE14" s="946">
        <f t="shared" si="4"/>
        <v>19.795948147266053</v>
      </c>
      <c r="AF14" s="333">
        <f t="shared" si="5"/>
        <v>20.125131480272373</v>
      </c>
      <c r="AG14" s="157">
        <f t="shared" si="17"/>
        <v>0.64138871997142011</v>
      </c>
      <c r="AH14" s="637">
        <f t="shared" si="18"/>
        <v>0.65205425996082489</v>
      </c>
      <c r="AI14" s="320">
        <f t="shared" si="11"/>
        <v>1080.3869093760954</v>
      </c>
      <c r="AJ14" s="220">
        <f t="shared" si="8"/>
        <v>919.24865276704372</v>
      </c>
      <c r="AK14" s="229">
        <f t="shared" si="19"/>
        <v>766.04054397253651</v>
      </c>
      <c r="AL14" s="388">
        <f t="shared" si="12"/>
        <v>612.83243517802919</v>
      </c>
      <c r="AM14" s="220">
        <f t="shared" si="13"/>
        <v>5670.9863810151173</v>
      </c>
      <c r="AN14" s="262">
        <f t="shared" si="14"/>
        <v>4830.8863133403202</v>
      </c>
    </row>
    <row r="15" spans="1:41" x14ac:dyDescent="0.2">
      <c r="A15" s="381">
        <v>3</v>
      </c>
      <c r="B15" s="2369" t="s">
        <v>154</v>
      </c>
      <c r="C15" s="2373" t="s">
        <v>341</v>
      </c>
      <c r="D15" s="675">
        <v>3.4</v>
      </c>
      <c r="E15" s="606" t="s">
        <v>35</v>
      </c>
      <c r="F15" s="383" t="s">
        <v>46</v>
      </c>
      <c r="G15" s="2145">
        <f>Мартыновская!G15</f>
        <v>4.9020181386774881</v>
      </c>
      <c r="H15" s="2152">
        <f>Мартыновская!H15</f>
        <v>5.2862861120779669</v>
      </c>
      <c r="I15" s="389"/>
      <c r="J15" s="226">
        <v>2.88</v>
      </c>
      <c r="K15" s="390"/>
      <c r="L15" s="391"/>
      <c r="M15" s="223"/>
      <c r="N15" s="327"/>
      <c r="O15" s="331">
        <f t="shared" si="16"/>
        <v>0.71711999999999998</v>
      </c>
      <c r="P15" s="223">
        <f>0.4*SUM(I15:N15)</f>
        <v>1.1519999999999999</v>
      </c>
      <c r="Q15" s="227">
        <f t="shared" ref="Q15:Q22" si="20">SQRT(POWER(O15,2)+POWER(P15+G15,2))</f>
        <v>6.0963428970027627</v>
      </c>
      <c r="R15" s="228">
        <f t="shared" ref="R15:R22" si="21">SQRT(POWER(O15,2)+POWER(P15+H15,2))</f>
        <v>6.4781007367419061</v>
      </c>
      <c r="S15" s="207">
        <f>37000/1.73/SQRT(POWER((G15+P15),2)+O15*O15)</f>
        <v>3508.215269109809</v>
      </c>
      <c r="T15" s="1018">
        <f>37000/2/SQRT(O15*O15+POWER((H15+P15),2))</f>
        <v>2855.7752884380716</v>
      </c>
      <c r="U15" s="1042">
        <v>1</v>
      </c>
      <c r="V15" s="223" t="s">
        <v>191</v>
      </c>
      <c r="W15" s="223">
        <v>10</v>
      </c>
      <c r="X15" s="211">
        <v>11</v>
      </c>
      <c r="Y15" s="223">
        <v>36.75</v>
      </c>
      <c r="Z15" s="223">
        <v>6.3</v>
      </c>
      <c r="AA15" s="228">
        <v>8.5</v>
      </c>
      <c r="AB15" s="392"/>
      <c r="AC15" s="223">
        <v>12</v>
      </c>
      <c r="AD15" s="333">
        <f t="shared" ref="AD15:AD22" si="22">AA15/100*Y15*Y15/W15</f>
        <v>11.47978125</v>
      </c>
      <c r="AE15" s="946">
        <f>SQRT(POWER(O15,2)+POWER(P15+AD15+G15,2))</f>
        <v>17.548458111662889</v>
      </c>
      <c r="AF15" s="333">
        <f>SQRT(POWER(O15,2)+POWER(P15+AD15+H15,2))</f>
        <v>17.932411970684917</v>
      </c>
      <c r="AG15" s="157">
        <f>SQRT(POWER((AD15+P15+G15),2)+POWER(O15,2))*POWER(6.3/Y15,2)</f>
        <v>0.51570978940397061</v>
      </c>
      <c r="AH15" s="637">
        <f t="shared" si="18"/>
        <v>0.52699333138339355</v>
      </c>
      <c r="AI15" s="320">
        <f t="shared" si="11"/>
        <v>1218.7556935717337</v>
      </c>
      <c r="AJ15" s="220">
        <f t="shared" si="8"/>
        <v>1031.6515162736027</v>
      </c>
      <c r="AK15" s="229">
        <f t="shared" si="19"/>
        <v>859.70959689466895</v>
      </c>
      <c r="AL15" s="388">
        <f t="shared" si="12"/>
        <v>687.76767751573516</v>
      </c>
      <c r="AM15" s="220">
        <f t="shared" si="13"/>
        <v>7053.0107642487146</v>
      </c>
      <c r="AN15" s="262">
        <f t="shared" si="14"/>
        <v>5977.3052378690154</v>
      </c>
    </row>
    <row r="16" spans="1:41" ht="13.5" thickBot="1" x14ac:dyDescent="0.25">
      <c r="A16" s="393">
        <v>3</v>
      </c>
      <c r="B16" s="2381"/>
      <c r="C16" s="2372"/>
      <c r="D16" s="676">
        <v>3.4</v>
      </c>
      <c r="E16" s="607" t="s">
        <v>35</v>
      </c>
      <c r="F16" s="394" t="s">
        <v>46</v>
      </c>
      <c r="G16" s="2145">
        <f>Мартыновская!G16</f>
        <v>4.8982573492001933</v>
      </c>
      <c r="H16" s="2152">
        <f>Мартыновская!H16</f>
        <v>5.2312064066132784</v>
      </c>
      <c r="I16" s="395"/>
      <c r="J16" s="243">
        <v>2.88</v>
      </c>
      <c r="K16" s="396"/>
      <c r="L16" s="397"/>
      <c r="M16" s="241"/>
      <c r="N16" s="313"/>
      <c r="O16" s="245">
        <f t="shared" si="16"/>
        <v>0.71711999999999998</v>
      </c>
      <c r="P16" s="241">
        <f>0.4*SUM(I16:N16)</f>
        <v>1.1519999999999999</v>
      </c>
      <c r="Q16" s="246">
        <f t="shared" si="20"/>
        <v>6.0926082334211307</v>
      </c>
      <c r="R16" s="247">
        <f t="shared" si="21"/>
        <v>6.4233624468675901</v>
      </c>
      <c r="S16" s="316">
        <f>37000/1.73/SQRT(POWER((G16+P16),2)+O16*O16)</f>
        <v>3510.3657444563441</v>
      </c>
      <c r="T16" s="1046">
        <f>37000/2/SQRT(O16*O16+POWER((H16+P16),2))</f>
        <v>2880.1114919214451</v>
      </c>
      <c r="U16" s="1032">
        <v>2</v>
      </c>
      <c r="V16" s="241" t="s">
        <v>191</v>
      </c>
      <c r="W16" s="241">
        <v>10</v>
      </c>
      <c r="X16" s="241">
        <v>11</v>
      </c>
      <c r="Y16" s="241">
        <v>36.75</v>
      </c>
      <c r="Z16" s="241">
        <v>6.3</v>
      </c>
      <c r="AA16" s="247">
        <v>8.11</v>
      </c>
      <c r="AB16" s="398"/>
      <c r="AC16" s="241">
        <v>12</v>
      </c>
      <c r="AD16" s="317">
        <f t="shared" si="22"/>
        <v>10.953061875</v>
      </c>
      <c r="AE16" s="250">
        <f>SQRT(POWER(O16,2)+POWER(P16+AD16+G16,2))</f>
        <v>17.018434879108472</v>
      </c>
      <c r="AF16" s="317">
        <f>SQRT(POWER(O16,2)+POWER(P16+AD16+H16,2))</f>
        <v>17.351093885587463</v>
      </c>
      <c r="AG16" s="181">
        <f t="shared" si="17"/>
        <v>0.5001335964472694</v>
      </c>
      <c r="AH16" s="877">
        <f t="shared" si="18"/>
        <v>0.50990969786216223</v>
      </c>
      <c r="AI16" s="321">
        <f t="shared" si="11"/>
        <v>1256.7126994297732</v>
      </c>
      <c r="AJ16" s="248">
        <f t="shared" si="8"/>
        <v>1066.2151978421871</v>
      </c>
      <c r="AK16" s="248">
        <f t="shared" si="19"/>
        <v>888.51266486848931</v>
      </c>
      <c r="AL16" s="399">
        <f t="shared" si="12"/>
        <v>710.81013189479143</v>
      </c>
      <c r="AM16" s="248">
        <f t="shared" si="13"/>
        <v>7272.6701859912646</v>
      </c>
      <c r="AN16" s="268">
        <f t="shared" si="14"/>
        <v>6177.5644064167254</v>
      </c>
    </row>
    <row r="17" spans="1:40" ht="12.75" customHeight="1" x14ac:dyDescent="0.2">
      <c r="A17" s="453">
        <v>3</v>
      </c>
      <c r="B17" s="2383" t="s">
        <v>102</v>
      </c>
      <c r="C17" s="2492" t="s">
        <v>345</v>
      </c>
      <c r="D17" s="454">
        <v>2.2999999999999998</v>
      </c>
      <c r="E17" s="608" t="s">
        <v>35</v>
      </c>
      <c r="F17" s="455" t="s">
        <v>197</v>
      </c>
      <c r="G17" s="421">
        <v>6.3479999999999999</v>
      </c>
      <c r="H17" s="457">
        <v>6.79</v>
      </c>
      <c r="I17" s="456"/>
      <c r="J17" s="424">
        <v>9.56</v>
      </c>
      <c r="K17" s="424">
        <v>0.6</v>
      </c>
      <c r="L17" s="421"/>
      <c r="M17" s="421"/>
      <c r="N17" s="457"/>
      <c r="O17" s="533">
        <f>0.314*I17+0.249*J17+0.025*K17+0.195*L17+0.159*M17+0.06*N17</f>
        <v>2.3954400000000002</v>
      </c>
      <c r="P17" s="421">
        <f>0.4*J17+0.04725*K17</f>
        <v>3.8523500000000004</v>
      </c>
      <c r="Q17" s="458">
        <f t="shared" si="20"/>
        <v>10.477846769069492</v>
      </c>
      <c r="R17" s="431">
        <f t="shared" si="21"/>
        <v>10.908608816714439</v>
      </c>
      <c r="S17" s="448">
        <f t="shared" si="15"/>
        <v>2041.1906862514236</v>
      </c>
      <c r="T17" s="1039">
        <f t="shared" si="10"/>
        <v>1695.9082785747935</v>
      </c>
      <c r="U17" s="1033">
        <v>1</v>
      </c>
      <c r="V17" s="421" t="s">
        <v>191</v>
      </c>
      <c r="W17" s="421">
        <v>10</v>
      </c>
      <c r="X17" s="421">
        <v>11</v>
      </c>
      <c r="Y17" s="421">
        <v>36.75</v>
      </c>
      <c r="Z17" s="421">
        <v>6.3</v>
      </c>
      <c r="AA17" s="431">
        <v>14.3</v>
      </c>
      <c r="AB17" s="421" t="s">
        <v>74</v>
      </c>
      <c r="AC17" s="421">
        <v>12</v>
      </c>
      <c r="AD17" s="525">
        <f t="shared" si="22"/>
        <v>19.313043749999999</v>
      </c>
      <c r="AE17" s="1022">
        <f t="shared" si="4"/>
        <v>29.610446525443329</v>
      </c>
      <c r="AF17" s="532">
        <f t="shared" si="5"/>
        <v>30.051019076083577</v>
      </c>
      <c r="AG17" s="139">
        <f t="shared" si="17"/>
        <v>0.87018455095180403</v>
      </c>
      <c r="AH17" s="633">
        <f t="shared" si="18"/>
        <v>0.88313198917470115</v>
      </c>
      <c r="AI17" s="1093">
        <f t="shared" si="11"/>
        <v>722.28844028464061</v>
      </c>
      <c r="AJ17" s="1094">
        <f t="shared" si="8"/>
        <v>615.61972168602506</v>
      </c>
      <c r="AK17" s="430">
        <f t="shared" si="19"/>
        <v>513.01643473835429</v>
      </c>
      <c r="AL17" s="448">
        <f t="shared" si="12"/>
        <v>410.41314779068335</v>
      </c>
      <c r="AM17" s="448">
        <f t="shared" si="13"/>
        <v>4179.9256168317079</v>
      </c>
      <c r="AN17" s="449">
        <f t="shared" si="14"/>
        <v>3566.8507523362591</v>
      </c>
    </row>
    <row r="18" spans="1:40" ht="12.75" customHeight="1" x14ac:dyDescent="0.2">
      <c r="A18" s="459">
        <v>3</v>
      </c>
      <c r="B18" s="2480"/>
      <c r="C18" s="2493"/>
      <c r="D18" s="460">
        <v>2.2999999999999998</v>
      </c>
      <c r="E18" s="609" t="s">
        <v>35</v>
      </c>
      <c r="F18" s="461" t="s">
        <v>197</v>
      </c>
      <c r="G18" s="416">
        <v>6.3479999999999999</v>
      </c>
      <c r="H18" s="465">
        <v>6.79</v>
      </c>
      <c r="I18" s="463"/>
      <c r="J18" s="464">
        <v>9.56</v>
      </c>
      <c r="K18" s="464">
        <v>0.6</v>
      </c>
      <c r="L18" s="416"/>
      <c r="M18" s="416"/>
      <c r="N18" s="465"/>
      <c r="O18" s="470">
        <f>0.314*I18+0.249*J18+0.025*K18+0.195*L18+0.159*M18+0.06*N18</f>
        <v>2.3954400000000002</v>
      </c>
      <c r="P18" s="416">
        <f>0.4*J18+0.04725*K18</f>
        <v>3.8523500000000004</v>
      </c>
      <c r="Q18" s="414">
        <f t="shared" si="20"/>
        <v>10.477846769069492</v>
      </c>
      <c r="R18" s="417">
        <f t="shared" si="21"/>
        <v>10.908608816714439</v>
      </c>
      <c r="S18" s="446">
        <f t="shared" si="15"/>
        <v>2041.1906862514236</v>
      </c>
      <c r="T18" s="1040">
        <f t="shared" si="10"/>
        <v>1695.9082785747935</v>
      </c>
      <c r="U18" s="1043">
        <v>2</v>
      </c>
      <c r="V18" s="416" t="s">
        <v>191</v>
      </c>
      <c r="W18" s="416">
        <v>10</v>
      </c>
      <c r="X18" s="416">
        <v>11</v>
      </c>
      <c r="Y18" s="416">
        <v>36.75</v>
      </c>
      <c r="Z18" s="416">
        <v>6.3</v>
      </c>
      <c r="AA18" s="417">
        <v>8.1300000000000008</v>
      </c>
      <c r="AB18" s="416" t="s">
        <v>74</v>
      </c>
      <c r="AC18" s="416">
        <v>12</v>
      </c>
      <c r="AD18" s="526">
        <f t="shared" si="22"/>
        <v>10.980073125000001</v>
      </c>
      <c r="AE18" s="897">
        <f t="shared" si="4"/>
        <v>21.315451122311131</v>
      </c>
      <c r="AF18" s="526">
        <f t="shared" si="5"/>
        <v>21.754707871863847</v>
      </c>
      <c r="AG18" s="157">
        <f t="shared" si="17"/>
        <v>0.62641325747200061</v>
      </c>
      <c r="AH18" s="637">
        <f t="shared" si="18"/>
        <v>0.63932202725477427</v>
      </c>
      <c r="AI18" s="1095">
        <f t="shared" si="11"/>
        <v>1003.3699551687133</v>
      </c>
      <c r="AJ18" s="1096">
        <f t="shared" si="8"/>
        <v>850.39064229066116</v>
      </c>
      <c r="AK18" s="415">
        <f t="shared" ref="AK18:AK28" si="23">AJ18/1.2</f>
        <v>708.65886857555097</v>
      </c>
      <c r="AL18" s="480">
        <f t="shared" si="12"/>
        <v>566.92709486044077</v>
      </c>
      <c r="AM18" s="415">
        <f t="shared" si="13"/>
        <v>5806.5608486219226</v>
      </c>
      <c r="AN18" s="481">
        <f t="shared" si="14"/>
        <v>4927.0944308394728</v>
      </c>
    </row>
    <row r="19" spans="1:40" ht="12.75" customHeight="1" x14ac:dyDescent="0.2">
      <c r="A19" s="459">
        <v>3</v>
      </c>
      <c r="B19" s="2481" t="s">
        <v>155</v>
      </c>
      <c r="C19" s="2494" t="s">
        <v>345</v>
      </c>
      <c r="D19" s="460">
        <v>2.2999999999999998</v>
      </c>
      <c r="E19" s="609" t="s">
        <v>35</v>
      </c>
      <c r="F19" s="461" t="s">
        <v>197</v>
      </c>
      <c r="G19" s="416">
        <v>6.3479999999999999</v>
      </c>
      <c r="H19" s="465">
        <v>6.79</v>
      </c>
      <c r="I19" s="463"/>
      <c r="J19" s="464">
        <v>9.2219999999999995</v>
      </c>
      <c r="K19" s="464">
        <v>0.6</v>
      </c>
      <c r="L19" s="416"/>
      <c r="M19" s="416"/>
      <c r="N19" s="465"/>
      <c r="O19" s="470">
        <f>0.314*I19+0.249*J19+0.025*K19+0.195*L19+0.159*M19+0.06*N19</f>
        <v>2.3112780000000002</v>
      </c>
      <c r="P19" s="416">
        <f>0.4*J19+0.04725*K19</f>
        <v>3.7171500000000002</v>
      </c>
      <c r="Q19" s="414">
        <f t="shared" si="20"/>
        <v>10.327112399687726</v>
      </c>
      <c r="R19" s="417">
        <f t="shared" si="21"/>
        <v>10.758355223535984</v>
      </c>
      <c r="S19" s="446">
        <f t="shared" si="15"/>
        <v>2070.9838732500803</v>
      </c>
      <c r="T19" s="1040">
        <f t="shared" si="10"/>
        <v>1719.5937125711996</v>
      </c>
      <c r="U19" s="1043">
        <v>1</v>
      </c>
      <c r="V19" s="416" t="s">
        <v>191</v>
      </c>
      <c r="W19" s="416">
        <v>10</v>
      </c>
      <c r="X19" s="416">
        <v>11</v>
      </c>
      <c r="Y19" s="416">
        <v>35</v>
      </c>
      <c r="Z19" s="416">
        <v>6.3</v>
      </c>
      <c r="AA19" s="417">
        <v>8.1199999999999992</v>
      </c>
      <c r="AB19" s="416" t="s">
        <v>103</v>
      </c>
      <c r="AC19" s="416"/>
      <c r="AD19" s="526">
        <f t="shared" si="22"/>
        <v>9.9469999999999992</v>
      </c>
      <c r="AE19" s="897">
        <f t="shared" si="4"/>
        <v>20.145176931856017</v>
      </c>
      <c r="AF19" s="526">
        <f t="shared" si="5"/>
        <v>20.584320688713142</v>
      </c>
      <c r="AG19" s="157">
        <f t="shared" si="17"/>
        <v>0.65270373259213488</v>
      </c>
      <c r="AH19" s="637">
        <f t="shared" si="18"/>
        <v>0.66693199031430572</v>
      </c>
      <c r="AI19" s="1095">
        <f t="shared" si="11"/>
        <v>1061.657751100415</v>
      </c>
      <c r="AJ19" s="1096">
        <f t="shared" si="8"/>
        <v>898.74231361659542</v>
      </c>
      <c r="AK19" s="415">
        <f t="shared" si="23"/>
        <v>748.9519280138295</v>
      </c>
      <c r="AL19" s="480">
        <f t="shared" si="12"/>
        <v>599.16154241106358</v>
      </c>
      <c r="AM19" s="415">
        <f t="shared" si="13"/>
        <v>5572.6764139213874</v>
      </c>
      <c r="AN19" s="481">
        <f t="shared" si="14"/>
        <v>4723.1202667538801</v>
      </c>
    </row>
    <row r="20" spans="1:40" ht="12.75" customHeight="1" x14ac:dyDescent="0.2">
      <c r="A20" s="459">
        <v>3</v>
      </c>
      <c r="B20" s="2480"/>
      <c r="C20" s="2495"/>
      <c r="D20" s="460">
        <v>2.2999999999999998</v>
      </c>
      <c r="E20" s="609" t="s">
        <v>35</v>
      </c>
      <c r="F20" s="461" t="s">
        <v>197</v>
      </c>
      <c r="G20" s="416">
        <v>6.3479999999999999</v>
      </c>
      <c r="H20" s="465">
        <v>6.79</v>
      </c>
      <c r="I20" s="463"/>
      <c r="J20" s="464">
        <v>9.2219999999999995</v>
      </c>
      <c r="K20" s="464">
        <v>0.6</v>
      </c>
      <c r="L20" s="416"/>
      <c r="M20" s="416"/>
      <c r="N20" s="465"/>
      <c r="O20" s="470">
        <f>0.314*I20+0.249*J20+0.025*K20+0.195*L20+0.159*M20+0.06*N20</f>
        <v>2.3112780000000002</v>
      </c>
      <c r="P20" s="416">
        <f>0.4*J20+0.04725*K20</f>
        <v>3.7171500000000002</v>
      </c>
      <c r="Q20" s="414">
        <f t="shared" si="20"/>
        <v>10.327112399687726</v>
      </c>
      <c r="R20" s="417">
        <f t="shared" si="21"/>
        <v>10.758355223535984</v>
      </c>
      <c r="S20" s="446">
        <f t="shared" si="15"/>
        <v>2070.9838732500803</v>
      </c>
      <c r="T20" s="1040">
        <f t="shared" si="10"/>
        <v>1719.5937125711996</v>
      </c>
      <c r="U20" s="1043">
        <v>2</v>
      </c>
      <c r="V20" s="416" t="s">
        <v>191</v>
      </c>
      <c r="W20" s="416">
        <v>10</v>
      </c>
      <c r="X20" s="416">
        <v>11</v>
      </c>
      <c r="Y20" s="416">
        <v>35</v>
      </c>
      <c r="Z20" s="416">
        <v>6.3</v>
      </c>
      <c r="AA20" s="417">
        <v>8.0500000000000007</v>
      </c>
      <c r="AB20" s="416" t="s">
        <v>104</v>
      </c>
      <c r="AC20" s="416"/>
      <c r="AD20" s="526">
        <f t="shared" si="22"/>
        <v>9.8612500000000001</v>
      </c>
      <c r="AE20" s="897">
        <f t="shared" si="4"/>
        <v>20.059995587070404</v>
      </c>
      <c r="AF20" s="526">
        <f t="shared" si="5"/>
        <v>20.499115213913111</v>
      </c>
      <c r="AG20" s="157">
        <f t="shared" si="17"/>
        <v>0.64994385702108104</v>
      </c>
      <c r="AH20" s="637">
        <f t="shared" si="18"/>
        <v>0.66417133293078479</v>
      </c>
      <c r="AI20" s="1095">
        <f t="shared" si="11"/>
        <v>1066.1658993972717</v>
      </c>
      <c r="AJ20" s="1096">
        <f t="shared" si="8"/>
        <v>902.47797560763615</v>
      </c>
      <c r="AK20" s="415">
        <f t="shared" si="23"/>
        <v>752.06497967303017</v>
      </c>
      <c r="AL20" s="480">
        <f t="shared" si="12"/>
        <v>601.65198373842406</v>
      </c>
      <c r="AM20" s="415">
        <f t="shared" si="13"/>
        <v>5596.3398324367363</v>
      </c>
      <c r="AN20" s="481">
        <f t="shared" si="14"/>
        <v>4742.7521240641545</v>
      </c>
    </row>
    <row r="21" spans="1:40" x14ac:dyDescent="0.2">
      <c r="A21" s="459">
        <v>3</v>
      </c>
      <c r="B21" s="2481" t="s">
        <v>154</v>
      </c>
      <c r="C21" s="2493" t="s">
        <v>341</v>
      </c>
      <c r="D21" s="466">
        <v>1.2</v>
      </c>
      <c r="E21" s="609" t="s">
        <v>35</v>
      </c>
      <c r="F21" s="461" t="s">
        <v>46</v>
      </c>
      <c r="G21" s="2145">
        <f>Мартыновская!G15</f>
        <v>4.9020181386774881</v>
      </c>
      <c r="H21" s="2136">
        <f>Мартыновская!H15</f>
        <v>5.2862861120779669</v>
      </c>
      <c r="I21" s="467"/>
      <c r="J21" s="464">
        <v>10.4</v>
      </c>
      <c r="K21" s="468"/>
      <c r="L21" s="469"/>
      <c r="M21" s="416"/>
      <c r="N21" s="465"/>
      <c r="O21" s="470">
        <f>0.314*I21+0.249*J21+0.195*L21+0.159*M21+0.06*N21</f>
        <v>2.5895999999999999</v>
      </c>
      <c r="P21" s="416">
        <f>0.4*SUM(I21:N21)</f>
        <v>4.16</v>
      </c>
      <c r="Q21" s="414">
        <f t="shared" si="20"/>
        <v>9.4247652971158811</v>
      </c>
      <c r="R21" s="417">
        <f t="shared" si="21"/>
        <v>9.7948123754994452</v>
      </c>
      <c r="S21" s="415">
        <f t="shared" ref="S21:S28" si="24">37000/1.73/SQRT(POWER((G21+P21),2)+O21*O21)</f>
        <v>2269.2642800918393</v>
      </c>
      <c r="T21" s="480">
        <f t="shared" ref="T21:T28" si="25">37000/2/SQRT(O21*O21+POWER((H21+P21),2))</f>
        <v>1888.754913394313</v>
      </c>
      <c r="U21" s="1043">
        <v>1</v>
      </c>
      <c r="V21" s="416" t="s">
        <v>191</v>
      </c>
      <c r="W21" s="416">
        <v>10</v>
      </c>
      <c r="X21" s="416">
        <v>11</v>
      </c>
      <c r="Y21" s="416">
        <v>36.75</v>
      </c>
      <c r="Z21" s="416">
        <v>6.3</v>
      </c>
      <c r="AA21" s="417">
        <v>8.5</v>
      </c>
      <c r="AB21" s="471"/>
      <c r="AC21" s="416">
        <v>12</v>
      </c>
      <c r="AD21" s="537">
        <f t="shared" si="22"/>
        <v>11.47978125</v>
      </c>
      <c r="AE21" s="1054">
        <f t="shared" ref="AE21:AE28" si="26">SQRT(POWER(O21,2)+POWER(P21+AD21+G21,2))</f>
        <v>20.704384808167347</v>
      </c>
      <c r="AF21" s="537">
        <f t="shared" ref="AF21:AF28" si="27">SQRT(POWER(O21,2)+POWER(P21+AD21+H21,2))</f>
        <v>21.085690014847149</v>
      </c>
      <c r="AG21" s="157">
        <f t="shared" si="17"/>
        <v>0.60845539028083639</v>
      </c>
      <c r="AH21" s="637">
        <f t="shared" si="18"/>
        <v>0.61966109431387539</v>
      </c>
      <c r="AI21" s="1095">
        <f t="shared" si="11"/>
        <v>1032.9832755309631</v>
      </c>
      <c r="AJ21" s="1096">
        <f t="shared" si="8"/>
        <v>877.3722836185832</v>
      </c>
      <c r="AK21" s="482">
        <f t="shared" si="23"/>
        <v>731.1435696821527</v>
      </c>
      <c r="AL21" s="483">
        <f t="shared" ref="AL21:AL28" si="28">AJ21/1.5</f>
        <v>584.91485574572209</v>
      </c>
      <c r="AM21" s="415">
        <f t="shared" si="13"/>
        <v>5977.9348724576521</v>
      </c>
      <c r="AN21" s="481">
        <f t="shared" si="14"/>
        <v>5083.4238729928047</v>
      </c>
    </row>
    <row r="22" spans="1:40" ht="13.5" thickBot="1" x14ac:dyDescent="0.25">
      <c r="A22" s="472">
        <v>3</v>
      </c>
      <c r="B22" s="2384"/>
      <c r="C22" s="2496"/>
      <c r="D22" s="473">
        <v>1.2</v>
      </c>
      <c r="E22" s="610" t="s">
        <v>35</v>
      </c>
      <c r="F22" s="2085" t="s">
        <v>46</v>
      </c>
      <c r="G22" s="2145">
        <f>Мартыновская!G16</f>
        <v>4.8982573492001933</v>
      </c>
      <c r="H22" s="2136">
        <f>Мартыновская!H16</f>
        <v>5.2312064066132784</v>
      </c>
      <c r="I22" s="475"/>
      <c r="J22" s="439">
        <v>10.4</v>
      </c>
      <c r="K22" s="476"/>
      <c r="L22" s="477"/>
      <c r="M22" s="436"/>
      <c r="N22" s="474"/>
      <c r="O22" s="442">
        <f>0.314*I22+0.249*J22+0.195*L22+0.159*M22+0.06*N22</f>
        <v>2.5895999999999999</v>
      </c>
      <c r="P22" s="436">
        <f>0.4*SUM(I22:N22)</f>
        <v>4.16</v>
      </c>
      <c r="Q22" s="443">
        <f t="shared" si="20"/>
        <v>9.42114931228347</v>
      </c>
      <c r="R22" s="444">
        <f t="shared" si="21"/>
        <v>9.7417034409601229</v>
      </c>
      <c r="S22" s="445">
        <f t="shared" si="24"/>
        <v>2270.1352593052611</v>
      </c>
      <c r="T22" s="484">
        <f t="shared" si="25"/>
        <v>1899.0518559838931</v>
      </c>
      <c r="U22" s="1034">
        <v>2</v>
      </c>
      <c r="V22" s="436" t="s">
        <v>191</v>
      </c>
      <c r="W22" s="436">
        <v>10</v>
      </c>
      <c r="X22" s="436">
        <v>11</v>
      </c>
      <c r="Y22" s="436">
        <v>36.75</v>
      </c>
      <c r="Z22" s="436">
        <v>6.3</v>
      </c>
      <c r="AA22" s="444">
        <v>8.11</v>
      </c>
      <c r="AB22" s="478"/>
      <c r="AC22" s="436">
        <v>12</v>
      </c>
      <c r="AD22" s="527">
        <f t="shared" si="22"/>
        <v>10.953061875</v>
      </c>
      <c r="AE22" s="1023">
        <f t="shared" si="26"/>
        <v>20.178179433557535</v>
      </c>
      <c r="AF22" s="527">
        <f t="shared" si="27"/>
        <v>20.508419736153638</v>
      </c>
      <c r="AG22" s="175">
        <f t="shared" si="17"/>
        <v>0.59299139559842551</v>
      </c>
      <c r="AH22" s="642">
        <f t="shared" si="18"/>
        <v>0.60269641673594365</v>
      </c>
      <c r="AI22" s="1097">
        <f t="shared" si="11"/>
        <v>1059.9213525391626</v>
      </c>
      <c r="AJ22" s="1098">
        <f t="shared" si="8"/>
        <v>902.0685278538034</v>
      </c>
      <c r="AK22" s="445">
        <f t="shared" si="23"/>
        <v>751.72377321150282</v>
      </c>
      <c r="AL22" s="484">
        <f t="shared" si="28"/>
        <v>601.37901856920223</v>
      </c>
      <c r="AM22" s="445">
        <f t="shared" si="13"/>
        <v>6133.8271059127319</v>
      </c>
      <c r="AN22" s="451">
        <f t="shared" si="14"/>
        <v>5226.5119096934895</v>
      </c>
    </row>
    <row r="23" spans="1:40" ht="12.75" customHeight="1" x14ac:dyDescent="0.2">
      <c r="A23" s="694">
        <v>3</v>
      </c>
      <c r="B23" s="2374" t="s">
        <v>102</v>
      </c>
      <c r="C23" s="2486" t="s">
        <v>345</v>
      </c>
      <c r="D23" s="695">
        <v>2.2999999999999998</v>
      </c>
      <c r="E23" s="696" t="s">
        <v>35</v>
      </c>
      <c r="F23" s="697" t="s">
        <v>100</v>
      </c>
      <c r="G23" s="2141">
        <f>'СР6 перевод на Баграс'!G5</f>
        <v>8.2869415032183689</v>
      </c>
      <c r="H23" s="2142">
        <f>'СР6 перевод на Баграс'!H5</f>
        <v>9.0895455227238635</v>
      </c>
      <c r="I23" s="734"/>
      <c r="J23" s="698">
        <v>18.920000000000002</v>
      </c>
      <c r="K23" s="698"/>
      <c r="L23" s="579"/>
      <c r="M23" s="579"/>
      <c r="N23" s="699"/>
      <c r="O23" s="578">
        <f>0.314*I23+0.249*J23+0.025*K23+0.195*L23+0.159*M23+0.06*N23</f>
        <v>4.7110800000000008</v>
      </c>
      <c r="P23" s="579">
        <f>0.4*J23+0.04725*K23</f>
        <v>7.5680000000000014</v>
      </c>
      <c r="Q23" s="580">
        <f t="shared" ref="Q23:Q28" si="29">SQRT(POWER(O23,2)+POWER(P23+G23,2))</f>
        <v>16.540055768856295</v>
      </c>
      <c r="R23" s="581">
        <f t="shared" ref="R23:R28" si="30">SQRT(POWER(O23,2)+POWER(P23+H23,2))</f>
        <v>17.310924227435631</v>
      </c>
      <c r="S23" s="582">
        <f t="shared" si="24"/>
        <v>1293.0599228851995</v>
      </c>
      <c r="T23" s="1020">
        <f t="shared" si="25"/>
        <v>1068.6893291739925</v>
      </c>
      <c r="U23" s="1035">
        <v>1</v>
      </c>
      <c r="V23" s="579" t="s">
        <v>191</v>
      </c>
      <c r="W23" s="579">
        <v>10</v>
      </c>
      <c r="X23" s="579">
        <v>11</v>
      </c>
      <c r="Y23" s="579">
        <v>36.75</v>
      </c>
      <c r="Z23" s="579">
        <v>6.3</v>
      </c>
      <c r="AA23" s="581">
        <v>14.3</v>
      </c>
      <c r="AB23" s="579" t="s">
        <v>74</v>
      </c>
      <c r="AC23" s="579">
        <v>12</v>
      </c>
      <c r="AD23" s="583">
        <f t="shared" ref="AD23:AD28" si="31">AA23/100*Y23*Y23/W23</f>
        <v>19.313043749999999</v>
      </c>
      <c r="AE23" s="1055">
        <f t="shared" si="26"/>
        <v>35.482128762758649</v>
      </c>
      <c r="AF23" s="700">
        <f t="shared" si="27"/>
        <v>36.277783385887801</v>
      </c>
      <c r="AG23" s="139">
        <f t="shared" ref="AG23:AG28" si="32">SQRT(POWER((AD23+P23+G23),2)+POWER(O23,2))*POWER(6.3/Y23,2)</f>
        <v>1.0427401105790297</v>
      </c>
      <c r="AH23" s="633">
        <f t="shared" ref="AH23:AH28" si="33">SQRT(POWER((H23+P23+AD23),2)+POWER(O23,2))*POWER(6.3/Y23,2)</f>
        <v>1.0661226137893558</v>
      </c>
      <c r="AI23" s="808">
        <f t="shared" si="11"/>
        <v>602.76212230653687</v>
      </c>
      <c r="AJ23" s="582">
        <f t="shared" si="8"/>
        <v>509.95397936017702</v>
      </c>
      <c r="AK23" s="727">
        <f t="shared" si="23"/>
        <v>424.96164946681421</v>
      </c>
      <c r="AL23" s="582">
        <f t="shared" si="28"/>
        <v>339.96931957345134</v>
      </c>
      <c r="AM23" s="582">
        <f t="shared" si="13"/>
        <v>3488.219796085968</v>
      </c>
      <c r="AN23" s="728">
        <f t="shared" si="14"/>
        <v>2954.6320087929175</v>
      </c>
    </row>
    <row r="24" spans="1:40" ht="12.75" customHeight="1" x14ac:dyDescent="0.2">
      <c r="A24" s="701">
        <v>3</v>
      </c>
      <c r="B24" s="2485"/>
      <c r="C24" s="2487"/>
      <c r="D24" s="702">
        <v>2.2999999999999998</v>
      </c>
      <c r="E24" s="703" t="s">
        <v>35</v>
      </c>
      <c r="F24" s="704" t="s">
        <v>100</v>
      </c>
      <c r="G24" s="2143">
        <f>'СР6 перевод на Баграс'!G6</f>
        <v>8.2967555031037516</v>
      </c>
      <c r="H24" s="2144">
        <f>'СР6 перевод на Баграс'!H6</f>
        <v>9.1031996394772428</v>
      </c>
      <c r="I24" s="735"/>
      <c r="J24" s="706">
        <v>18.920000000000002</v>
      </c>
      <c r="K24" s="706"/>
      <c r="L24" s="705"/>
      <c r="M24" s="705"/>
      <c r="N24" s="707"/>
      <c r="O24" s="708">
        <f>0.314*I24+0.249*J24+0.025*K24+0.195*L24+0.159*M24+0.06*N24</f>
        <v>4.7110800000000008</v>
      </c>
      <c r="P24" s="705">
        <f>0.4*J24+0.04725*K24</f>
        <v>7.5680000000000014</v>
      </c>
      <c r="Q24" s="709">
        <f t="shared" si="29"/>
        <v>16.549463494012755</v>
      </c>
      <c r="R24" s="710">
        <f t="shared" si="30"/>
        <v>17.324063385525527</v>
      </c>
      <c r="S24" s="599">
        <f t="shared" si="24"/>
        <v>1292.3248687023411</v>
      </c>
      <c r="T24" s="1052">
        <f t="shared" si="25"/>
        <v>1067.878798888313</v>
      </c>
      <c r="U24" s="1057">
        <v>2</v>
      </c>
      <c r="V24" s="705" t="s">
        <v>191</v>
      </c>
      <c r="W24" s="705">
        <v>10</v>
      </c>
      <c r="X24" s="705">
        <v>11</v>
      </c>
      <c r="Y24" s="705">
        <v>36.75</v>
      </c>
      <c r="Z24" s="705">
        <v>6.3</v>
      </c>
      <c r="AA24" s="710">
        <v>8.1300000000000008</v>
      </c>
      <c r="AB24" s="705" t="s">
        <v>74</v>
      </c>
      <c r="AC24" s="705">
        <v>12</v>
      </c>
      <c r="AD24" s="711">
        <f t="shared" si="31"/>
        <v>10.980073125000001</v>
      </c>
      <c r="AE24" s="912">
        <f t="shared" si="26"/>
        <v>27.25507473551777</v>
      </c>
      <c r="AF24" s="711">
        <f t="shared" si="27"/>
        <v>28.049726563050861</v>
      </c>
      <c r="AG24" s="157">
        <f t="shared" si="32"/>
        <v>0.8009654616152162</v>
      </c>
      <c r="AH24" s="637">
        <f t="shared" si="33"/>
        <v>0.82431849491414777</v>
      </c>
      <c r="AI24" s="924">
        <f t="shared" si="11"/>
        <v>784.70829541051046</v>
      </c>
      <c r="AJ24" s="716">
        <f t="shared" si="8"/>
        <v>659.54297124484435</v>
      </c>
      <c r="AK24" s="716">
        <f t="shared" si="23"/>
        <v>549.61914270403702</v>
      </c>
      <c r="AL24" s="729">
        <f t="shared" si="28"/>
        <v>439.69531416322957</v>
      </c>
      <c r="AM24" s="716">
        <f t="shared" si="13"/>
        <v>4541.1529837500093</v>
      </c>
      <c r="AN24" s="730">
        <f t="shared" si="14"/>
        <v>3821.3384989355</v>
      </c>
    </row>
    <row r="25" spans="1:40" ht="12.75" customHeight="1" x14ac:dyDescent="0.2">
      <c r="A25" s="701">
        <v>3</v>
      </c>
      <c r="B25" s="2488" t="s">
        <v>155</v>
      </c>
      <c r="C25" s="2489" t="s">
        <v>345</v>
      </c>
      <c r="D25" s="702">
        <v>2.2999999999999998</v>
      </c>
      <c r="E25" s="703" t="s">
        <v>35</v>
      </c>
      <c r="F25" s="704" t="s">
        <v>100</v>
      </c>
      <c r="G25" s="2145">
        <f>'СР6 перевод на Баграс'!G5</f>
        <v>8.2869415032183689</v>
      </c>
      <c r="H25" s="2136">
        <f>'СР6 перевод на Баграс'!H5</f>
        <v>9.0895455227238635</v>
      </c>
      <c r="I25" s="735"/>
      <c r="J25" s="706">
        <v>18.582000000000001</v>
      </c>
      <c r="K25" s="706"/>
      <c r="L25" s="705"/>
      <c r="M25" s="705"/>
      <c r="N25" s="707"/>
      <c r="O25" s="708">
        <f>0.314*I25+0.249*J25+0.025*K25+0.195*L25+0.159*M25+0.06*N25</f>
        <v>4.6269179999999999</v>
      </c>
      <c r="P25" s="705">
        <f>0.4*J25+0.04725*K25</f>
        <v>7.4328000000000003</v>
      </c>
      <c r="Q25" s="709">
        <f t="shared" si="29"/>
        <v>16.386538472378177</v>
      </c>
      <c r="R25" s="710">
        <f t="shared" si="30"/>
        <v>17.157979827211516</v>
      </c>
      <c r="S25" s="599">
        <f t="shared" si="24"/>
        <v>1305.1739556249481</v>
      </c>
      <c r="T25" s="1052">
        <f t="shared" si="25"/>
        <v>1078.2155117504055</v>
      </c>
      <c r="U25" s="1057">
        <v>1</v>
      </c>
      <c r="V25" s="705" t="s">
        <v>191</v>
      </c>
      <c r="W25" s="705">
        <v>10</v>
      </c>
      <c r="X25" s="705">
        <v>11</v>
      </c>
      <c r="Y25" s="705">
        <v>35</v>
      </c>
      <c r="Z25" s="705">
        <v>6.3</v>
      </c>
      <c r="AA25" s="710">
        <v>8.1199999999999992</v>
      </c>
      <c r="AB25" s="705" t="s">
        <v>103</v>
      </c>
      <c r="AC25" s="705"/>
      <c r="AD25" s="711">
        <f t="shared" si="31"/>
        <v>9.9469999999999992</v>
      </c>
      <c r="AE25" s="912">
        <f t="shared" si="26"/>
        <v>26.080452250138539</v>
      </c>
      <c r="AF25" s="711">
        <f t="shared" si="27"/>
        <v>26.870701936869192</v>
      </c>
      <c r="AG25" s="157">
        <f t="shared" si="32"/>
        <v>0.84500665290448862</v>
      </c>
      <c r="AH25" s="637">
        <f t="shared" si="33"/>
        <v>0.87061074275456174</v>
      </c>
      <c r="AI25" s="924">
        <f t="shared" si="11"/>
        <v>820.05032090195482</v>
      </c>
      <c r="AJ25" s="716">
        <f t="shared" si="8"/>
        <v>688.48220055674165</v>
      </c>
      <c r="AK25" s="716">
        <f t="shared" si="23"/>
        <v>573.73516713061804</v>
      </c>
      <c r="AL25" s="729">
        <f t="shared" si="28"/>
        <v>458.98813370449443</v>
      </c>
      <c r="AM25" s="716">
        <f t="shared" si="13"/>
        <v>4304.4710753369282</v>
      </c>
      <c r="AN25" s="730">
        <f t="shared" si="14"/>
        <v>3618.1497026255192</v>
      </c>
    </row>
    <row r="26" spans="1:40" ht="12.75" customHeight="1" x14ac:dyDescent="0.2">
      <c r="A26" s="701">
        <v>3</v>
      </c>
      <c r="B26" s="2485"/>
      <c r="C26" s="2490"/>
      <c r="D26" s="702">
        <v>2.2999999999999998</v>
      </c>
      <c r="E26" s="703" t="s">
        <v>35</v>
      </c>
      <c r="F26" s="704" t="s">
        <v>100</v>
      </c>
      <c r="G26" s="2145">
        <f>'СР6 перевод на Баграс'!G6</f>
        <v>8.2967555031037516</v>
      </c>
      <c r="H26" s="2136">
        <f>'СР6 перевод на Баграс'!H6</f>
        <v>9.1031996394772428</v>
      </c>
      <c r="I26" s="735"/>
      <c r="J26" s="706">
        <v>18.582000000000001</v>
      </c>
      <c r="K26" s="706"/>
      <c r="L26" s="705"/>
      <c r="M26" s="705"/>
      <c r="N26" s="707"/>
      <c r="O26" s="708">
        <f>0.314*I26+0.249*J26+0.025*K26+0.195*L26+0.159*M26+0.06*N26</f>
        <v>4.6269179999999999</v>
      </c>
      <c r="P26" s="705">
        <f>0.4*J26+0.04725*K26</f>
        <v>7.4328000000000003</v>
      </c>
      <c r="Q26" s="709">
        <f t="shared" si="29"/>
        <v>16.395953357580204</v>
      </c>
      <c r="R26" s="710">
        <f t="shared" si="30"/>
        <v>17.17112850850274</v>
      </c>
      <c r="S26" s="599">
        <f t="shared" si="24"/>
        <v>1304.4244985672892</v>
      </c>
      <c r="T26" s="1052">
        <f t="shared" si="25"/>
        <v>1077.3898751523077</v>
      </c>
      <c r="U26" s="1057">
        <v>2</v>
      </c>
      <c r="V26" s="705" t="s">
        <v>191</v>
      </c>
      <c r="W26" s="705">
        <v>10</v>
      </c>
      <c r="X26" s="705">
        <v>11</v>
      </c>
      <c r="Y26" s="705">
        <v>35</v>
      </c>
      <c r="Z26" s="705">
        <v>6.3</v>
      </c>
      <c r="AA26" s="710">
        <v>8.0500000000000007</v>
      </c>
      <c r="AB26" s="705" t="s">
        <v>104</v>
      </c>
      <c r="AC26" s="705"/>
      <c r="AD26" s="711">
        <f t="shared" si="31"/>
        <v>9.8612500000000001</v>
      </c>
      <c r="AE26" s="912">
        <f t="shared" si="26"/>
        <v>26.005724302091824</v>
      </c>
      <c r="AF26" s="711">
        <f t="shared" si="27"/>
        <v>26.799685794941801</v>
      </c>
      <c r="AG26" s="157">
        <f t="shared" si="32"/>
        <v>0.84258546738777507</v>
      </c>
      <c r="AH26" s="637">
        <f t="shared" si="33"/>
        <v>0.86830981975611443</v>
      </c>
      <c r="AI26" s="924">
        <f t="shared" si="11"/>
        <v>822.40675124260576</v>
      </c>
      <c r="AJ26" s="716">
        <f t="shared" si="8"/>
        <v>690.30660066513565</v>
      </c>
      <c r="AK26" s="716">
        <f t="shared" si="23"/>
        <v>575.25550055427971</v>
      </c>
      <c r="AL26" s="729">
        <f t="shared" si="28"/>
        <v>460.20440044342376</v>
      </c>
      <c r="AM26" s="716">
        <f t="shared" si="13"/>
        <v>4316.8400556102633</v>
      </c>
      <c r="AN26" s="730">
        <f t="shared" si="14"/>
        <v>3627.7373908828449</v>
      </c>
    </row>
    <row r="27" spans="1:40" x14ac:dyDescent="0.2">
      <c r="A27" s="701">
        <v>3</v>
      </c>
      <c r="B27" s="2488" t="s">
        <v>154</v>
      </c>
      <c r="C27" s="2487" t="s">
        <v>341</v>
      </c>
      <c r="D27" s="713">
        <v>2.2999999999999998</v>
      </c>
      <c r="E27" s="703" t="s">
        <v>35</v>
      </c>
      <c r="F27" s="704" t="s">
        <v>100</v>
      </c>
      <c r="G27" s="2145">
        <f>'СР6 перевод на Баграс'!G5</f>
        <v>8.2869415032183689</v>
      </c>
      <c r="H27" s="2136">
        <f>'СР6 перевод на Баграс'!H5</f>
        <v>9.0895455227238635</v>
      </c>
      <c r="I27" s="736"/>
      <c r="J27" s="706">
        <v>19.739999999999998</v>
      </c>
      <c r="K27" s="714"/>
      <c r="L27" s="715"/>
      <c r="M27" s="705"/>
      <c r="N27" s="707"/>
      <c r="O27" s="708">
        <f>0.314*I27+0.249*J27+0.195*L27+0.159*M27+0.06*N27</f>
        <v>4.91526</v>
      </c>
      <c r="P27" s="705">
        <f>0.4*SUM(I27:N27)</f>
        <v>7.8959999999999999</v>
      </c>
      <c r="Q27" s="709">
        <f t="shared" si="29"/>
        <v>16.912935184768717</v>
      </c>
      <c r="R27" s="710">
        <f t="shared" si="30"/>
        <v>17.682435849512498</v>
      </c>
      <c r="S27" s="716">
        <f t="shared" si="24"/>
        <v>1264.5518358194245</v>
      </c>
      <c r="T27" s="729">
        <f t="shared" si="25"/>
        <v>1046.23594607923</v>
      </c>
      <c r="U27" s="1057">
        <v>1</v>
      </c>
      <c r="V27" s="705" t="s">
        <v>191</v>
      </c>
      <c r="W27" s="705">
        <v>10</v>
      </c>
      <c r="X27" s="705">
        <v>11</v>
      </c>
      <c r="Y27" s="705">
        <v>36.75</v>
      </c>
      <c r="Z27" s="705">
        <v>6.3</v>
      </c>
      <c r="AA27" s="710">
        <v>8.5</v>
      </c>
      <c r="AB27" s="717"/>
      <c r="AC27" s="705">
        <v>12</v>
      </c>
      <c r="AD27" s="718">
        <f t="shared" si="31"/>
        <v>11.47978125</v>
      </c>
      <c r="AE27" s="1056">
        <f t="shared" si="26"/>
        <v>28.096014147722542</v>
      </c>
      <c r="AF27" s="718">
        <f t="shared" si="27"/>
        <v>28.886581818303632</v>
      </c>
      <c r="AG27" s="157">
        <f t="shared" si="32"/>
        <v>0.82567878311674414</v>
      </c>
      <c r="AH27" s="637">
        <f t="shared" si="33"/>
        <v>0.84891179221137214</v>
      </c>
      <c r="AI27" s="924">
        <f t="shared" si="11"/>
        <v>761.22125809535396</v>
      </c>
      <c r="AJ27" s="716">
        <f t="shared" si="8"/>
        <v>640.43576067133358</v>
      </c>
      <c r="AK27" s="731">
        <f t="shared" si="23"/>
        <v>533.69646722611139</v>
      </c>
      <c r="AL27" s="732">
        <f t="shared" si="28"/>
        <v>426.95717378088904</v>
      </c>
      <c r="AM27" s="716">
        <f t="shared" si="13"/>
        <v>4405.232119644229</v>
      </c>
      <c r="AN27" s="730">
        <f t="shared" si="14"/>
        <v>3710.6328701058678</v>
      </c>
    </row>
    <row r="28" spans="1:40" ht="13.5" thickBot="1" x14ac:dyDescent="0.25">
      <c r="A28" s="719">
        <v>3</v>
      </c>
      <c r="B28" s="2375"/>
      <c r="C28" s="2491"/>
      <c r="D28" s="720">
        <v>2.2999999999999998</v>
      </c>
      <c r="E28" s="721" t="s">
        <v>35</v>
      </c>
      <c r="F28" s="722" t="s">
        <v>100</v>
      </c>
      <c r="G28" s="2139">
        <f>'СР6 перевод на Баграс'!G6</f>
        <v>8.2967555031037516</v>
      </c>
      <c r="H28" s="2146">
        <f>'СР6 перевод на Баграс'!H6</f>
        <v>9.1031996394772428</v>
      </c>
      <c r="I28" s="737"/>
      <c r="J28" s="590">
        <v>19.739999999999998</v>
      </c>
      <c r="K28" s="724"/>
      <c r="L28" s="725"/>
      <c r="M28" s="588"/>
      <c r="N28" s="723"/>
      <c r="O28" s="593">
        <f>0.314*I28+0.249*J28+0.195*L28+0.159*M28+0.06*N28</f>
        <v>4.91526</v>
      </c>
      <c r="P28" s="588">
        <f>0.4*SUM(I28:N28)</f>
        <v>7.8959999999999999</v>
      </c>
      <c r="Q28" s="594">
        <f t="shared" si="29"/>
        <v>16.922325834556453</v>
      </c>
      <c r="R28" s="595">
        <f t="shared" si="30"/>
        <v>17.695552244855293</v>
      </c>
      <c r="S28" s="596">
        <f t="shared" si="24"/>
        <v>1263.8501022903154</v>
      </c>
      <c r="T28" s="733">
        <f t="shared" si="25"/>
        <v>1045.4604492707249</v>
      </c>
      <c r="U28" s="1036">
        <v>2</v>
      </c>
      <c r="V28" s="588" t="s">
        <v>191</v>
      </c>
      <c r="W28" s="588">
        <v>10</v>
      </c>
      <c r="X28" s="588">
        <v>11</v>
      </c>
      <c r="Y28" s="588">
        <v>36.75</v>
      </c>
      <c r="Z28" s="588">
        <v>6.3</v>
      </c>
      <c r="AA28" s="595">
        <v>8.11</v>
      </c>
      <c r="AB28" s="726"/>
      <c r="AC28" s="588">
        <v>12</v>
      </c>
      <c r="AD28" s="597">
        <f t="shared" si="31"/>
        <v>10.953061875</v>
      </c>
      <c r="AE28" s="1024">
        <f t="shared" si="26"/>
        <v>27.587228602977856</v>
      </c>
      <c r="AF28" s="597">
        <f t="shared" si="27"/>
        <v>28.381132899187193</v>
      </c>
      <c r="AG28" s="175">
        <f t="shared" si="32"/>
        <v>0.81072671812832886</v>
      </c>
      <c r="AH28" s="642">
        <f t="shared" si="33"/>
        <v>0.83405778315978696</v>
      </c>
      <c r="AI28" s="1091">
        <f t="shared" si="11"/>
        <v>775.26030413528406</v>
      </c>
      <c r="AJ28" s="596">
        <f t="shared" si="8"/>
        <v>651.84149151881888</v>
      </c>
      <c r="AK28" s="596">
        <f t="shared" si="23"/>
        <v>543.20124293234915</v>
      </c>
      <c r="AL28" s="733">
        <f t="shared" si="28"/>
        <v>434.56099434587924</v>
      </c>
      <c r="AM28" s="596">
        <f t="shared" si="13"/>
        <v>4486.4769034525616</v>
      </c>
      <c r="AN28" s="602">
        <f t="shared" si="14"/>
        <v>3776.7167498472104</v>
      </c>
    </row>
    <row r="29" spans="1:40" x14ac:dyDescent="0.2">
      <c r="O29" s="188"/>
    </row>
    <row r="30" spans="1:40" ht="15.75" x14ac:dyDescent="0.2">
      <c r="B30" s="192" t="s">
        <v>158</v>
      </c>
      <c r="C30" s="192"/>
      <c r="D30" s="192"/>
      <c r="E30" s="2378">
        <v>42647</v>
      </c>
      <c r="F30" s="2378"/>
      <c r="G30" s="188" t="s">
        <v>337</v>
      </c>
    </row>
    <row r="31" spans="1:40" ht="15.75" customHeight="1" x14ac:dyDescent="0.2">
      <c r="B31" s="185" t="s">
        <v>328</v>
      </c>
      <c r="E31" s="2380" t="s">
        <v>189</v>
      </c>
      <c r="F31" s="2380"/>
      <c r="G31" s="188" t="s">
        <v>391</v>
      </c>
    </row>
  </sheetData>
  <mergeCells count="54">
    <mergeCell ref="B27:B28"/>
    <mergeCell ref="C27:C28"/>
    <mergeCell ref="C17:C18"/>
    <mergeCell ref="C19:C20"/>
    <mergeCell ref="C21:C22"/>
    <mergeCell ref="A1:AN1"/>
    <mergeCell ref="B23:B24"/>
    <mergeCell ref="C23:C24"/>
    <mergeCell ref="B25:B26"/>
    <mergeCell ref="C25:C26"/>
    <mergeCell ref="B15:B16"/>
    <mergeCell ref="B17:B18"/>
    <mergeCell ref="B19:B20"/>
    <mergeCell ref="B21:B22"/>
    <mergeCell ref="C2:C4"/>
    <mergeCell ref="C5:C6"/>
    <mergeCell ref="C7:C8"/>
    <mergeCell ref="C9:C10"/>
    <mergeCell ref="C11:C12"/>
    <mergeCell ref="C13:C14"/>
    <mergeCell ref="C15:C16"/>
    <mergeCell ref="B5:B6"/>
    <mergeCell ref="B7:B8"/>
    <mergeCell ref="B9:B10"/>
    <mergeCell ref="B11:B12"/>
    <mergeCell ref="B13:B14"/>
    <mergeCell ref="U2:U4"/>
    <mergeCell ref="V2:V4"/>
    <mergeCell ref="AM2:AN2"/>
    <mergeCell ref="AK2:AK3"/>
    <mergeCell ref="AL2:AL3"/>
    <mergeCell ref="AE2:AF2"/>
    <mergeCell ref="AG2:AH2"/>
    <mergeCell ref="AA2:AA3"/>
    <mergeCell ref="AB2:AB3"/>
    <mergeCell ref="AD2:AD3"/>
    <mergeCell ref="A2:A4"/>
    <mergeCell ref="S2:T2"/>
    <mergeCell ref="B2:B4"/>
    <mergeCell ref="E2:E4"/>
    <mergeCell ref="F2:F4"/>
    <mergeCell ref="I2:N2"/>
    <mergeCell ref="O2:P3"/>
    <mergeCell ref="AI2:AJ2"/>
    <mergeCell ref="W2:W3"/>
    <mergeCell ref="X2:X4"/>
    <mergeCell ref="Y2:Y3"/>
    <mergeCell ref="Z2:Z3"/>
    <mergeCell ref="AC2:AC3"/>
    <mergeCell ref="Q2:R2"/>
    <mergeCell ref="D2:D4"/>
    <mergeCell ref="E30:F30"/>
    <mergeCell ref="E31:F31"/>
    <mergeCell ref="G2:H2"/>
  </mergeCells>
  <phoneticPr fontId="0" type="noConversion"/>
  <pageMargins left="0.27559055118110237" right="0.27559055118110237" top="0.39370078740157483" bottom="0.31496062992125984" header="0.35433070866141736" footer="0.15748031496062992"/>
  <pageSetup paperSize="9" scale="76" orientation="landscape" r:id="rId1"/>
  <headerFooter>
    <oddFooter>&amp;L&amp;Z&amp;F</oddFooter>
  </headerFooter>
  <ignoredErrors>
    <ignoredError sqref="P5:P8 P11:P1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30DB-6DA6-4016-A93D-DF30A10053EE}">
  <sheetPr codeName="Лист6"/>
  <dimension ref="A1:AN154"/>
  <sheetViews>
    <sheetView zoomScaleNormal="100" workbookViewId="0">
      <selection activeCell="Z52" sqref="Z52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00" hidden="1" customWidth="1"/>
    <col min="4" max="4" width="5.140625" style="186" customWidth="1"/>
    <col min="5" max="5" width="3.140625" style="186" customWidth="1"/>
    <col min="6" max="6" width="15.7109375" style="100" customWidth="1"/>
    <col min="7" max="8" width="7" style="100" hidden="1" customWidth="1"/>
    <col min="9" max="10" width="5.5703125" style="188" hidden="1" customWidth="1"/>
    <col min="11" max="11" width="5.5703125" style="189" hidden="1" customWidth="1"/>
    <col min="12" max="15" width="5.5703125" style="186" hidden="1" customWidth="1"/>
    <col min="16" max="17" width="6.7109375" style="100" hidden="1" customWidth="1"/>
    <col min="18" max="19" width="6.7109375" style="190" hidden="1" customWidth="1"/>
    <col min="20" max="20" width="3.5703125" style="186" customWidth="1"/>
    <col min="21" max="21" width="15.85546875" style="100" customWidth="1"/>
    <col min="22" max="22" width="5.7109375" style="100" customWidth="1"/>
    <col min="23" max="23" width="7.42578125" style="100" customWidth="1"/>
    <col min="24" max="26" width="5.85546875" style="100" customWidth="1"/>
    <col min="27" max="27" width="11.42578125" style="100" customWidth="1"/>
    <col min="28" max="28" width="6.140625" style="186" customWidth="1"/>
    <col min="29" max="29" width="6.140625" style="100" customWidth="1"/>
    <col min="30" max="33" width="6.7109375" style="100" customWidth="1"/>
    <col min="34" max="35" width="11.5703125" style="190" customWidth="1"/>
    <col min="36" max="36" width="6.7109375" style="191" customWidth="1"/>
    <col min="37" max="37" width="6.7109375" style="190" customWidth="1"/>
    <col min="38" max="39" width="6.7109375" style="100" customWidth="1"/>
    <col min="40" max="41" width="9.140625" style="100"/>
    <col min="42" max="42" width="9.140625" style="100" customWidth="1"/>
    <col min="43" max="16384" width="9.140625" style="100"/>
  </cols>
  <sheetData>
    <row r="1" spans="1:39" ht="36.75" customHeight="1" thickBot="1" x14ac:dyDescent="0.25">
      <c r="A1" s="2302" t="s">
        <v>346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345"/>
      <c r="AI1" s="345"/>
      <c r="AJ1" s="345"/>
      <c r="AK1" s="345"/>
      <c r="AL1" s="345"/>
      <c r="AM1" s="269"/>
    </row>
    <row r="2" spans="1:39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2"/>
      <c r="N2" s="2323" t="s">
        <v>8</v>
      </c>
      <c r="O2" s="2324"/>
      <c r="P2" s="2327" t="s">
        <v>385</v>
      </c>
      <c r="Q2" s="2327"/>
      <c r="R2" s="2328" t="s">
        <v>388</v>
      </c>
      <c r="S2" s="2329"/>
      <c r="T2" s="2330" t="s">
        <v>9</v>
      </c>
      <c r="U2" s="2333" t="s">
        <v>10</v>
      </c>
      <c r="V2" s="2341" t="s">
        <v>12</v>
      </c>
      <c r="W2" s="2338" t="s">
        <v>13</v>
      </c>
      <c r="X2" s="2341" t="s">
        <v>335</v>
      </c>
      <c r="Y2" s="2341" t="s">
        <v>336</v>
      </c>
      <c r="Z2" s="2460" t="s">
        <v>16</v>
      </c>
      <c r="AA2" s="2341" t="s">
        <v>17</v>
      </c>
      <c r="AB2" s="2506" t="s">
        <v>18</v>
      </c>
      <c r="AC2" s="2345" t="s">
        <v>19</v>
      </c>
      <c r="AD2" s="2321" t="s">
        <v>386</v>
      </c>
      <c r="AE2" s="2321"/>
      <c r="AF2" s="2347" t="s">
        <v>387</v>
      </c>
      <c r="AG2" s="2348"/>
      <c r="AH2" s="2349" t="s">
        <v>382</v>
      </c>
      <c r="AI2" s="2350"/>
      <c r="AJ2" s="2351" t="s">
        <v>20</v>
      </c>
      <c r="AK2" s="2351" t="s">
        <v>21</v>
      </c>
      <c r="AL2" s="2349" t="s">
        <v>383</v>
      </c>
      <c r="AM2" s="2353"/>
    </row>
    <row r="3" spans="1:39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400" t="s">
        <v>24</v>
      </c>
      <c r="J3" s="401" t="s">
        <v>25</v>
      </c>
      <c r="K3" s="402" t="s">
        <v>26</v>
      </c>
      <c r="L3" s="402" t="s">
        <v>27</v>
      </c>
      <c r="M3" s="403" t="s">
        <v>610</v>
      </c>
      <c r="N3" s="2325"/>
      <c r="O3" s="2326"/>
      <c r="P3" s="104" t="s">
        <v>216</v>
      </c>
      <c r="Q3" s="104" t="s">
        <v>217</v>
      </c>
      <c r="R3" s="105" t="s">
        <v>218</v>
      </c>
      <c r="S3" s="110" t="s">
        <v>219</v>
      </c>
      <c r="T3" s="2331"/>
      <c r="U3" s="2334"/>
      <c r="V3" s="2342"/>
      <c r="W3" s="2339"/>
      <c r="X3" s="2342"/>
      <c r="Y3" s="2342"/>
      <c r="Z3" s="2461"/>
      <c r="AA3" s="2342"/>
      <c r="AB3" s="2507"/>
      <c r="AC3" s="2346"/>
      <c r="AD3" s="1021" t="s">
        <v>216</v>
      </c>
      <c r="AE3" s="106" t="s">
        <v>217</v>
      </c>
      <c r="AF3" s="107" t="s">
        <v>216</v>
      </c>
      <c r="AG3" s="108" t="s">
        <v>217</v>
      </c>
      <c r="AH3" s="109" t="s">
        <v>218</v>
      </c>
      <c r="AI3" s="110" t="s">
        <v>219</v>
      </c>
      <c r="AJ3" s="2352"/>
      <c r="AK3" s="2352"/>
      <c r="AL3" s="105" t="s">
        <v>218</v>
      </c>
      <c r="AM3" s="111" t="s">
        <v>219</v>
      </c>
    </row>
    <row r="4" spans="1:39" s="101" customFormat="1" ht="13.5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6" t="s">
        <v>31</v>
      </c>
      <c r="M4" s="117" t="s">
        <v>31</v>
      </c>
      <c r="N4" s="118" t="s">
        <v>30</v>
      </c>
      <c r="O4" s="116" t="s">
        <v>30</v>
      </c>
      <c r="P4" s="116" t="s">
        <v>30</v>
      </c>
      <c r="Q4" s="116" t="s">
        <v>30</v>
      </c>
      <c r="R4" s="119" t="s">
        <v>35</v>
      </c>
      <c r="S4" s="1017" t="s">
        <v>35</v>
      </c>
      <c r="T4" s="2332"/>
      <c r="U4" s="2335"/>
      <c r="V4" s="120" t="s">
        <v>32</v>
      </c>
      <c r="W4" s="2340"/>
      <c r="X4" s="120" t="s">
        <v>33</v>
      </c>
      <c r="Y4" s="120" t="s">
        <v>33</v>
      </c>
      <c r="Z4" s="121" t="s">
        <v>34</v>
      </c>
      <c r="AA4" s="120" t="s">
        <v>35</v>
      </c>
      <c r="AB4" s="1044" t="s">
        <v>34</v>
      </c>
      <c r="AC4" s="1025" t="s">
        <v>30</v>
      </c>
      <c r="AD4" s="118" t="s">
        <v>30</v>
      </c>
      <c r="AE4" s="122" t="s">
        <v>30</v>
      </c>
      <c r="AF4" s="123" t="s">
        <v>30</v>
      </c>
      <c r="AG4" s="124" t="s">
        <v>30</v>
      </c>
      <c r="AH4" s="125" t="s">
        <v>35</v>
      </c>
      <c r="AI4" s="119" t="s">
        <v>35</v>
      </c>
      <c r="AJ4" s="119" t="s">
        <v>35</v>
      </c>
      <c r="AK4" s="119" t="s">
        <v>35</v>
      </c>
      <c r="AL4" s="119" t="s">
        <v>35</v>
      </c>
      <c r="AM4" s="126" t="s">
        <v>35</v>
      </c>
    </row>
    <row r="5" spans="1:39" ht="12.75" customHeight="1" x14ac:dyDescent="0.2">
      <c r="A5" s="144">
        <v>4</v>
      </c>
      <c r="B5" s="2306" t="s">
        <v>89</v>
      </c>
      <c r="C5" s="2482" t="s">
        <v>43</v>
      </c>
      <c r="D5" s="673">
        <v>1.4</v>
      </c>
      <c r="E5" s="145" t="s">
        <v>39</v>
      </c>
      <c r="F5" s="146" t="s">
        <v>65</v>
      </c>
      <c r="G5" s="152">
        <v>4.3529999999999998</v>
      </c>
      <c r="H5" s="162">
        <v>4.79</v>
      </c>
      <c r="I5" s="147">
        <v>0.6</v>
      </c>
      <c r="J5" s="148"/>
      <c r="K5" s="149">
        <v>5.7</v>
      </c>
      <c r="L5" s="149"/>
      <c r="M5" s="150"/>
      <c r="N5" s="534">
        <f t="shared" ref="N5:N12" si="0">0.314*I5+0.249*J5+0.195*K5+0.159*L5+0.06*M5</f>
        <v>1.2999000000000001</v>
      </c>
      <c r="O5" s="349">
        <f t="shared" ref="O5:O12" si="1">0.4*SUM(I5:M5)</f>
        <v>2.52</v>
      </c>
      <c r="P5" s="352">
        <f t="shared" ref="P5:P14" si="2">SQRT(POWER(N5,2)+POWER(O5+G5,2))</f>
        <v>6.9948458889385119</v>
      </c>
      <c r="Q5" s="353">
        <f t="shared" ref="Q5:Q12" si="3">SQRT(POWER(N5,2)+POWER(O5+H5,2))</f>
        <v>7.4246777714591774</v>
      </c>
      <c r="R5" s="354">
        <f t="shared" ref="R5:R36" si="4">37000/1.73/SQRT(POWER((G5+O5),2)+N5*N5)</f>
        <v>3057.5774758405437</v>
      </c>
      <c r="S5" s="357">
        <f t="shared" ref="S5:S36" si="5">37000/2/SQRT(N5*N5+POWER((H5+O5),2))</f>
        <v>2491.6906254322444</v>
      </c>
      <c r="T5" s="1026">
        <v>1</v>
      </c>
      <c r="U5" s="349" t="s">
        <v>85</v>
      </c>
      <c r="V5" s="349">
        <v>4</v>
      </c>
      <c r="W5" s="349">
        <v>11</v>
      </c>
      <c r="X5" s="349">
        <v>35</v>
      </c>
      <c r="Y5" s="349">
        <v>6.3</v>
      </c>
      <c r="Z5" s="353">
        <v>6.35</v>
      </c>
      <c r="AA5" s="349"/>
      <c r="AB5" s="930">
        <v>5</v>
      </c>
      <c r="AC5" s="528">
        <f t="shared" ref="AC5:AC12" si="6">Z5/100*X5*X5/V5</f>
        <v>19.446875000000002</v>
      </c>
      <c r="AD5" s="351">
        <f t="shared" ref="AD5:AD14" si="7">SQRT(POWER(N5,2)+POWER(O5+AC5+G5,2))</f>
        <v>26.351955525646009</v>
      </c>
      <c r="AE5" s="528">
        <f t="shared" ref="AE5:AE14" si="8">SQRT(POWER(N5,2)+POWER(O5+AC5+H5,2))</f>
        <v>26.788432200776981</v>
      </c>
      <c r="AF5" s="139">
        <f t="shared" ref="AF5:AF20" si="9">SQRT(POWER((AC5+O5+G5),2)+POWER(N5,2))*POWER(6.3/X5,2)</f>
        <v>0.85380335903093063</v>
      </c>
      <c r="AG5" s="140">
        <f t="shared" ref="AG5:AG20" si="10">SQRT(POWER((H5+O5+AC5),2)+POWER(N5,2))*POWER(6.3/X5,2)</f>
        <v>0.86794520330517411</v>
      </c>
      <c r="AH5" s="159">
        <f t="shared" ref="AH5:AH14" si="11">37000/1.73/SQRT(POWER((G5+O5+AC5),2)+N5*N5)</f>
        <v>811.6013711460572</v>
      </c>
      <c r="AI5" s="155">
        <f t="shared" ref="AI5:AI14" si="12">37000/2/SQRT(POWER((H5+O5+AC5),2)+N5*N5)</f>
        <v>690.59659263909521</v>
      </c>
      <c r="AJ5" s="155">
        <f t="shared" ref="AJ5:AJ12" si="13">AI5/1.2</f>
        <v>575.49716053257941</v>
      </c>
      <c r="AK5" s="155">
        <f t="shared" ref="AK5:AK12" si="14">AI5/1.5</f>
        <v>460.39772842606345</v>
      </c>
      <c r="AL5" s="155">
        <f t="shared" ref="AL5:AL36" si="15">6300/(1.73*AF5)</f>
        <v>4265.1723708876889</v>
      </c>
      <c r="AM5" s="160">
        <f t="shared" ref="AM5:AM36" si="16">6300/(2*AG5)</f>
        <v>3629.2613727279777</v>
      </c>
    </row>
    <row r="6" spans="1:39" ht="12.75" customHeight="1" x14ac:dyDescent="0.2">
      <c r="A6" s="144">
        <v>4</v>
      </c>
      <c r="B6" s="2359"/>
      <c r="C6" s="2363"/>
      <c r="D6" s="673">
        <v>1.4</v>
      </c>
      <c r="E6" s="145" t="s">
        <v>39</v>
      </c>
      <c r="F6" s="146" t="s">
        <v>65</v>
      </c>
      <c r="G6" s="152">
        <v>4.3529999999999998</v>
      </c>
      <c r="H6" s="162">
        <v>4.79</v>
      </c>
      <c r="I6" s="147">
        <v>0.6</v>
      </c>
      <c r="J6" s="148"/>
      <c r="K6" s="149">
        <v>5.7</v>
      </c>
      <c r="L6" s="149"/>
      <c r="M6" s="150"/>
      <c r="N6" s="273">
        <f t="shared" si="0"/>
        <v>1.2999000000000001</v>
      </c>
      <c r="O6" s="152">
        <f t="shared" si="1"/>
        <v>2.52</v>
      </c>
      <c r="P6" s="153">
        <f t="shared" si="2"/>
        <v>6.9948458889385119</v>
      </c>
      <c r="Q6" s="154">
        <f t="shared" si="3"/>
        <v>7.4246777714591774</v>
      </c>
      <c r="R6" s="137">
        <f t="shared" si="4"/>
        <v>3057.5774758405437</v>
      </c>
      <c r="S6" s="142">
        <f t="shared" si="5"/>
        <v>2491.6906254322444</v>
      </c>
      <c r="T6" s="1027">
        <v>2</v>
      </c>
      <c r="U6" s="152" t="s">
        <v>85</v>
      </c>
      <c r="V6" s="152">
        <v>4</v>
      </c>
      <c r="W6" s="152">
        <v>11</v>
      </c>
      <c r="X6" s="152">
        <v>35</v>
      </c>
      <c r="Y6" s="152">
        <v>6.3</v>
      </c>
      <c r="Z6" s="154">
        <v>6.35</v>
      </c>
      <c r="AA6" s="152"/>
      <c r="AB6" s="162">
        <v>5</v>
      </c>
      <c r="AC6" s="274">
        <f t="shared" si="6"/>
        <v>19.446875000000002</v>
      </c>
      <c r="AD6" s="151">
        <f t="shared" si="7"/>
        <v>26.351955525646009</v>
      </c>
      <c r="AE6" s="274">
        <f t="shared" si="8"/>
        <v>26.788432200776981</v>
      </c>
      <c r="AF6" s="157">
        <f t="shared" si="9"/>
        <v>0.85380335903093063</v>
      </c>
      <c r="AG6" s="158">
        <f t="shared" si="10"/>
        <v>0.86794520330517411</v>
      </c>
      <c r="AH6" s="159">
        <f t="shared" si="11"/>
        <v>811.6013711460572</v>
      </c>
      <c r="AI6" s="155">
        <f t="shared" si="12"/>
        <v>690.59659263909521</v>
      </c>
      <c r="AJ6" s="155">
        <f t="shared" si="13"/>
        <v>575.49716053257941</v>
      </c>
      <c r="AK6" s="155">
        <f t="shared" si="14"/>
        <v>460.39772842606345</v>
      </c>
      <c r="AL6" s="155">
        <f t="shared" si="15"/>
        <v>4265.1723708876889</v>
      </c>
      <c r="AM6" s="160">
        <f t="shared" si="16"/>
        <v>3629.2613727279777</v>
      </c>
    </row>
    <row r="7" spans="1:39" ht="12.75" customHeight="1" x14ac:dyDescent="0.2">
      <c r="A7" s="144">
        <v>4</v>
      </c>
      <c r="B7" s="2358" t="s">
        <v>90</v>
      </c>
      <c r="C7" s="2362" t="s">
        <v>43</v>
      </c>
      <c r="D7" s="673">
        <v>1.4</v>
      </c>
      <c r="E7" s="145" t="s">
        <v>39</v>
      </c>
      <c r="F7" s="146" t="s">
        <v>65</v>
      </c>
      <c r="G7" s="152">
        <v>4.3529999999999998</v>
      </c>
      <c r="H7" s="162">
        <v>4.79</v>
      </c>
      <c r="I7" s="147">
        <v>1</v>
      </c>
      <c r="J7" s="148"/>
      <c r="K7" s="149">
        <v>3.6</v>
      </c>
      <c r="L7" s="149"/>
      <c r="M7" s="150"/>
      <c r="N7" s="273">
        <f t="shared" si="0"/>
        <v>1.016</v>
      </c>
      <c r="O7" s="152">
        <f t="shared" si="1"/>
        <v>1.8399999999999999</v>
      </c>
      <c r="P7" s="153">
        <f t="shared" si="2"/>
        <v>6.2757872016186145</v>
      </c>
      <c r="Q7" s="154">
        <f t="shared" si="3"/>
        <v>6.7073956197618161</v>
      </c>
      <c r="R7" s="137">
        <f t="shared" si="4"/>
        <v>3407.9044667859571</v>
      </c>
      <c r="S7" s="142">
        <f t="shared" si="5"/>
        <v>2758.1495186438619</v>
      </c>
      <c r="T7" s="1027">
        <v>1</v>
      </c>
      <c r="U7" s="152" t="s">
        <v>85</v>
      </c>
      <c r="V7" s="152">
        <v>4</v>
      </c>
      <c r="W7" s="152">
        <v>11</v>
      </c>
      <c r="X7" s="152">
        <v>35</v>
      </c>
      <c r="Y7" s="152">
        <v>6.3</v>
      </c>
      <c r="Z7" s="154">
        <v>6.18</v>
      </c>
      <c r="AA7" s="152"/>
      <c r="AB7" s="162">
        <v>5</v>
      </c>
      <c r="AC7" s="274">
        <f t="shared" si="6"/>
        <v>18.92625</v>
      </c>
      <c r="AD7" s="151">
        <f t="shared" si="7"/>
        <v>25.13978871356122</v>
      </c>
      <c r="AE7" s="274">
        <f t="shared" si="8"/>
        <v>25.576437790718629</v>
      </c>
      <c r="AF7" s="157">
        <f t="shared" si="9"/>
        <v>0.81452915431938344</v>
      </c>
      <c r="AG7" s="158">
        <f t="shared" si="10"/>
        <v>0.82867658441928349</v>
      </c>
      <c r="AH7" s="159">
        <f t="shared" si="11"/>
        <v>850.73440674770757</v>
      </c>
      <c r="AI7" s="155">
        <f t="shared" si="12"/>
        <v>723.32199469597049</v>
      </c>
      <c r="AJ7" s="155">
        <f t="shared" si="13"/>
        <v>602.76832891330878</v>
      </c>
      <c r="AK7" s="155">
        <f t="shared" si="14"/>
        <v>482.21466313064701</v>
      </c>
      <c r="AL7" s="155">
        <f t="shared" si="15"/>
        <v>4470.8264618873527</v>
      </c>
      <c r="AM7" s="160">
        <f t="shared" si="16"/>
        <v>3801.2417138677133</v>
      </c>
    </row>
    <row r="8" spans="1:39" ht="12.75" customHeight="1" x14ac:dyDescent="0.2">
      <c r="A8" s="144">
        <v>4</v>
      </c>
      <c r="B8" s="2359"/>
      <c r="C8" s="2363"/>
      <c r="D8" s="673">
        <v>1.4</v>
      </c>
      <c r="E8" s="145" t="s">
        <v>39</v>
      </c>
      <c r="F8" s="146" t="s">
        <v>65</v>
      </c>
      <c r="G8" s="152">
        <v>4.3529999999999998</v>
      </c>
      <c r="H8" s="162">
        <v>4.79</v>
      </c>
      <c r="I8" s="147">
        <v>1</v>
      </c>
      <c r="J8" s="148"/>
      <c r="K8" s="149">
        <v>3.6</v>
      </c>
      <c r="L8" s="149"/>
      <c r="M8" s="150"/>
      <c r="N8" s="273">
        <f t="shared" si="0"/>
        <v>1.016</v>
      </c>
      <c r="O8" s="152">
        <f t="shared" si="1"/>
        <v>1.8399999999999999</v>
      </c>
      <c r="P8" s="153">
        <f t="shared" si="2"/>
        <v>6.2757872016186145</v>
      </c>
      <c r="Q8" s="154">
        <f t="shared" si="3"/>
        <v>6.7073956197618161</v>
      </c>
      <c r="R8" s="137">
        <f t="shared" si="4"/>
        <v>3407.9044667859571</v>
      </c>
      <c r="S8" s="142">
        <f t="shared" si="5"/>
        <v>2758.1495186438619</v>
      </c>
      <c r="T8" s="1027">
        <v>2</v>
      </c>
      <c r="U8" s="152" t="s">
        <v>85</v>
      </c>
      <c r="V8" s="152">
        <v>4</v>
      </c>
      <c r="W8" s="152">
        <v>11</v>
      </c>
      <c r="X8" s="152">
        <v>35</v>
      </c>
      <c r="Y8" s="152">
        <v>6.3</v>
      </c>
      <c r="Z8" s="154">
        <v>6.15</v>
      </c>
      <c r="AA8" s="152"/>
      <c r="AB8" s="162">
        <v>5</v>
      </c>
      <c r="AC8" s="274">
        <f t="shared" si="6"/>
        <v>18.834375000000001</v>
      </c>
      <c r="AD8" s="151">
        <f t="shared" si="7"/>
        <v>25.047989048836332</v>
      </c>
      <c r="AE8" s="274">
        <f t="shared" si="8"/>
        <v>25.484635570096447</v>
      </c>
      <c r="AF8" s="157">
        <f t="shared" si="9"/>
        <v>0.81155484518229715</v>
      </c>
      <c r="AG8" s="158">
        <f t="shared" si="10"/>
        <v>0.82570219247112486</v>
      </c>
      <c r="AH8" s="159">
        <f t="shared" si="11"/>
        <v>853.85230707723497</v>
      </c>
      <c r="AI8" s="155">
        <f t="shared" si="12"/>
        <v>725.9275868048046</v>
      </c>
      <c r="AJ8" s="155">
        <f t="shared" si="13"/>
        <v>604.9396556706705</v>
      </c>
      <c r="AK8" s="155">
        <f t="shared" si="14"/>
        <v>483.9517245365364</v>
      </c>
      <c r="AL8" s="155">
        <f t="shared" si="15"/>
        <v>4487.2118239794636</v>
      </c>
      <c r="AM8" s="160">
        <f t="shared" si="16"/>
        <v>3814.9347654907151</v>
      </c>
    </row>
    <row r="9" spans="1:39" ht="12.75" customHeight="1" x14ac:dyDescent="0.2">
      <c r="A9" s="144">
        <v>4</v>
      </c>
      <c r="B9" s="2358" t="s">
        <v>97</v>
      </c>
      <c r="C9" s="2362" t="s">
        <v>43</v>
      </c>
      <c r="D9" s="673">
        <v>2.5</v>
      </c>
      <c r="E9" s="145" t="s">
        <v>39</v>
      </c>
      <c r="F9" s="146" t="s">
        <v>49</v>
      </c>
      <c r="G9" s="152">
        <v>4.13</v>
      </c>
      <c r="H9" s="162">
        <v>6.96</v>
      </c>
      <c r="I9" s="147">
        <v>1.8</v>
      </c>
      <c r="J9" s="148">
        <v>5.4</v>
      </c>
      <c r="K9" s="149"/>
      <c r="L9" s="149"/>
      <c r="M9" s="150"/>
      <c r="N9" s="273">
        <f t="shared" si="0"/>
        <v>1.9098000000000002</v>
      </c>
      <c r="O9" s="152">
        <f t="shared" si="1"/>
        <v>2.8800000000000003</v>
      </c>
      <c r="P9" s="153">
        <f t="shared" si="2"/>
        <v>7.2654962693542133</v>
      </c>
      <c r="Q9" s="154">
        <f t="shared" si="3"/>
        <v>10.023618909356042</v>
      </c>
      <c r="R9" s="137">
        <f t="shared" si="4"/>
        <v>2943.6782353334283</v>
      </c>
      <c r="S9" s="142">
        <f t="shared" si="5"/>
        <v>1845.6407977294614</v>
      </c>
      <c r="T9" s="1027">
        <v>1</v>
      </c>
      <c r="U9" s="152" t="s">
        <v>85</v>
      </c>
      <c r="V9" s="152">
        <v>4</v>
      </c>
      <c r="W9" s="152">
        <v>11</v>
      </c>
      <c r="X9" s="152">
        <v>35</v>
      </c>
      <c r="Y9" s="152">
        <v>6.3</v>
      </c>
      <c r="Z9" s="154">
        <v>6.25</v>
      </c>
      <c r="AA9" s="152"/>
      <c r="AB9" s="162">
        <v>5</v>
      </c>
      <c r="AC9" s="274">
        <f t="shared" si="6"/>
        <v>19.140625</v>
      </c>
      <c r="AD9" s="151">
        <f t="shared" si="7"/>
        <v>26.220269333678189</v>
      </c>
      <c r="AE9" s="274">
        <f t="shared" si="8"/>
        <v>29.043483975422525</v>
      </c>
      <c r="AF9" s="157">
        <f t="shared" si="9"/>
        <v>0.84953672641117328</v>
      </c>
      <c r="AG9" s="158">
        <f t="shared" si="10"/>
        <v>0.94100888080368972</v>
      </c>
      <c r="AH9" s="1870">
        <f t="shared" si="11"/>
        <v>815.67748083821846</v>
      </c>
      <c r="AI9" s="1666">
        <f t="shared" si="12"/>
        <v>636.97592257372639</v>
      </c>
      <c r="AJ9" s="155">
        <f t="shared" si="13"/>
        <v>530.81326881143866</v>
      </c>
      <c r="AK9" s="155">
        <f t="shared" si="14"/>
        <v>424.65061504915093</v>
      </c>
      <c r="AL9" s="155">
        <f t="shared" si="15"/>
        <v>4286.5933677684161</v>
      </c>
      <c r="AM9" s="160">
        <f t="shared" si="16"/>
        <v>3347.4710645766404</v>
      </c>
    </row>
    <row r="10" spans="1:39" ht="12.75" customHeight="1" x14ac:dyDescent="0.2">
      <c r="A10" s="144">
        <v>4</v>
      </c>
      <c r="B10" s="2359"/>
      <c r="C10" s="2363"/>
      <c r="D10" s="673">
        <v>2.5</v>
      </c>
      <c r="E10" s="145" t="s">
        <v>39</v>
      </c>
      <c r="F10" s="146" t="s">
        <v>49</v>
      </c>
      <c r="G10" s="152">
        <v>4.13</v>
      </c>
      <c r="H10" s="162">
        <v>6.96</v>
      </c>
      <c r="I10" s="147">
        <v>1.8</v>
      </c>
      <c r="J10" s="148">
        <v>5.4</v>
      </c>
      <c r="K10" s="149"/>
      <c r="L10" s="149"/>
      <c r="M10" s="150"/>
      <c r="N10" s="273">
        <f t="shared" si="0"/>
        <v>1.9098000000000002</v>
      </c>
      <c r="O10" s="152">
        <f t="shared" si="1"/>
        <v>2.8800000000000003</v>
      </c>
      <c r="P10" s="153">
        <f t="shared" si="2"/>
        <v>7.2654962693542133</v>
      </c>
      <c r="Q10" s="154">
        <f t="shared" si="3"/>
        <v>10.023618909356042</v>
      </c>
      <c r="R10" s="137">
        <f t="shared" si="4"/>
        <v>2943.6782353334283</v>
      </c>
      <c r="S10" s="142">
        <f t="shared" si="5"/>
        <v>1845.6407977294614</v>
      </c>
      <c r="T10" s="1027">
        <v>2</v>
      </c>
      <c r="U10" s="152" t="s">
        <v>85</v>
      </c>
      <c r="V10" s="152">
        <v>4</v>
      </c>
      <c r="W10" s="152">
        <v>11</v>
      </c>
      <c r="X10" s="152">
        <v>35</v>
      </c>
      <c r="Y10" s="152">
        <v>6.3</v>
      </c>
      <c r="Z10" s="154">
        <v>6.54</v>
      </c>
      <c r="AA10" s="152"/>
      <c r="AB10" s="162">
        <v>5</v>
      </c>
      <c r="AC10" s="274">
        <f t="shared" si="6"/>
        <v>20.028750000000002</v>
      </c>
      <c r="AD10" s="151">
        <f t="shared" si="7"/>
        <v>27.106112550539223</v>
      </c>
      <c r="AE10" s="274">
        <f t="shared" si="8"/>
        <v>29.929743777762283</v>
      </c>
      <c r="AF10" s="157">
        <f t="shared" si="9"/>
        <v>0.87823804663747074</v>
      </c>
      <c r="AG10" s="158">
        <f t="shared" si="10"/>
        <v>0.9697236983994979</v>
      </c>
      <c r="AH10" s="1870">
        <f t="shared" si="11"/>
        <v>789.02067558074691</v>
      </c>
      <c r="AI10" s="1666">
        <f t="shared" si="12"/>
        <v>618.11421231562463</v>
      </c>
      <c r="AJ10" s="155">
        <f t="shared" si="13"/>
        <v>515.09517692968723</v>
      </c>
      <c r="AK10" s="155">
        <f t="shared" si="14"/>
        <v>412.07614154374977</v>
      </c>
      <c r="AL10" s="155">
        <f t="shared" si="15"/>
        <v>4146.5050518507724</v>
      </c>
      <c r="AM10" s="160">
        <f t="shared" si="16"/>
        <v>3248.347962619649</v>
      </c>
    </row>
    <row r="11" spans="1:39" ht="12.75" customHeight="1" x14ac:dyDescent="0.2">
      <c r="A11" s="144">
        <v>4</v>
      </c>
      <c r="B11" s="2358" t="s">
        <v>165</v>
      </c>
      <c r="C11" s="2362" t="s">
        <v>43</v>
      </c>
      <c r="D11" s="673">
        <v>2.2999999999999998</v>
      </c>
      <c r="E11" s="145" t="s">
        <v>39</v>
      </c>
      <c r="F11" s="146" t="s">
        <v>65</v>
      </c>
      <c r="G11" s="152">
        <v>4.3529999999999998</v>
      </c>
      <c r="H11" s="162">
        <v>4.79</v>
      </c>
      <c r="I11" s="147">
        <v>9.6</v>
      </c>
      <c r="J11" s="148"/>
      <c r="K11" s="149">
        <v>1.8</v>
      </c>
      <c r="L11" s="149"/>
      <c r="M11" s="150"/>
      <c r="N11" s="273">
        <f t="shared" si="0"/>
        <v>3.3653999999999997</v>
      </c>
      <c r="O11" s="152">
        <f t="shared" si="1"/>
        <v>4.5600000000000005</v>
      </c>
      <c r="P11" s="153">
        <f t="shared" si="2"/>
        <v>9.5271971828025066</v>
      </c>
      <c r="Q11" s="154">
        <f t="shared" si="3"/>
        <v>9.9372238155331907</v>
      </c>
      <c r="R11" s="137">
        <f t="shared" si="4"/>
        <v>2244.8662315502706</v>
      </c>
      <c r="S11" s="142">
        <f t="shared" si="5"/>
        <v>1861.6869604045812</v>
      </c>
      <c r="T11" s="1027">
        <v>1</v>
      </c>
      <c r="U11" s="152" t="s">
        <v>85</v>
      </c>
      <c r="V11" s="152">
        <v>4</v>
      </c>
      <c r="W11" s="152">
        <v>11</v>
      </c>
      <c r="X11" s="152">
        <v>35</v>
      </c>
      <c r="Y11" s="152">
        <v>6.3</v>
      </c>
      <c r="Z11" s="154">
        <v>6.14</v>
      </c>
      <c r="AA11" s="152"/>
      <c r="AB11" s="162">
        <v>5</v>
      </c>
      <c r="AC11" s="274">
        <f t="shared" si="6"/>
        <v>18.803750000000001</v>
      </c>
      <c r="AD11" s="151">
        <f t="shared" si="7"/>
        <v>27.920317829897645</v>
      </c>
      <c r="AE11" s="274">
        <f t="shared" si="8"/>
        <v>28.354180577518022</v>
      </c>
      <c r="AF11" s="157">
        <f t="shared" si="9"/>
        <v>0.90461829768868363</v>
      </c>
      <c r="AG11" s="158">
        <f t="shared" si="10"/>
        <v>0.91867545071158385</v>
      </c>
      <c r="AH11" s="159">
        <f t="shared" si="11"/>
        <v>766.01145328268012</v>
      </c>
      <c r="AI11" s="155">
        <f t="shared" si="12"/>
        <v>652.4611053182266</v>
      </c>
      <c r="AJ11" s="155">
        <f t="shared" si="13"/>
        <v>543.71758776518891</v>
      </c>
      <c r="AK11" s="155">
        <f t="shared" si="14"/>
        <v>434.97407021215105</v>
      </c>
      <c r="AL11" s="155">
        <f t="shared" si="15"/>
        <v>4025.5857154495202</v>
      </c>
      <c r="AM11" s="160">
        <f t="shared" si="16"/>
        <v>3428.849652573263</v>
      </c>
    </row>
    <row r="12" spans="1:39" ht="12.75" customHeight="1" x14ac:dyDescent="0.2">
      <c r="A12" s="144">
        <v>4</v>
      </c>
      <c r="B12" s="2359"/>
      <c r="C12" s="2363"/>
      <c r="D12" s="673">
        <v>2.2999999999999998</v>
      </c>
      <c r="E12" s="145" t="s">
        <v>39</v>
      </c>
      <c r="F12" s="146" t="s">
        <v>65</v>
      </c>
      <c r="G12" s="152">
        <v>4.3529999999999998</v>
      </c>
      <c r="H12" s="162">
        <v>4.79</v>
      </c>
      <c r="I12" s="147">
        <v>9.6</v>
      </c>
      <c r="J12" s="148"/>
      <c r="K12" s="149">
        <v>1.8</v>
      </c>
      <c r="L12" s="149"/>
      <c r="M12" s="150"/>
      <c r="N12" s="273">
        <f t="shared" si="0"/>
        <v>3.3653999999999997</v>
      </c>
      <c r="O12" s="152">
        <f t="shared" si="1"/>
        <v>4.5600000000000005</v>
      </c>
      <c r="P12" s="153">
        <f t="shared" si="2"/>
        <v>9.5271971828025066</v>
      </c>
      <c r="Q12" s="154">
        <f t="shared" si="3"/>
        <v>9.9372238155331907</v>
      </c>
      <c r="R12" s="137">
        <f t="shared" si="4"/>
        <v>2244.8662315502706</v>
      </c>
      <c r="S12" s="142">
        <f t="shared" si="5"/>
        <v>1861.6869604045812</v>
      </c>
      <c r="T12" s="1027">
        <v>2</v>
      </c>
      <c r="U12" s="152" t="s">
        <v>85</v>
      </c>
      <c r="V12" s="152">
        <v>4</v>
      </c>
      <c r="W12" s="152">
        <v>11</v>
      </c>
      <c r="X12" s="152">
        <v>35</v>
      </c>
      <c r="Y12" s="152">
        <v>6.3</v>
      </c>
      <c r="Z12" s="154">
        <v>6.35</v>
      </c>
      <c r="AA12" s="152"/>
      <c r="AB12" s="162">
        <v>5</v>
      </c>
      <c r="AC12" s="274">
        <f t="shared" si="6"/>
        <v>19.446875000000002</v>
      </c>
      <c r="AD12" s="151">
        <f t="shared" si="7"/>
        <v>28.558858996388935</v>
      </c>
      <c r="AE12" s="274">
        <f t="shared" si="8"/>
        <v>28.992859930086667</v>
      </c>
      <c r="AF12" s="157">
        <f t="shared" si="9"/>
        <v>0.92530703148300142</v>
      </c>
      <c r="AG12" s="158">
        <f t="shared" si="10"/>
        <v>0.93936866173480804</v>
      </c>
      <c r="AH12" s="159">
        <f t="shared" si="11"/>
        <v>748.88437383645089</v>
      </c>
      <c r="AI12" s="155">
        <f t="shared" si="12"/>
        <v>638.08813772117912</v>
      </c>
      <c r="AJ12" s="155">
        <f t="shared" si="13"/>
        <v>531.74011476764929</v>
      </c>
      <c r="AK12" s="155">
        <f t="shared" si="14"/>
        <v>425.3920918141194</v>
      </c>
      <c r="AL12" s="155">
        <f t="shared" si="15"/>
        <v>3935.57854118255</v>
      </c>
      <c r="AM12" s="160">
        <f t="shared" si="16"/>
        <v>3353.316039075266</v>
      </c>
    </row>
    <row r="13" spans="1:39" ht="12.75" customHeight="1" x14ac:dyDescent="0.2">
      <c r="A13" s="144">
        <v>4</v>
      </c>
      <c r="B13" s="2358" t="s">
        <v>98</v>
      </c>
      <c r="C13" s="2362" t="s">
        <v>347</v>
      </c>
      <c r="D13" s="673">
        <v>2.5</v>
      </c>
      <c r="E13" s="145" t="s">
        <v>39</v>
      </c>
      <c r="F13" s="146" t="s">
        <v>49</v>
      </c>
      <c r="G13" s="152">
        <v>4.13</v>
      </c>
      <c r="H13" s="162">
        <v>6.96</v>
      </c>
      <c r="I13" s="147">
        <v>1.6</v>
      </c>
      <c r="J13" s="148">
        <v>7.9</v>
      </c>
      <c r="K13" s="149"/>
      <c r="L13" s="149"/>
      <c r="M13" s="150"/>
      <c r="N13" s="273">
        <f t="shared" ref="N13:N44" si="17">0.314*I13+0.249*J13+0.195*K13+0.159*L13+0.06*M13</f>
        <v>2.4695</v>
      </c>
      <c r="O13" s="152">
        <f t="shared" ref="O13:O44" si="18">0.4*SUM(I13:M13)</f>
        <v>3.8000000000000003</v>
      </c>
      <c r="P13" s="153">
        <f t="shared" si="2"/>
        <v>8.3056204012704544</v>
      </c>
      <c r="Q13" s="154">
        <f t="shared" ref="Q13:Q44" si="19">SQRT(POWER(N13,2)+POWER(O13+H13,2))</f>
        <v>11.039747743947775</v>
      </c>
      <c r="R13" s="155">
        <f t="shared" si="4"/>
        <v>2575.037408851812</v>
      </c>
      <c r="S13" s="361">
        <f t="shared" si="5"/>
        <v>1675.7629276576627</v>
      </c>
      <c r="T13" s="1027">
        <v>1</v>
      </c>
      <c r="U13" s="152" t="s">
        <v>50</v>
      </c>
      <c r="V13" s="152">
        <v>6.3</v>
      </c>
      <c r="W13" s="152">
        <v>11</v>
      </c>
      <c r="X13" s="152">
        <v>35</v>
      </c>
      <c r="Y13" s="152">
        <v>6.3</v>
      </c>
      <c r="Z13" s="154">
        <v>7</v>
      </c>
      <c r="AA13" s="152"/>
      <c r="AB13" s="162">
        <v>5</v>
      </c>
      <c r="AC13" s="274">
        <f t="shared" ref="AC13:AC44" si="20">Z13/100*X13*X13/V13</f>
        <v>13.611111111111111</v>
      </c>
      <c r="AD13" s="151">
        <f t="shared" si="7"/>
        <v>21.682202336276507</v>
      </c>
      <c r="AE13" s="274">
        <f t="shared" si="8"/>
        <v>24.495907556980278</v>
      </c>
      <c r="AF13" s="157">
        <f t="shared" si="9"/>
        <v>0.70250335569535882</v>
      </c>
      <c r="AG13" s="158">
        <f t="shared" si="10"/>
        <v>0.79366740484616094</v>
      </c>
      <c r="AH13" s="1870">
        <f t="shared" si="11"/>
        <v>986.39810224495238</v>
      </c>
      <c r="AI13" s="1666">
        <f t="shared" si="12"/>
        <v>755.22819299374351</v>
      </c>
      <c r="AJ13" s="155">
        <f t="shared" ref="AJ13:AJ44" si="21">AI13/1.2</f>
        <v>629.35682749478633</v>
      </c>
      <c r="AK13" s="155">
        <f t="shared" ref="AK13:AK44" si="22">AI13/1.5</f>
        <v>503.48546199582898</v>
      </c>
      <c r="AL13" s="155">
        <f t="shared" si="15"/>
        <v>5183.7738105965964</v>
      </c>
      <c r="AM13" s="160">
        <f t="shared" si="16"/>
        <v>3968.9169301473007</v>
      </c>
    </row>
    <row r="14" spans="1:39" ht="12.75" customHeight="1" x14ac:dyDescent="0.2">
      <c r="A14" s="161">
        <v>4</v>
      </c>
      <c r="B14" s="2359"/>
      <c r="C14" s="2363"/>
      <c r="D14" s="673">
        <v>2.5</v>
      </c>
      <c r="E14" s="145" t="s">
        <v>39</v>
      </c>
      <c r="F14" s="146" t="s">
        <v>49</v>
      </c>
      <c r="G14" s="152">
        <v>4.13</v>
      </c>
      <c r="H14" s="162">
        <v>6.96</v>
      </c>
      <c r="I14" s="147">
        <v>1.6</v>
      </c>
      <c r="J14" s="148">
        <v>7.9</v>
      </c>
      <c r="K14" s="149"/>
      <c r="L14" s="149"/>
      <c r="M14" s="150"/>
      <c r="N14" s="273">
        <f t="shared" si="17"/>
        <v>2.4695</v>
      </c>
      <c r="O14" s="152">
        <f t="shared" si="18"/>
        <v>3.8000000000000003</v>
      </c>
      <c r="P14" s="153">
        <f t="shared" si="2"/>
        <v>8.3056204012704544</v>
      </c>
      <c r="Q14" s="154">
        <f t="shared" si="19"/>
        <v>11.039747743947775</v>
      </c>
      <c r="R14" s="137">
        <f t="shared" si="4"/>
        <v>2575.037408851812</v>
      </c>
      <c r="S14" s="142">
        <f t="shared" si="5"/>
        <v>1675.7629276576627</v>
      </c>
      <c r="T14" s="1027">
        <v>2</v>
      </c>
      <c r="U14" s="152" t="s">
        <v>50</v>
      </c>
      <c r="V14" s="152">
        <v>6.3</v>
      </c>
      <c r="W14" s="152">
        <v>11</v>
      </c>
      <c r="X14" s="152">
        <v>35</v>
      </c>
      <c r="Y14" s="152">
        <v>6.3</v>
      </c>
      <c r="Z14" s="154">
        <v>7</v>
      </c>
      <c r="AA14" s="152"/>
      <c r="AB14" s="162">
        <v>10</v>
      </c>
      <c r="AC14" s="274">
        <f t="shared" si="20"/>
        <v>13.611111111111111</v>
      </c>
      <c r="AD14" s="151">
        <f t="shared" si="7"/>
        <v>21.682202336276507</v>
      </c>
      <c r="AE14" s="274">
        <f t="shared" si="8"/>
        <v>24.495907556980278</v>
      </c>
      <c r="AF14" s="157">
        <f t="shared" si="9"/>
        <v>0.70250335569535882</v>
      </c>
      <c r="AG14" s="158">
        <f t="shared" si="10"/>
        <v>0.79366740484616094</v>
      </c>
      <c r="AH14" s="1870">
        <f t="shared" si="11"/>
        <v>986.39810224495238</v>
      </c>
      <c r="AI14" s="1666">
        <f t="shared" si="12"/>
        <v>755.22819299374351</v>
      </c>
      <c r="AJ14" s="155">
        <f t="shared" si="21"/>
        <v>629.35682749478633</v>
      </c>
      <c r="AK14" s="155">
        <f t="shared" si="22"/>
        <v>503.48546199582898</v>
      </c>
      <c r="AL14" s="155">
        <f t="shared" si="15"/>
        <v>5183.7738105965964</v>
      </c>
      <c r="AM14" s="160">
        <f t="shared" si="16"/>
        <v>3968.9169301473007</v>
      </c>
    </row>
    <row r="15" spans="1:39" ht="12.75" customHeight="1" x14ac:dyDescent="0.2">
      <c r="A15" s="127">
        <v>4</v>
      </c>
      <c r="B15" s="2358" t="s">
        <v>82</v>
      </c>
      <c r="C15" s="2360" t="s">
        <v>341</v>
      </c>
      <c r="D15" s="649">
        <v>4.5999999999999996</v>
      </c>
      <c r="E15" s="128" t="s">
        <v>39</v>
      </c>
      <c r="F15" s="655" t="s">
        <v>49</v>
      </c>
      <c r="G15" s="129">
        <v>4.13</v>
      </c>
      <c r="H15" s="130">
        <v>6.96</v>
      </c>
      <c r="I15" s="131"/>
      <c r="J15" s="132">
        <v>0.9</v>
      </c>
      <c r="K15" s="133"/>
      <c r="L15" s="133"/>
      <c r="M15" s="134"/>
      <c r="N15" s="535">
        <f t="shared" si="17"/>
        <v>0.22409999999999999</v>
      </c>
      <c r="O15" s="129">
        <f t="shared" si="18"/>
        <v>0.36000000000000004</v>
      </c>
      <c r="P15" s="135">
        <f t="shared" ref="P15:P30" si="23">SQRT(POWER(N15,2)+POWER(O15+G15,2))</f>
        <v>4.4955890392694933</v>
      </c>
      <c r="Q15" s="136">
        <f t="shared" si="19"/>
        <v>7.3234295797802282</v>
      </c>
      <c r="R15" s="137">
        <f t="shared" si="4"/>
        <v>4757.3928689152435</v>
      </c>
      <c r="S15" s="142">
        <f t="shared" si="5"/>
        <v>2526.1388531785642</v>
      </c>
      <c r="T15" s="1028">
        <v>1</v>
      </c>
      <c r="U15" s="129" t="s">
        <v>62</v>
      </c>
      <c r="V15" s="129">
        <v>6.3</v>
      </c>
      <c r="W15" s="152">
        <v>11</v>
      </c>
      <c r="X15" s="129">
        <v>35</v>
      </c>
      <c r="Y15" s="129">
        <v>6.3</v>
      </c>
      <c r="Z15" s="136">
        <v>8.07</v>
      </c>
      <c r="AA15" s="129" t="s">
        <v>60</v>
      </c>
      <c r="AB15" s="130">
        <v>10</v>
      </c>
      <c r="AC15" s="529">
        <f t="shared" si="20"/>
        <v>15.69166666666667</v>
      </c>
      <c r="AD15" s="878">
        <f t="shared" ref="AD15:AD30" si="24">SQRT(POWER(N15,2)+POWER(O15+AC15+G15,2))</f>
        <v>20.182910846913149</v>
      </c>
      <c r="AE15" s="529">
        <f t="shared" ref="AE15:AE30" si="25">SQRT(POWER(N15,2)+POWER(O15+AC15+H15,2))</f>
        <v>23.012757844025952</v>
      </c>
      <c r="AF15" s="157">
        <f t="shared" si="9"/>
        <v>0.65392631143998603</v>
      </c>
      <c r="AG15" s="158">
        <f t="shared" si="10"/>
        <v>0.74561335414644081</v>
      </c>
      <c r="AH15" s="141">
        <f t="shared" ref="AH15:AH30" si="26">37000/1.73/SQRT(POWER((G15+O15+AC15),2)+N15*N15)</f>
        <v>1059.6728786653323</v>
      </c>
      <c r="AI15" s="137">
        <f t="shared" ref="AI15:AI30" si="27">37000/2/SQRT(POWER((H15+O15+AC15),2)+N15*N15)</f>
        <v>803.90191064399301</v>
      </c>
      <c r="AJ15" s="137">
        <f t="shared" si="21"/>
        <v>669.91825886999425</v>
      </c>
      <c r="AK15" s="137">
        <f t="shared" si="22"/>
        <v>535.93460709599537</v>
      </c>
      <c r="AL15" s="137">
        <f t="shared" si="15"/>
        <v>5568.8514644574534</v>
      </c>
      <c r="AM15" s="143">
        <f t="shared" si="16"/>
        <v>4224.7097406215853</v>
      </c>
    </row>
    <row r="16" spans="1:39" ht="12.75" customHeight="1" x14ac:dyDescent="0.2">
      <c r="A16" s="144">
        <v>4</v>
      </c>
      <c r="B16" s="2359"/>
      <c r="C16" s="2361"/>
      <c r="D16" s="673">
        <v>4.5999999999999996</v>
      </c>
      <c r="E16" s="145" t="s">
        <v>39</v>
      </c>
      <c r="F16" s="146" t="s">
        <v>49</v>
      </c>
      <c r="G16" s="152">
        <v>4.13</v>
      </c>
      <c r="H16" s="162">
        <v>6.96</v>
      </c>
      <c r="I16" s="147"/>
      <c r="J16" s="148">
        <v>0.9</v>
      </c>
      <c r="K16" s="149"/>
      <c r="L16" s="149"/>
      <c r="M16" s="150"/>
      <c r="N16" s="273">
        <f t="shared" si="17"/>
        <v>0.22409999999999999</v>
      </c>
      <c r="O16" s="152">
        <f t="shared" si="18"/>
        <v>0.36000000000000004</v>
      </c>
      <c r="P16" s="153">
        <f t="shared" si="23"/>
        <v>4.4955890392694933</v>
      </c>
      <c r="Q16" s="154">
        <f t="shared" si="19"/>
        <v>7.3234295797802282</v>
      </c>
      <c r="R16" s="155">
        <f t="shared" si="4"/>
        <v>4757.3928689152435</v>
      </c>
      <c r="S16" s="361">
        <f t="shared" si="5"/>
        <v>2526.1388531785642</v>
      </c>
      <c r="T16" s="1027">
        <v>2</v>
      </c>
      <c r="U16" s="152" t="s">
        <v>83</v>
      </c>
      <c r="V16" s="152">
        <v>6.3</v>
      </c>
      <c r="W16" s="152">
        <v>11</v>
      </c>
      <c r="X16" s="152">
        <v>35</v>
      </c>
      <c r="Y16" s="152">
        <v>6.3</v>
      </c>
      <c r="Z16" s="154">
        <v>8.14</v>
      </c>
      <c r="AA16" s="152" t="s">
        <v>60</v>
      </c>
      <c r="AB16" s="162">
        <v>10</v>
      </c>
      <c r="AC16" s="274">
        <f t="shared" si="20"/>
        <v>15.827777777777779</v>
      </c>
      <c r="AD16" s="151">
        <f t="shared" si="24"/>
        <v>20.319013623627512</v>
      </c>
      <c r="AE16" s="274">
        <f t="shared" si="25"/>
        <v>23.148862539213084</v>
      </c>
      <c r="AF16" s="157">
        <f t="shared" si="9"/>
        <v>0.65833604140553137</v>
      </c>
      <c r="AG16" s="158">
        <f t="shared" si="10"/>
        <v>0.75002314627050393</v>
      </c>
      <c r="AH16" s="159">
        <f t="shared" si="26"/>
        <v>1052.5748755896543</v>
      </c>
      <c r="AI16" s="155">
        <f t="shared" si="27"/>
        <v>799.17533609532086</v>
      </c>
      <c r="AJ16" s="155">
        <f t="shared" si="21"/>
        <v>665.97944674610073</v>
      </c>
      <c r="AK16" s="155">
        <f t="shared" si="22"/>
        <v>532.78355739688061</v>
      </c>
      <c r="AL16" s="155">
        <f t="shared" si="15"/>
        <v>5531.5496464921771</v>
      </c>
      <c r="AM16" s="160">
        <f t="shared" si="16"/>
        <v>4199.8703848853202</v>
      </c>
    </row>
    <row r="17" spans="1:40" ht="12.75" customHeight="1" x14ac:dyDescent="0.2">
      <c r="A17" s="144">
        <v>4</v>
      </c>
      <c r="B17" s="2358" t="s">
        <v>84</v>
      </c>
      <c r="C17" s="2362" t="s">
        <v>43</v>
      </c>
      <c r="D17" s="673">
        <v>2.2999999999999998</v>
      </c>
      <c r="E17" s="145" t="s">
        <v>39</v>
      </c>
      <c r="F17" s="146" t="s">
        <v>45</v>
      </c>
      <c r="G17" s="152">
        <v>6.5380000000000003</v>
      </c>
      <c r="H17" s="162">
        <v>7.4059999999999997</v>
      </c>
      <c r="I17" s="147"/>
      <c r="J17" s="148">
        <v>14.4</v>
      </c>
      <c r="K17" s="149"/>
      <c r="L17" s="149"/>
      <c r="M17" s="150"/>
      <c r="N17" s="273">
        <f t="shared" si="17"/>
        <v>3.5855999999999999</v>
      </c>
      <c r="O17" s="152">
        <f t="shared" si="18"/>
        <v>5.7600000000000007</v>
      </c>
      <c r="P17" s="153">
        <f t="shared" si="23"/>
        <v>12.810048062361048</v>
      </c>
      <c r="Q17" s="154">
        <f t="shared" si="19"/>
        <v>13.64551513721633</v>
      </c>
      <c r="R17" s="137">
        <f t="shared" si="4"/>
        <v>1669.5708816140291</v>
      </c>
      <c r="S17" s="142">
        <f t="shared" si="5"/>
        <v>1355.7568046327328</v>
      </c>
      <c r="T17" s="1027">
        <v>1</v>
      </c>
      <c r="U17" s="152" t="s">
        <v>85</v>
      </c>
      <c r="V17" s="152">
        <v>4</v>
      </c>
      <c r="W17" s="152">
        <v>11</v>
      </c>
      <c r="X17" s="152">
        <v>35</v>
      </c>
      <c r="Y17" s="152">
        <v>6.3</v>
      </c>
      <c r="Z17" s="154">
        <v>6.27</v>
      </c>
      <c r="AA17" s="152"/>
      <c r="AB17" s="162">
        <v>5</v>
      </c>
      <c r="AC17" s="274">
        <f t="shared" si="20"/>
        <v>19.201874999999998</v>
      </c>
      <c r="AD17" s="151">
        <f t="shared" si="24"/>
        <v>31.703290876116078</v>
      </c>
      <c r="AE17" s="274">
        <f t="shared" si="25"/>
        <v>32.565869547359313</v>
      </c>
      <c r="AF17" s="157">
        <f t="shared" si="9"/>
        <v>1.0271866243861609</v>
      </c>
      <c r="AG17" s="158">
        <f t="shared" si="10"/>
        <v>1.0551341733344417</v>
      </c>
      <c r="AH17" s="159">
        <f t="shared" si="26"/>
        <v>674.60767150537345</v>
      </c>
      <c r="AI17" s="155">
        <f t="shared" si="27"/>
        <v>568.07941127124366</v>
      </c>
      <c r="AJ17" s="155">
        <f t="shared" si="21"/>
        <v>473.39950939270307</v>
      </c>
      <c r="AK17" s="155">
        <f t="shared" si="22"/>
        <v>378.71960751416242</v>
      </c>
      <c r="AL17" s="155">
        <f t="shared" si="15"/>
        <v>3545.2355109141254</v>
      </c>
      <c r="AM17" s="160">
        <f t="shared" si="16"/>
        <v>2985.4023114855149</v>
      </c>
    </row>
    <row r="18" spans="1:40" ht="12.75" customHeight="1" x14ac:dyDescent="0.2">
      <c r="A18" s="161">
        <v>4</v>
      </c>
      <c r="B18" s="2359"/>
      <c r="C18" s="2363"/>
      <c r="D18" s="673">
        <v>2.2999999999999998</v>
      </c>
      <c r="E18" s="145" t="s">
        <v>39</v>
      </c>
      <c r="F18" s="146" t="s">
        <v>45</v>
      </c>
      <c r="G18" s="152">
        <v>6.5380000000000003</v>
      </c>
      <c r="H18" s="162">
        <v>7.4059999999999997</v>
      </c>
      <c r="I18" s="147"/>
      <c r="J18" s="148">
        <v>14.4</v>
      </c>
      <c r="K18" s="149"/>
      <c r="L18" s="149"/>
      <c r="M18" s="150"/>
      <c r="N18" s="273">
        <f t="shared" si="17"/>
        <v>3.5855999999999999</v>
      </c>
      <c r="O18" s="152">
        <f t="shared" si="18"/>
        <v>5.7600000000000007</v>
      </c>
      <c r="P18" s="153">
        <f t="shared" si="23"/>
        <v>12.810048062361048</v>
      </c>
      <c r="Q18" s="154">
        <f t="shared" si="19"/>
        <v>13.64551513721633</v>
      </c>
      <c r="R18" s="137">
        <f t="shared" si="4"/>
        <v>1669.5708816140291</v>
      </c>
      <c r="S18" s="142">
        <f t="shared" si="5"/>
        <v>1355.7568046327328</v>
      </c>
      <c r="T18" s="1027">
        <v>2</v>
      </c>
      <c r="U18" s="152" t="s">
        <v>85</v>
      </c>
      <c r="V18" s="152">
        <v>4</v>
      </c>
      <c r="W18" s="152">
        <v>11</v>
      </c>
      <c r="X18" s="152">
        <v>35</v>
      </c>
      <c r="Y18" s="152">
        <v>6.3</v>
      </c>
      <c r="Z18" s="154">
        <v>6.35</v>
      </c>
      <c r="AA18" s="152"/>
      <c r="AB18" s="162">
        <v>5</v>
      </c>
      <c r="AC18" s="274">
        <f t="shared" si="20"/>
        <v>19.446875000000002</v>
      </c>
      <c r="AD18" s="151">
        <f t="shared" si="24"/>
        <v>31.946730914533731</v>
      </c>
      <c r="AE18" s="274">
        <f t="shared" si="25"/>
        <v>32.80939108129904</v>
      </c>
      <c r="AF18" s="157">
        <f t="shared" si="9"/>
        <v>1.0350740816308928</v>
      </c>
      <c r="AG18" s="158">
        <f t="shared" si="10"/>
        <v>1.0630242710340889</v>
      </c>
      <c r="AH18" s="159">
        <f t="shared" si="26"/>
        <v>669.46703542879141</v>
      </c>
      <c r="AI18" s="155">
        <f t="shared" si="27"/>
        <v>563.86294869534402</v>
      </c>
      <c r="AJ18" s="155">
        <f t="shared" si="21"/>
        <v>469.88579057945338</v>
      </c>
      <c r="AK18" s="155">
        <f t="shared" si="22"/>
        <v>375.9086324635627</v>
      </c>
      <c r="AL18" s="155">
        <f t="shared" si="15"/>
        <v>3518.2201561573129</v>
      </c>
      <c r="AM18" s="160">
        <f t="shared" si="16"/>
        <v>2963.2437243749314</v>
      </c>
    </row>
    <row r="19" spans="1:40" ht="12.75" customHeight="1" x14ac:dyDescent="0.2">
      <c r="A19" s="127">
        <v>4</v>
      </c>
      <c r="B19" s="2358" t="s">
        <v>48</v>
      </c>
      <c r="C19" s="2360" t="s">
        <v>342</v>
      </c>
      <c r="D19" s="649">
        <v>2.5</v>
      </c>
      <c r="E19" s="128" t="s">
        <v>39</v>
      </c>
      <c r="F19" s="655" t="s">
        <v>49</v>
      </c>
      <c r="G19" s="129">
        <v>4.13</v>
      </c>
      <c r="H19" s="130">
        <v>6.96</v>
      </c>
      <c r="I19" s="131"/>
      <c r="J19" s="132">
        <v>1.9</v>
      </c>
      <c r="K19" s="133"/>
      <c r="L19" s="133"/>
      <c r="M19" s="134"/>
      <c r="N19" s="535">
        <f t="shared" si="17"/>
        <v>0.47309999999999997</v>
      </c>
      <c r="O19" s="129">
        <f t="shared" si="18"/>
        <v>0.76</v>
      </c>
      <c r="P19" s="135">
        <f t="shared" si="23"/>
        <v>4.9128325444696355</v>
      </c>
      <c r="Q19" s="136">
        <f t="shared" si="19"/>
        <v>7.7344827629260378</v>
      </c>
      <c r="R19" s="137">
        <f t="shared" si="4"/>
        <v>4353.3507489624972</v>
      </c>
      <c r="S19" s="142">
        <f t="shared" si="5"/>
        <v>2391.8858658107929</v>
      </c>
      <c r="T19" s="1028">
        <v>1</v>
      </c>
      <c r="U19" s="129" t="s">
        <v>50</v>
      </c>
      <c r="V19" s="129">
        <v>6.3</v>
      </c>
      <c r="W19" s="152">
        <v>11</v>
      </c>
      <c r="X19" s="129">
        <v>35</v>
      </c>
      <c r="Y19" s="129">
        <v>6.3</v>
      </c>
      <c r="Z19" s="136">
        <v>8</v>
      </c>
      <c r="AA19" s="129" t="s">
        <v>51</v>
      </c>
      <c r="AB19" s="130">
        <v>10</v>
      </c>
      <c r="AC19" s="529">
        <f t="shared" si="20"/>
        <v>15.555555555555559</v>
      </c>
      <c r="AD19" s="878">
        <f t="shared" si="24"/>
        <v>20.451028472556306</v>
      </c>
      <c r="AE19" s="529">
        <f t="shared" si="25"/>
        <v>23.280363185091275</v>
      </c>
      <c r="AF19" s="157">
        <f t="shared" si="9"/>
        <v>0.66261332251082428</v>
      </c>
      <c r="AG19" s="158">
        <f t="shared" si="10"/>
        <v>0.75428376719695722</v>
      </c>
      <c r="AH19" s="2092">
        <f t="shared" si="26"/>
        <v>1045.7803266810906</v>
      </c>
      <c r="AI19" s="2093">
        <f t="shared" si="27"/>
        <v>794.66114222167221</v>
      </c>
      <c r="AJ19" s="2093">
        <f t="shared" si="21"/>
        <v>662.21761851806025</v>
      </c>
      <c r="AK19" s="2093">
        <f t="shared" si="22"/>
        <v>529.77409481444818</v>
      </c>
      <c r="AL19" s="2093">
        <f t="shared" si="15"/>
        <v>5495.8425576333593</v>
      </c>
      <c r="AM19" s="2094">
        <f t="shared" si="16"/>
        <v>4176.1471438075869</v>
      </c>
      <c r="AN19" s="2095"/>
    </row>
    <row r="20" spans="1:40" ht="12.75" customHeight="1" x14ac:dyDescent="0.2">
      <c r="A20" s="144">
        <v>4</v>
      </c>
      <c r="B20" s="2359"/>
      <c r="C20" s="2361"/>
      <c r="D20" s="673">
        <v>2.5</v>
      </c>
      <c r="E20" s="145" t="s">
        <v>39</v>
      </c>
      <c r="F20" s="146" t="s">
        <v>49</v>
      </c>
      <c r="G20" s="152">
        <v>4.13</v>
      </c>
      <c r="H20" s="162">
        <v>6.96</v>
      </c>
      <c r="I20" s="147"/>
      <c r="J20" s="148">
        <v>1.9</v>
      </c>
      <c r="K20" s="149"/>
      <c r="L20" s="149"/>
      <c r="M20" s="150"/>
      <c r="N20" s="273">
        <f t="shared" si="17"/>
        <v>0.47309999999999997</v>
      </c>
      <c r="O20" s="152">
        <f t="shared" si="18"/>
        <v>0.76</v>
      </c>
      <c r="P20" s="153">
        <f t="shared" si="23"/>
        <v>4.9128325444696355</v>
      </c>
      <c r="Q20" s="154">
        <f t="shared" si="19"/>
        <v>7.7344827629260378</v>
      </c>
      <c r="R20" s="137">
        <f t="shared" si="4"/>
        <v>4353.3507489624972</v>
      </c>
      <c r="S20" s="142">
        <f t="shared" si="5"/>
        <v>2391.8858658107929</v>
      </c>
      <c r="T20" s="1027">
        <v>2</v>
      </c>
      <c r="U20" s="152" t="s">
        <v>50</v>
      </c>
      <c r="V20" s="152">
        <v>6.3</v>
      </c>
      <c r="W20" s="152">
        <v>11</v>
      </c>
      <c r="X20" s="152">
        <v>35</v>
      </c>
      <c r="Y20" s="152">
        <v>6.3</v>
      </c>
      <c r="Z20" s="154">
        <v>8</v>
      </c>
      <c r="AA20" s="152" t="s">
        <v>51</v>
      </c>
      <c r="AB20" s="162">
        <v>10</v>
      </c>
      <c r="AC20" s="274">
        <f t="shared" si="20"/>
        <v>15.555555555555559</v>
      </c>
      <c r="AD20" s="151">
        <f t="shared" si="24"/>
        <v>20.451028472556306</v>
      </c>
      <c r="AE20" s="274">
        <f t="shared" si="25"/>
        <v>23.280363185091275</v>
      </c>
      <c r="AF20" s="157">
        <f t="shared" si="9"/>
        <v>0.66261332251082428</v>
      </c>
      <c r="AG20" s="158">
        <f t="shared" si="10"/>
        <v>0.75428376719695722</v>
      </c>
      <c r="AH20" s="2087">
        <f t="shared" si="26"/>
        <v>1045.7803266810906</v>
      </c>
      <c r="AI20" s="2088">
        <f t="shared" si="27"/>
        <v>794.66114222167221</v>
      </c>
      <c r="AJ20" s="2088">
        <f t="shared" si="21"/>
        <v>662.21761851806025</v>
      </c>
      <c r="AK20" s="2088">
        <f t="shared" si="22"/>
        <v>529.77409481444818</v>
      </c>
      <c r="AL20" s="2088">
        <f t="shared" si="15"/>
        <v>5495.8425576333593</v>
      </c>
      <c r="AM20" s="2089">
        <f t="shared" si="16"/>
        <v>4176.1471438075869</v>
      </c>
      <c r="AN20" s="2095"/>
    </row>
    <row r="21" spans="1:40" ht="12.75" customHeight="1" x14ac:dyDescent="0.2">
      <c r="A21" s="144">
        <v>4</v>
      </c>
      <c r="B21" s="2358" t="s">
        <v>64</v>
      </c>
      <c r="C21" s="2360" t="s">
        <v>345</v>
      </c>
      <c r="D21" s="673">
        <v>1.4</v>
      </c>
      <c r="E21" s="145" t="s">
        <v>39</v>
      </c>
      <c r="F21" s="146" t="s">
        <v>65</v>
      </c>
      <c r="G21" s="152">
        <v>4.3529999999999998</v>
      </c>
      <c r="H21" s="162">
        <v>4.79</v>
      </c>
      <c r="I21" s="147">
        <v>1</v>
      </c>
      <c r="J21" s="148"/>
      <c r="K21" s="149">
        <v>7.05</v>
      </c>
      <c r="L21" s="149"/>
      <c r="M21" s="150"/>
      <c r="N21" s="273">
        <f t="shared" si="17"/>
        <v>1.68875</v>
      </c>
      <c r="O21" s="152">
        <f t="shared" si="18"/>
        <v>3.2200000000000006</v>
      </c>
      <c r="P21" s="153">
        <f t="shared" si="23"/>
        <v>7.7590080269645298</v>
      </c>
      <c r="Q21" s="154">
        <f t="shared" si="19"/>
        <v>8.1860843241747769</v>
      </c>
      <c r="R21" s="1840">
        <f>37000/1.73/SQRT(POWER((G21+O21),2)+N21*N21)</f>
        <v>2756.4455614258886</v>
      </c>
      <c r="S21" s="1841">
        <f t="shared" si="5"/>
        <v>2259.9327428581</v>
      </c>
      <c r="T21" s="1027">
        <v>1</v>
      </c>
      <c r="U21" s="152" t="s">
        <v>66</v>
      </c>
      <c r="V21" s="152">
        <v>6.3</v>
      </c>
      <c r="W21" s="152">
        <v>11</v>
      </c>
      <c r="X21" s="152">
        <v>35</v>
      </c>
      <c r="Y21" s="152">
        <v>6.3</v>
      </c>
      <c r="Z21" s="154">
        <v>7.7</v>
      </c>
      <c r="AA21" s="152" t="s">
        <v>67</v>
      </c>
      <c r="AB21" s="162">
        <v>10</v>
      </c>
      <c r="AC21" s="274">
        <f t="shared" si="20"/>
        <v>14.972222222222221</v>
      </c>
      <c r="AD21" s="151">
        <f t="shared" si="24"/>
        <v>22.608381667246391</v>
      </c>
      <c r="AE21" s="274">
        <f t="shared" si="25"/>
        <v>23.04418396980255</v>
      </c>
      <c r="AF21" s="157">
        <f>SQRT(POWER((AC21+O21+G21),2)+POWER(N21,2))*POWER(6.3/X21,2)</f>
        <v>0.73251156601878298</v>
      </c>
      <c r="AG21" s="158">
        <f>SQRT(POWER((H21+O21+AC21),2)+POWER(N21,2))*POWER(6.3/X21,2)</f>
        <v>0.74663156062160263</v>
      </c>
      <c r="AH21" s="2096">
        <f t="shared" si="26"/>
        <v>945.98912703153701</v>
      </c>
      <c r="AI21" s="2097">
        <f t="shared" si="27"/>
        <v>802.80560267365854</v>
      </c>
      <c r="AJ21" s="2090">
        <f t="shared" si="21"/>
        <v>669.00466889471545</v>
      </c>
      <c r="AK21" s="2090">
        <f t="shared" si="22"/>
        <v>535.20373511577236</v>
      </c>
      <c r="AL21" s="2090">
        <f t="shared" si="15"/>
        <v>4971.4143312468168</v>
      </c>
      <c r="AM21" s="2091">
        <f t="shared" si="16"/>
        <v>4218.9483623991073</v>
      </c>
    </row>
    <row r="22" spans="1:40" ht="12.75" customHeight="1" x14ac:dyDescent="0.2">
      <c r="A22" s="144">
        <v>4</v>
      </c>
      <c r="B22" s="2359"/>
      <c r="C22" s="2361"/>
      <c r="D22" s="673">
        <v>1.4</v>
      </c>
      <c r="E22" s="145" t="s">
        <v>39</v>
      </c>
      <c r="F22" s="146" t="s">
        <v>65</v>
      </c>
      <c r="G22" s="152">
        <v>4.3529999999999998</v>
      </c>
      <c r="H22" s="162">
        <v>4.79</v>
      </c>
      <c r="I22" s="147">
        <v>1</v>
      </c>
      <c r="J22" s="148"/>
      <c r="K22" s="149">
        <v>7.05</v>
      </c>
      <c r="L22" s="149"/>
      <c r="M22" s="150"/>
      <c r="N22" s="273">
        <f t="shared" si="17"/>
        <v>1.68875</v>
      </c>
      <c r="O22" s="152">
        <f t="shared" si="18"/>
        <v>3.2200000000000006</v>
      </c>
      <c r="P22" s="153">
        <f t="shared" si="23"/>
        <v>7.7590080269645298</v>
      </c>
      <c r="Q22" s="154">
        <f t="shared" si="19"/>
        <v>8.1860843241747769</v>
      </c>
      <c r="R22" s="1840">
        <f t="shared" si="4"/>
        <v>2756.4455614258886</v>
      </c>
      <c r="S22" s="1841">
        <f t="shared" si="5"/>
        <v>2259.9327428581</v>
      </c>
      <c r="T22" s="1027">
        <v>2</v>
      </c>
      <c r="U22" s="152" t="s">
        <v>66</v>
      </c>
      <c r="V22" s="152">
        <v>6.3</v>
      </c>
      <c r="W22" s="152">
        <v>11</v>
      </c>
      <c r="X22" s="152">
        <v>35</v>
      </c>
      <c r="Y22" s="152">
        <v>6.3</v>
      </c>
      <c r="Z22" s="154">
        <v>7.7</v>
      </c>
      <c r="AA22" s="152" t="s">
        <v>68</v>
      </c>
      <c r="AB22" s="162">
        <v>10</v>
      </c>
      <c r="AC22" s="274">
        <f t="shared" si="20"/>
        <v>14.972222222222221</v>
      </c>
      <c r="AD22" s="151">
        <f t="shared" si="24"/>
        <v>22.608381667246391</v>
      </c>
      <c r="AE22" s="274">
        <f t="shared" si="25"/>
        <v>23.04418396980255</v>
      </c>
      <c r="AF22" s="157">
        <f t="shared" ref="AF22:AF76" si="28">SQRT(POWER((AC22+O22+G22),2)+POWER(N22,2))*POWER(6.3/X22,2)</f>
        <v>0.73251156601878298</v>
      </c>
      <c r="AG22" s="158">
        <f t="shared" ref="AG22:AG76" si="29">SQRT(POWER((H22+O22+AC22),2)+POWER(N22,2))*POWER(6.3/X22,2)</f>
        <v>0.74663156062160263</v>
      </c>
      <c r="AH22" s="2096">
        <f t="shared" si="26"/>
        <v>945.98912703153701</v>
      </c>
      <c r="AI22" s="2097">
        <f t="shared" si="27"/>
        <v>802.80560267365854</v>
      </c>
      <c r="AJ22" s="2090">
        <f t="shared" si="21"/>
        <v>669.00466889471545</v>
      </c>
      <c r="AK22" s="2090">
        <f t="shared" si="22"/>
        <v>535.20373511577236</v>
      </c>
      <c r="AL22" s="2090">
        <f t="shared" si="15"/>
        <v>4971.4143312468168</v>
      </c>
      <c r="AM22" s="2091">
        <f t="shared" si="16"/>
        <v>4218.9483623991073</v>
      </c>
    </row>
    <row r="23" spans="1:40" ht="12.75" customHeight="1" x14ac:dyDescent="0.2">
      <c r="A23" s="144">
        <v>4</v>
      </c>
      <c r="B23" s="2358" t="s">
        <v>71</v>
      </c>
      <c r="C23" s="2360" t="s">
        <v>342</v>
      </c>
      <c r="D23" s="673">
        <v>2.2999999999999998</v>
      </c>
      <c r="E23" s="145" t="s">
        <v>39</v>
      </c>
      <c r="F23" s="146" t="s">
        <v>65</v>
      </c>
      <c r="G23" s="152">
        <v>4.3529999999999998</v>
      </c>
      <c r="H23" s="162">
        <v>4.79</v>
      </c>
      <c r="I23" s="147"/>
      <c r="J23" s="148">
        <v>0.65</v>
      </c>
      <c r="K23" s="149">
        <v>0.2</v>
      </c>
      <c r="L23" s="149"/>
      <c r="M23" s="150"/>
      <c r="N23" s="273">
        <f t="shared" si="17"/>
        <v>0.20085</v>
      </c>
      <c r="O23" s="152">
        <f t="shared" si="18"/>
        <v>0.34000000000000008</v>
      </c>
      <c r="P23" s="153">
        <f t="shared" si="23"/>
        <v>4.6972960011585387</v>
      </c>
      <c r="Q23" s="154">
        <f t="shared" si="19"/>
        <v>5.1339303386878949</v>
      </c>
      <c r="R23" s="137">
        <f t="shared" si="4"/>
        <v>4553.1052826390478</v>
      </c>
      <c r="S23" s="142">
        <f t="shared" si="5"/>
        <v>3603.4770204396932</v>
      </c>
      <c r="T23" s="1027">
        <v>1</v>
      </c>
      <c r="U23" s="152" t="s">
        <v>50</v>
      </c>
      <c r="V23" s="152">
        <v>6.3</v>
      </c>
      <c r="W23" s="152">
        <v>11</v>
      </c>
      <c r="X23" s="152">
        <v>35</v>
      </c>
      <c r="Y23" s="152">
        <v>6.3</v>
      </c>
      <c r="Z23" s="154">
        <v>7.83</v>
      </c>
      <c r="AA23" s="152" t="s">
        <v>51</v>
      </c>
      <c r="AB23" s="162">
        <v>10</v>
      </c>
      <c r="AC23" s="274">
        <f t="shared" si="20"/>
        <v>15.225000000000001</v>
      </c>
      <c r="AD23" s="151">
        <f t="shared" si="24"/>
        <v>19.919012644267788</v>
      </c>
      <c r="AE23" s="274">
        <f t="shared" si="25"/>
        <v>20.355990904952282</v>
      </c>
      <c r="AF23" s="157">
        <f t="shared" si="28"/>
        <v>0.64537600967427633</v>
      </c>
      <c r="AG23" s="158">
        <f t="shared" si="29"/>
        <v>0.65953410532045387</v>
      </c>
      <c r="AH23" s="1871">
        <f t="shared" si="26"/>
        <v>1073.7120167022417</v>
      </c>
      <c r="AI23" s="1872">
        <f t="shared" si="27"/>
        <v>908.82335752563392</v>
      </c>
      <c r="AJ23" s="155">
        <f t="shared" si="21"/>
        <v>757.35279793802829</v>
      </c>
      <c r="AK23" s="155">
        <f t="shared" si="22"/>
        <v>605.88223835042265</v>
      </c>
      <c r="AL23" s="155">
        <f t="shared" si="15"/>
        <v>5642.6307184051748</v>
      </c>
      <c r="AM23" s="160">
        <f t="shared" si="16"/>
        <v>4776.0987257353136</v>
      </c>
    </row>
    <row r="24" spans="1:40" ht="12.75" customHeight="1" x14ac:dyDescent="0.2">
      <c r="A24" s="144">
        <v>4</v>
      </c>
      <c r="B24" s="2359"/>
      <c r="C24" s="2361"/>
      <c r="D24" s="673">
        <v>2.2999999999999998</v>
      </c>
      <c r="E24" s="145" t="s">
        <v>39</v>
      </c>
      <c r="F24" s="146" t="s">
        <v>65</v>
      </c>
      <c r="G24" s="152">
        <v>4.3529999999999998</v>
      </c>
      <c r="H24" s="162">
        <v>4.79</v>
      </c>
      <c r="I24" s="147"/>
      <c r="J24" s="148">
        <v>0.65</v>
      </c>
      <c r="K24" s="149">
        <v>0.2</v>
      </c>
      <c r="L24" s="149"/>
      <c r="M24" s="150"/>
      <c r="N24" s="273">
        <f t="shared" si="17"/>
        <v>0.20085</v>
      </c>
      <c r="O24" s="152">
        <f t="shared" si="18"/>
        <v>0.34000000000000008</v>
      </c>
      <c r="P24" s="153">
        <f t="shared" si="23"/>
        <v>4.6972960011585387</v>
      </c>
      <c r="Q24" s="154">
        <f t="shared" si="19"/>
        <v>5.1339303386878949</v>
      </c>
      <c r="R24" s="137">
        <f t="shared" si="4"/>
        <v>4553.1052826390478</v>
      </c>
      <c r="S24" s="142">
        <f t="shared" si="5"/>
        <v>3603.4770204396932</v>
      </c>
      <c r="T24" s="1027">
        <v>2</v>
      </c>
      <c r="U24" s="152" t="s">
        <v>50</v>
      </c>
      <c r="V24" s="152">
        <v>6.3</v>
      </c>
      <c r="W24" s="152">
        <v>11</v>
      </c>
      <c r="X24" s="152">
        <v>35</v>
      </c>
      <c r="Y24" s="152">
        <v>6.3</v>
      </c>
      <c r="Z24" s="154">
        <v>7.89</v>
      </c>
      <c r="AA24" s="152" t="s">
        <v>51</v>
      </c>
      <c r="AB24" s="162">
        <v>10</v>
      </c>
      <c r="AC24" s="274">
        <f t="shared" si="20"/>
        <v>15.341666666666665</v>
      </c>
      <c r="AD24" s="151">
        <f t="shared" si="24"/>
        <v>20.035673414361305</v>
      </c>
      <c r="AE24" s="274">
        <f t="shared" si="25"/>
        <v>20.472651924790078</v>
      </c>
      <c r="AF24" s="157">
        <f t="shared" si="28"/>
        <v>0.64915581862530625</v>
      </c>
      <c r="AG24" s="158">
        <f t="shared" si="29"/>
        <v>0.66331392236319853</v>
      </c>
      <c r="AH24" s="1871">
        <f t="shared" si="26"/>
        <v>1067.4601644117486</v>
      </c>
      <c r="AI24" s="1872">
        <f t="shared" si="27"/>
        <v>903.64453359354889</v>
      </c>
      <c r="AJ24" s="155">
        <f t="shared" si="21"/>
        <v>753.0371113279574</v>
      </c>
      <c r="AK24" s="155">
        <f t="shared" si="22"/>
        <v>602.42968906236592</v>
      </c>
      <c r="AL24" s="155">
        <f t="shared" si="15"/>
        <v>5609.7756388004809</v>
      </c>
      <c r="AM24" s="160">
        <f t="shared" si="16"/>
        <v>4748.8826840501815</v>
      </c>
    </row>
    <row r="25" spans="1:40" ht="12.75" customHeight="1" x14ac:dyDescent="0.2">
      <c r="A25" s="144">
        <v>4</v>
      </c>
      <c r="B25" s="2358" t="s">
        <v>166</v>
      </c>
      <c r="C25" s="2360" t="s">
        <v>340</v>
      </c>
      <c r="D25" s="673">
        <v>2.5</v>
      </c>
      <c r="E25" s="145" t="s">
        <v>39</v>
      </c>
      <c r="F25" s="146" t="s">
        <v>49</v>
      </c>
      <c r="G25" s="152">
        <v>4.13</v>
      </c>
      <c r="H25" s="162">
        <v>6.96</v>
      </c>
      <c r="I25" s="147"/>
      <c r="J25" s="148">
        <v>5.4</v>
      </c>
      <c r="K25" s="149"/>
      <c r="L25" s="149"/>
      <c r="M25" s="150"/>
      <c r="N25" s="273">
        <f t="shared" si="17"/>
        <v>1.3446</v>
      </c>
      <c r="O25" s="152">
        <f t="shared" si="18"/>
        <v>2.16</v>
      </c>
      <c r="P25" s="153">
        <f t="shared" si="23"/>
        <v>6.4321107857374473</v>
      </c>
      <c r="Q25" s="154">
        <f t="shared" si="19"/>
        <v>9.2185871563922426</v>
      </c>
      <c r="R25" s="137">
        <f t="shared" si="4"/>
        <v>3325.0800475045221</v>
      </c>
      <c r="S25" s="142">
        <f t="shared" si="5"/>
        <v>2006.8151101844226</v>
      </c>
      <c r="T25" s="1027">
        <v>1</v>
      </c>
      <c r="U25" s="152" t="s">
        <v>73</v>
      </c>
      <c r="V25" s="152">
        <v>10</v>
      </c>
      <c r="W25" s="152">
        <v>11</v>
      </c>
      <c r="X25" s="152">
        <v>36.75</v>
      </c>
      <c r="Y25" s="152">
        <v>6.3</v>
      </c>
      <c r="Z25" s="154">
        <v>8.17</v>
      </c>
      <c r="AA25" s="152" t="s">
        <v>74</v>
      </c>
      <c r="AB25" s="162">
        <v>12</v>
      </c>
      <c r="AC25" s="274">
        <f t="shared" si="20"/>
        <v>11.034095625000001</v>
      </c>
      <c r="AD25" s="151">
        <f t="shared" si="24"/>
        <v>17.37619746619335</v>
      </c>
      <c r="AE25" s="274">
        <f t="shared" si="25"/>
        <v>20.198898970529164</v>
      </c>
      <c r="AF25" s="157">
        <f t="shared" si="28"/>
        <v>0.51064743574119231</v>
      </c>
      <c r="AG25" s="158">
        <f t="shared" si="29"/>
        <v>0.59360029627677557</v>
      </c>
      <c r="AH25" s="1870">
        <f t="shared" si="26"/>
        <v>1230.8379482107478</v>
      </c>
      <c r="AI25" s="1666">
        <f t="shared" si="27"/>
        <v>915.8915061158574</v>
      </c>
      <c r="AJ25" s="155">
        <f t="shared" si="21"/>
        <v>763.24292176321455</v>
      </c>
      <c r="AK25" s="155">
        <f t="shared" si="22"/>
        <v>610.5943374105716</v>
      </c>
      <c r="AL25" s="155">
        <f t="shared" si="15"/>
        <v>7131.375274261597</v>
      </c>
      <c r="AM25" s="160">
        <f t="shared" si="16"/>
        <v>5306.6011249618086</v>
      </c>
    </row>
    <row r="26" spans="1:40" ht="12.75" customHeight="1" x14ac:dyDescent="0.2">
      <c r="A26" s="144">
        <v>4</v>
      </c>
      <c r="B26" s="2359"/>
      <c r="C26" s="2361"/>
      <c r="D26" s="673">
        <v>2.5</v>
      </c>
      <c r="E26" s="145" t="s">
        <v>39</v>
      </c>
      <c r="F26" s="146" t="s">
        <v>49</v>
      </c>
      <c r="G26" s="152">
        <v>4.13</v>
      </c>
      <c r="H26" s="162">
        <v>6.96</v>
      </c>
      <c r="I26" s="147"/>
      <c r="J26" s="148">
        <v>5.4</v>
      </c>
      <c r="K26" s="149"/>
      <c r="L26" s="149"/>
      <c r="M26" s="150"/>
      <c r="N26" s="273">
        <f t="shared" si="17"/>
        <v>1.3446</v>
      </c>
      <c r="O26" s="152">
        <f t="shared" si="18"/>
        <v>2.16</v>
      </c>
      <c r="P26" s="153">
        <f t="shared" si="23"/>
        <v>6.4321107857374473</v>
      </c>
      <c r="Q26" s="154">
        <f t="shared" si="19"/>
        <v>9.2185871563922426</v>
      </c>
      <c r="R26" s="137">
        <f t="shared" si="4"/>
        <v>3325.0800475045221</v>
      </c>
      <c r="S26" s="142">
        <f t="shared" si="5"/>
        <v>2006.8151101844226</v>
      </c>
      <c r="T26" s="1027">
        <v>2</v>
      </c>
      <c r="U26" s="152" t="s">
        <v>73</v>
      </c>
      <c r="V26" s="152">
        <v>10</v>
      </c>
      <c r="W26" s="152">
        <v>11</v>
      </c>
      <c r="X26" s="152">
        <v>36.75</v>
      </c>
      <c r="Y26" s="152">
        <v>6.3</v>
      </c>
      <c r="Z26" s="154">
        <v>8.0299999999999994</v>
      </c>
      <c r="AA26" s="152" t="s">
        <v>74</v>
      </c>
      <c r="AB26" s="162">
        <v>12</v>
      </c>
      <c r="AC26" s="274">
        <f t="shared" si="20"/>
        <v>10.845016875000001</v>
      </c>
      <c r="AD26" s="151">
        <f t="shared" si="24"/>
        <v>17.187691888864393</v>
      </c>
      <c r="AE26" s="274">
        <f t="shared" si="25"/>
        <v>20.010243576204534</v>
      </c>
      <c r="AF26" s="157">
        <f t="shared" si="28"/>
        <v>0.50510767999928019</v>
      </c>
      <c r="AG26" s="158">
        <f t="shared" si="29"/>
        <v>0.58805613774968435</v>
      </c>
      <c r="AH26" s="1870">
        <f t="shared" si="26"/>
        <v>1244.3371323668346</v>
      </c>
      <c r="AI26" s="1666">
        <f t="shared" si="27"/>
        <v>924.52647712892087</v>
      </c>
      <c r="AJ26" s="155">
        <f t="shared" si="21"/>
        <v>770.43873094076741</v>
      </c>
      <c r="AK26" s="155">
        <f t="shared" si="22"/>
        <v>616.35098475261395</v>
      </c>
      <c r="AL26" s="155">
        <f t="shared" si="15"/>
        <v>7209.5884527335156</v>
      </c>
      <c r="AM26" s="160">
        <f t="shared" si="16"/>
        <v>5356.6314468787141</v>
      </c>
    </row>
    <row r="27" spans="1:40" ht="12.75" customHeight="1" x14ac:dyDescent="0.2">
      <c r="A27" s="144">
        <v>4</v>
      </c>
      <c r="B27" s="2358" t="s">
        <v>76</v>
      </c>
      <c r="C27" s="2362" t="s">
        <v>43</v>
      </c>
      <c r="D27" s="673">
        <v>2.5</v>
      </c>
      <c r="E27" s="145" t="s">
        <v>39</v>
      </c>
      <c r="F27" s="146" t="s">
        <v>49</v>
      </c>
      <c r="G27" s="152">
        <v>4.13</v>
      </c>
      <c r="H27" s="162">
        <v>6.96</v>
      </c>
      <c r="I27" s="147"/>
      <c r="J27" s="148">
        <v>3.6</v>
      </c>
      <c r="K27" s="149"/>
      <c r="L27" s="149"/>
      <c r="M27" s="150"/>
      <c r="N27" s="273">
        <f t="shared" si="17"/>
        <v>0.89639999999999997</v>
      </c>
      <c r="O27" s="152">
        <f t="shared" si="18"/>
        <v>1.4400000000000002</v>
      </c>
      <c r="P27" s="153">
        <f t="shared" si="23"/>
        <v>5.6416693416044863</v>
      </c>
      <c r="Q27" s="154">
        <f t="shared" si="19"/>
        <v>8.4476939433196794</v>
      </c>
      <c r="R27" s="1672">
        <f t="shared" si="4"/>
        <v>3790.9494410233715</v>
      </c>
      <c r="S27" s="1688">
        <f t="shared" si="5"/>
        <v>2189.9467622912102</v>
      </c>
      <c r="T27" s="1027">
        <v>1</v>
      </c>
      <c r="U27" s="152" t="s">
        <v>50</v>
      </c>
      <c r="V27" s="152">
        <v>6.3</v>
      </c>
      <c r="W27" s="152">
        <v>11</v>
      </c>
      <c r="X27" s="152">
        <v>35</v>
      </c>
      <c r="Y27" s="152">
        <v>6.3</v>
      </c>
      <c r="Z27" s="154">
        <v>7.73</v>
      </c>
      <c r="AA27" s="152" t="s">
        <v>63</v>
      </c>
      <c r="AB27" s="162">
        <v>10</v>
      </c>
      <c r="AC27" s="274">
        <f t="shared" si="20"/>
        <v>15.030555555555557</v>
      </c>
      <c r="AD27" s="151">
        <f t="shared" si="24"/>
        <v>20.620049033829449</v>
      </c>
      <c r="AE27" s="274">
        <f t="shared" si="25"/>
        <v>23.447696402887328</v>
      </c>
      <c r="AF27" s="157">
        <f t="shared" si="28"/>
        <v>0.66808958869607415</v>
      </c>
      <c r="AG27" s="158">
        <f t="shared" si="29"/>
        <v>0.75970536345354933</v>
      </c>
      <c r="AH27" s="1870">
        <f t="shared" si="26"/>
        <v>1037.208165795631</v>
      </c>
      <c r="AI27" s="1666">
        <f t="shared" si="27"/>
        <v>788.99008593961184</v>
      </c>
      <c r="AJ27" s="155">
        <f t="shared" si="21"/>
        <v>657.49173828300991</v>
      </c>
      <c r="AK27" s="155">
        <f t="shared" si="22"/>
        <v>525.99339062640786</v>
      </c>
      <c r="AL27" s="155">
        <f t="shared" si="15"/>
        <v>5450.7936640911548</v>
      </c>
      <c r="AM27" s="160">
        <f t="shared" si="16"/>
        <v>4146.3442954784414</v>
      </c>
    </row>
    <row r="28" spans="1:40" ht="12.75" customHeight="1" x14ac:dyDescent="0.2">
      <c r="A28" s="144">
        <v>4</v>
      </c>
      <c r="B28" s="2359"/>
      <c r="C28" s="2363"/>
      <c r="D28" s="673">
        <v>2.5</v>
      </c>
      <c r="E28" s="145" t="s">
        <v>39</v>
      </c>
      <c r="F28" s="146" t="s">
        <v>49</v>
      </c>
      <c r="G28" s="152">
        <v>4.13</v>
      </c>
      <c r="H28" s="162">
        <v>6.96</v>
      </c>
      <c r="I28" s="147"/>
      <c r="J28" s="148">
        <v>3.6</v>
      </c>
      <c r="K28" s="149"/>
      <c r="L28" s="149"/>
      <c r="M28" s="150"/>
      <c r="N28" s="273">
        <f t="shared" si="17"/>
        <v>0.89639999999999997</v>
      </c>
      <c r="O28" s="152">
        <f t="shared" si="18"/>
        <v>1.4400000000000002</v>
      </c>
      <c r="P28" s="153">
        <f t="shared" si="23"/>
        <v>5.6416693416044863</v>
      </c>
      <c r="Q28" s="154">
        <f t="shared" si="19"/>
        <v>8.4476939433196794</v>
      </c>
      <c r="R28" s="1672">
        <f t="shared" si="4"/>
        <v>3790.9494410233715</v>
      </c>
      <c r="S28" s="1688">
        <f t="shared" si="5"/>
        <v>2189.9467622912102</v>
      </c>
      <c r="T28" s="1027">
        <v>2</v>
      </c>
      <c r="U28" s="152" t="s">
        <v>50</v>
      </c>
      <c r="V28" s="152">
        <v>6.3</v>
      </c>
      <c r="W28" s="152">
        <v>11</v>
      </c>
      <c r="X28" s="152">
        <v>35</v>
      </c>
      <c r="Y28" s="152">
        <v>6.3</v>
      </c>
      <c r="Z28" s="154">
        <v>7.7</v>
      </c>
      <c r="AA28" s="152" t="s">
        <v>77</v>
      </c>
      <c r="AB28" s="162">
        <v>10</v>
      </c>
      <c r="AC28" s="274">
        <f t="shared" si="20"/>
        <v>14.972222222222221</v>
      </c>
      <c r="AD28" s="151">
        <f t="shared" si="24"/>
        <v>20.561771003178702</v>
      </c>
      <c r="AE28" s="274">
        <f t="shared" si="25"/>
        <v>23.389405818980059</v>
      </c>
      <c r="AF28" s="157">
        <f t="shared" si="28"/>
        <v>0.66620138050298994</v>
      </c>
      <c r="AG28" s="158">
        <f t="shared" si="29"/>
        <v>0.75781674853495384</v>
      </c>
      <c r="AH28" s="1870">
        <f t="shared" si="26"/>
        <v>1040.1479149674362</v>
      </c>
      <c r="AI28" s="1666">
        <f t="shared" si="27"/>
        <v>790.95639039225193</v>
      </c>
      <c r="AJ28" s="155">
        <f t="shared" si="21"/>
        <v>659.13032532687669</v>
      </c>
      <c r="AK28" s="155">
        <f t="shared" si="22"/>
        <v>527.30426026150133</v>
      </c>
      <c r="AL28" s="155">
        <f t="shared" si="15"/>
        <v>5466.2427963754162</v>
      </c>
      <c r="AM28" s="160">
        <f t="shared" si="16"/>
        <v>4156.6777272866093</v>
      </c>
    </row>
    <row r="29" spans="1:40" ht="12.75" customHeight="1" x14ac:dyDescent="0.2">
      <c r="A29" s="144">
        <v>4</v>
      </c>
      <c r="B29" s="2358" t="s">
        <v>163</v>
      </c>
      <c r="C29" s="2362" t="s">
        <v>43</v>
      </c>
      <c r="D29" s="673">
        <v>1.4</v>
      </c>
      <c r="E29" s="145" t="s">
        <v>39</v>
      </c>
      <c r="F29" s="146" t="s">
        <v>65</v>
      </c>
      <c r="G29" s="152">
        <v>4.3529999999999998</v>
      </c>
      <c r="H29" s="162">
        <v>4.79</v>
      </c>
      <c r="I29" s="147">
        <v>1.1000000000000001</v>
      </c>
      <c r="J29" s="148"/>
      <c r="K29" s="149">
        <v>5.95</v>
      </c>
      <c r="L29" s="149"/>
      <c r="M29" s="150"/>
      <c r="N29" s="273">
        <f t="shared" si="17"/>
        <v>1.5056500000000002</v>
      </c>
      <c r="O29" s="152">
        <f t="shared" si="18"/>
        <v>2.8200000000000003</v>
      </c>
      <c r="P29" s="153">
        <f t="shared" si="23"/>
        <v>7.3293185851414595</v>
      </c>
      <c r="Q29" s="154">
        <f t="shared" si="19"/>
        <v>7.7575177681072702</v>
      </c>
      <c r="R29" s="137">
        <f t="shared" si="4"/>
        <v>2918.0452437082095</v>
      </c>
      <c r="S29" s="142">
        <f t="shared" si="5"/>
        <v>2384.7834517449969</v>
      </c>
      <c r="T29" s="1027">
        <v>1</v>
      </c>
      <c r="U29" s="404" t="s">
        <v>99</v>
      </c>
      <c r="V29" s="152">
        <v>4</v>
      </c>
      <c r="W29" s="152">
        <v>11</v>
      </c>
      <c r="X29" s="152">
        <v>35</v>
      </c>
      <c r="Y29" s="152">
        <v>6.3</v>
      </c>
      <c r="Z29" s="154">
        <v>6.25</v>
      </c>
      <c r="AA29" s="152"/>
      <c r="AB29" s="162">
        <v>5</v>
      </c>
      <c r="AC29" s="274">
        <f t="shared" si="20"/>
        <v>19.140625</v>
      </c>
      <c r="AD29" s="151">
        <f t="shared" si="24"/>
        <v>26.356665998625946</v>
      </c>
      <c r="AE29" s="274">
        <f t="shared" si="25"/>
        <v>26.792963998279941</v>
      </c>
      <c r="AF29" s="157">
        <f t="shared" si="28"/>
        <v>0.85395597835548065</v>
      </c>
      <c r="AG29" s="158">
        <f t="shared" si="29"/>
        <v>0.86809203354427</v>
      </c>
      <c r="AH29" s="159">
        <f t="shared" si="26"/>
        <v>811.45632145238721</v>
      </c>
      <c r="AI29" s="155">
        <f t="shared" si="27"/>
        <v>690.47978421452979</v>
      </c>
      <c r="AJ29" s="155">
        <f t="shared" si="21"/>
        <v>575.3998201787748</v>
      </c>
      <c r="AK29" s="155">
        <f t="shared" si="22"/>
        <v>460.31985614301988</v>
      </c>
      <c r="AL29" s="155">
        <f t="shared" si="15"/>
        <v>4264.4100977227563</v>
      </c>
      <c r="AM29" s="160">
        <f t="shared" si="16"/>
        <v>3628.647514640923</v>
      </c>
    </row>
    <row r="30" spans="1:40" ht="12.75" customHeight="1" thickBot="1" x14ac:dyDescent="0.25">
      <c r="A30" s="144">
        <v>4</v>
      </c>
      <c r="B30" s="2308"/>
      <c r="C30" s="2363"/>
      <c r="D30" s="648">
        <v>1.4</v>
      </c>
      <c r="E30" s="281" t="s">
        <v>39</v>
      </c>
      <c r="F30" s="654" t="s">
        <v>65</v>
      </c>
      <c r="G30" s="276">
        <v>4.3529999999999998</v>
      </c>
      <c r="H30" s="282">
        <v>4.79</v>
      </c>
      <c r="I30" s="410">
        <v>1.1000000000000001</v>
      </c>
      <c r="J30" s="623"/>
      <c r="K30" s="624">
        <v>5.95</v>
      </c>
      <c r="L30" s="624"/>
      <c r="M30" s="625"/>
      <c r="N30" s="536">
        <f t="shared" si="17"/>
        <v>1.5056500000000002</v>
      </c>
      <c r="O30" s="166">
        <f t="shared" si="18"/>
        <v>2.8200000000000003</v>
      </c>
      <c r="P30" s="172">
        <f t="shared" si="23"/>
        <v>7.3293185851414595</v>
      </c>
      <c r="Q30" s="173">
        <f t="shared" si="19"/>
        <v>7.7575177681072702</v>
      </c>
      <c r="R30" s="370">
        <f t="shared" si="4"/>
        <v>2918.0452437082095</v>
      </c>
      <c r="S30" s="1037">
        <f t="shared" si="5"/>
        <v>2384.7834517449969</v>
      </c>
      <c r="T30" s="1029">
        <v>2</v>
      </c>
      <c r="U30" s="530" t="s">
        <v>99</v>
      </c>
      <c r="V30" s="166">
        <v>4</v>
      </c>
      <c r="W30" s="166">
        <v>11</v>
      </c>
      <c r="X30" s="166">
        <v>35</v>
      </c>
      <c r="Y30" s="166">
        <v>6.3</v>
      </c>
      <c r="Z30" s="173">
        <v>6.25</v>
      </c>
      <c r="AA30" s="166"/>
      <c r="AB30" s="366">
        <v>5</v>
      </c>
      <c r="AC30" s="531">
        <f t="shared" si="20"/>
        <v>19.140625</v>
      </c>
      <c r="AD30" s="171">
        <f t="shared" si="24"/>
        <v>26.356665998625946</v>
      </c>
      <c r="AE30" s="531">
        <f t="shared" si="25"/>
        <v>26.792963998279941</v>
      </c>
      <c r="AF30" s="175">
        <f t="shared" si="28"/>
        <v>0.85395597835548065</v>
      </c>
      <c r="AG30" s="176">
        <f t="shared" si="29"/>
        <v>0.86809203354427</v>
      </c>
      <c r="AH30" s="291">
        <f t="shared" si="26"/>
        <v>811.45632145238721</v>
      </c>
      <c r="AI30" s="292">
        <f t="shared" si="27"/>
        <v>690.47978421452979</v>
      </c>
      <c r="AJ30" s="292">
        <f t="shared" si="21"/>
        <v>575.3998201787748</v>
      </c>
      <c r="AK30" s="292">
        <f t="shared" si="22"/>
        <v>460.31985614301988</v>
      </c>
      <c r="AL30" s="292">
        <f t="shared" si="15"/>
        <v>4264.4100977227563</v>
      </c>
      <c r="AM30" s="318">
        <f t="shared" si="16"/>
        <v>3628.647514640923</v>
      </c>
    </row>
    <row r="31" spans="1:40" ht="12.75" hidden="1" customHeight="1" x14ac:dyDescent="0.2">
      <c r="A31" s="257">
        <v>4</v>
      </c>
      <c r="B31" s="2478" t="s">
        <v>89</v>
      </c>
      <c r="C31" s="2484" t="s">
        <v>43</v>
      </c>
      <c r="D31" s="674">
        <v>2.5</v>
      </c>
      <c r="E31" s="230" t="s">
        <v>35</v>
      </c>
      <c r="F31" s="231" t="s">
        <v>49</v>
      </c>
      <c r="G31" s="232">
        <v>4.13</v>
      </c>
      <c r="H31" s="233">
        <v>6.96</v>
      </c>
      <c r="I31" s="234">
        <v>1.6</v>
      </c>
      <c r="J31" s="235">
        <v>4.0999999999999996</v>
      </c>
      <c r="K31" s="236">
        <v>1.35</v>
      </c>
      <c r="L31" s="236"/>
      <c r="M31" s="251"/>
      <c r="N31" s="338">
        <f t="shared" si="17"/>
        <v>1.7865499999999999</v>
      </c>
      <c r="O31" s="198">
        <f t="shared" si="18"/>
        <v>2.82</v>
      </c>
      <c r="P31" s="205">
        <f t="shared" ref="P31:P38" si="30">SQRT(POWER(N31,2)+POWER(O31+G31,2))</f>
        <v>7.1759501741929608</v>
      </c>
      <c r="Q31" s="206">
        <f t="shared" si="19"/>
        <v>9.9418389095026072</v>
      </c>
      <c r="R31" s="207">
        <f t="shared" si="4"/>
        <v>2980.411334781812</v>
      </c>
      <c r="S31" s="1018">
        <f t="shared" si="5"/>
        <v>1860.8227480247474</v>
      </c>
      <c r="T31" s="1030">
        <v>1</v>
      </c>
      <c r="U31" s="198" t="s">
        <v>85</v>
      </c>
      <c r="V31" s="198">
        <v>4</v>
      </c>
      <c r="W31" s="198">
        <v>11</v>
      </c>
      <c r="X31" s="198">
        <v>35</v>
      </c>
      <c r="Y31" s="198">
        <v>6.3</v>
      </c>
      <c r="Z31" s="206">
        <v>6.35</v>
      </c>
      <c r="AA31" s="198"/>
      <c r="AB31" s="199">
        <v>5</v>
      </c>
      <c r="AC31" s="340">
        <f t="shared" si="20"/>
        <v>19.446875000000002</v>
      </c>
      <c r="AD31" s="204">
        <f t="shared" ref="AD31:AD40" si="31">SQRT(POWER(N31,2)+POWER(O31+AC31+G31,2))</f>
        <v>26.457263098592136</v>
      </c>
      <c r="AE31" s="340">
        <f t="shared" ref="AE31:AE40" si="32">SQRT(POWER(N31,2)+POWER(O31+AC31+H31,2))</f>
        <v>29.281427273412156</v>
      </c>
      <c r="AF31" s="179">
        <f t="shared" si="28"/>
        <v>0.85721532439438519</v>
      </c>
      <c r="AG31" s="180">
        <f t="shared" si="29"/>
        <v>0.94871824365855373</v>
      </c>
      <c r="AH31" s="265">
        <f t="shared" ref="AH31:AH40" si="33">37000/1.73/SQRT(POWER((G31+O31+AC31),2)+N31*N31)</f>
        <v>808.37096253286666</v>
      </c>
      <c r="AI31" s="253">
        <f t="shared" ref="AI31:AI40" si="34">37000/2/SQRT(POWER((H31+O31+AC31),2)+N31*N31)</f>
        <v>631.79980358396654</v>
      </c>
      <c r="AJ31" s="253">
        <f t="shared" si="21"/>
        <v>526.49983631997213</v>
      </c>
      <c r="AK31" s="253">
        <f t="shared" si="22"/>
        <v>421.19986905597767</v>
      </c>
      <c r="AL31" s="253">
        <f t="shared" si="15"/>
        <v>4248.1957490465966</v>
      </c>
      <c r="AM31" s="266">
        <f t="shared" si="16"/>
        <v>3320.2692380538783</v>
      </c>
    </row>
    <row r="32" spans="1:40" ht="12.75" hidden="1" customHeight="1" x14ac:dyDescent="0.2">
      <c r="A32" s="256">
        <v>4</v>
      </c>
      <c r="B32" s="2366"/>
      <c r="C32" s="2372"/>
      <c r="D32" s="675">
        <v>2.5</v>
      </c>
      <c r="E32" s="209" t="s">
        <v>35</v>
      </c>
      <c r="F32" s="210" t="s">
        <v>49</v>
      </c>
      <c r="G32" s="211">
        <v>4.13</v>
      </c>
      <c r="H32" s="212">
        <v>6.96</v>
      </c>
      <c r="I32" s="213">
        <v>1.6</v>
      </c>
      <c r="J32" s="214">
        <v>4.0999999999999996</v>
      </c>
      <c r="K32" s="215">
        <v>1.35</v>
      </c>
      <c r="L32" s="215"/>
      <c r="M32" s="216"/>
      <c r="N32" s="305">
        <f t="shared" si="17"/>
        <v>1.7865499999999999</v>
      </c>
      <c r="O32" s="211">
        <f t="shared" si="18"/>
        <v>2.82</v>
      </c>
      <c r="P32" s="218">
        <f t="shared" si="30"/>
        <v>7.1759501741929608</v>
      </c>
      <c r="Q32" s="219">
        <f t="shared" si="19"/>
        <v>9.9418389095026072</v>
      </c>
      <c r="R32" s="207">
        <f t="shared" si="4"/>
        <v>2980.411334781812</v>
      </c>
      <c r="S32" s="1018">
        <f t="shared" si="5"/>
        <v>1860.8227480247474</v>
      </c>
      <c r="T32" s="1031">
        <v>2</v>
      </c>
      <c r="U32" s="211" t="s">
        <v>85</v>
      </c>
      <c r="V32" s="211">
        <v>4</v>
      </c>
      <c r="W32" s="211">
        <v>11</v>
      </c>
      <c r="X32" s="211">
        <v>35</v>
      </c>
      <c r="Y32" s="211">
        <v>6.3</v>
      </c>
      <c r="Z32" s="219">
        <v>6.35</v>
      </c>
      <c r="AA32" s="211"/>
      <c r="AB32" s="212">
        <v>5</v>
      </c>
      <c r="AC32" s="307">
        <f t="shared" si="20"/>
        <v>19.446875000000002</v>
      </c>
      <c r="AD32" s="217">
        <f t="shared" si="31"/>
        <v>26.457263098592136</v>
      </c>
      <c r="AE32" s="307">
        <f t="shared" si="32"/>
        <v>29.281427273412156</v>
      </c>
      <c r="AF32" s="157">
        <f t="shared" si="28"/>
        <v>0.85721532439438519</v>
      </c>
      <c r="AG32" s="158">
        <f t="shared" si="29"/>
        <v>0.94871824365855373</v>
      </c>
      <c r="AH32" s="261">
        <f t="shared" si="33"/>
        <v>808.37096253286666</v>
      </c>
      <c r="AI32" s="220">
        <f t="shared" si="34"/>
        <v>631.79980358396654</v>
      </c>
      <c r="AJ32" s="220">
        <f t="shared" si="21"/>
        <v>526.49983631997213</v>
      </c>
      <c r="AK32" s="220">
        <f t="shared" si="22"/>
        <v>421.19986905597767</v>
      </c>
      <c r="AL32" s="220">
        <f t="shared" si="15"/>
        <v>4248.1957490465966</v>
      </c>
      <c r="AM32" s="262">
        <f t="shared" si="16"/>
        <v>3320.2692380538783</v>
      </c>
    </row>
    <row r="33" spans="1:40" ht="12.75" hidden="1" customHeight="1" x14ac:dyDescent="0.2">
      <c r="A33" s="256">
        <v>4</v>
      </c>
      <c r="B33" s="2369" t="s">
        <v>90</v>
      </c>
      <c r="C33" s="2371" t="s">
        <v>43</v>
      </c>
      <c r="D33" s="675">
        <v>2.5</v>
      </c>
      <c r="E33" s="209" t="s">
        <v>35</v>
      </c>
      <c r="F33" s="210" t="s">
        <v>49</v>
      </c>
      <c r="G33" s="211">
        <v>4.13</v>
      </c>
      <c r="H33" s="212">
        <v>6.96</v>
      </c>
      <c r="I33" s="213">
        <v>2</v>
      </c>
      <c r="J33" s="214">
        <v>4.0999999999999996</v>
      </c>
      <c r="K33" s="215">
        <v>3.45</v>
      </c>
      <c r="L33" s="215"/>
      <c r="M33" s="216"/>
      <c r="N33" s="305">
        <f t="shared" si="17"/>
        <v>2.32165</v>
      </c>
      <c r="O33" s="211">
        <f t="shared" si="18"/>
        <v>3.8200000000000003</v>
      </c>
      <c r="P33" s="218">
        <f t="shared" si="30"/>
        <v>8.2820624679182426</v>
      </c>
      <c r="Q33" s="219">
        <f t="shared" si="19"/>
        <v>11.027169116436912</v>
      </c>
      <c r="R33" s="207">
        <f t="shared" si="4"/>
        <v>2582.3619804657269</v>
      </c>
      <c r="S33" s="1018">
        <f t="shared" si="5"/>
        <v>1677.6744606577415</v>
      </c>
      <c r="T33" s="1031">
        <v>1</v>
      </c>
      <c r="U33" s="211" t="s">
        <v>85</v>
      </c>
      <c r="V33" s="211">
        <v>4</v>
      </c>
      <c r="W33" s="211">
        <v>11</v>
      </c>
      <c r="X33" s="211">
        <v>35</v>
      </c>
      <c r="Y33" s="211">
        <v>6.3</v>
      </c>
      <c r="Z33" s="219">
        <v>6.18</v>
      </c>
      <c r="AA33" s="211"/>
      <c r="AB33" s="212">
        <v>5</v>
      </c>
      <c r="AC33" s="307">
        <f t="shared" si="20"/>
        <v>18.92625</v>
      </c>
      <c r="AD33" s="217">
        <f t="shared" si="31"/>
        <v>26.976339128669775</v>
      </c>
      <c r="AE33" s="307">
        <f t="shared" si="32"/>
        <v>29.796834526254631</v>
      </c>
      <c r="AF33" s="157">
        <f t="shared" si="28"/>
        <v>0.8740333877689006</v>
      </c>
      <c r="AG33" s="158">
        <f t="shared" si="29"/>
        <v>0.96541743865064999</v>
      </c>
      <c r="AH33" s="261">
        <f t="shared" si="33"/>
        <v>792.81636900332228</v>
      </c>
      <c r="AI33" s="220">
        <f t="shared" si="34"/>
        <v>620.87132053236235</v>
      </c>
      <c r="AJ33" s="220">
        <f t="shared" si="21"/>
        <v>517.39276711030197</v>
      </c>
      <c r="AK33" s="220">
        <f t="shared" si="22"/>
        <v>413.91421368824155</v>
      </c>
      <c r="AL33" s="220">
        <f t="shared" si="15"/>
        <v>4166.4523896571</v>
      </c>
      <c r="AM33" s="262">
        <f t="shared" si="16"/>
        <v>3262.8372700649675</v>
      </c>
    </row>
    <row r="34" spans="1:40" ht="12.75" hidden="1" customHeight="1" x14ac:dyDescent="0.2">
      <c r="A34" s="256">
        <v>4</v>
      </c>
      <c r="B34" s="2366"/>
      <c r="C34" s="2372"/>
      <c r="D34" s="675">
        <v>2.5</v>
      </c>
      <c r="E34" s="209" t="s">
        <v>35</v>
      </c>
      <c r="F34" s="210" t="s">
        <v>49</v>
      </c>
      <c r="G34" s="211">
        <v>4.13</v>
      </c>
      <c r="H34" s="212">
        <v>6.96</v>
      </c>
      <c r="I34" s="213">
        <v>2</v>
      </c>
      <c r="J34" s="214">
        <v>4.0999999999999996</v>
      </c>
      <c r="K34" s="215">
        <v>3.45</v>
      </c>
      <c r="L34" s="215"/>
      <c r="M34" s="216"/>
      <c r="N34" s="305">
        <f t="shared" si="17"/>
        <v>2.32165</v>
      </c>
      <c r="O34" s="211">
        <f t="shared" si="18"/>
        <v>3.8200000000000003</v>
      </c>
      <c r="P34" s="218">
        <f t="shared" si="30"/>
        <v>8.2820624679182426</v>
      </c>
      <c r="Q34" s="219">
        <f t="shared" si="19"/>
        <v>11.027169116436912</v>
      </c>
      <c r="R34" s="207">
        <f t="shared" si="4"/>
        <v>2582.3619804657269</v>
      </c>
      <c r="S34" s="1018">
        <f t="shared" si="5"/>
        <v>1677.6744606577415</v>
      </c>
      <c r="T34" s="1031">
        <v>2</v>
      </c>
      <c r="U34" s="211" t="s">
        <v>85</v>
      </c>
      <c r="V34" s="211">
        <v>4</v>
      </c>
      <c r="W34" s="211">
        <v>11</v>
      </c>
      <c r="X34" s="211">
        <v>35</v>
      </c>
      <c r="Y34" s="211">
        <v>6.3</v>
      </c>
      <c r="Z34" s="219">
        <v>6.15</v>
      </c>
      <c r="AA34" s="211"/>
      <c r="AB34" s="212">
        <v>5</v>
      </c>
      <c r="AC34" s="307">
        <f t="shared" si="20"/>
        <v>18.834375000000001</v>
      </c>
      <c r="AD34" s="217">
        <f t="shared" si="31"/>
        <v>26.884806171202445</v>
      </c>
      <c r="AE34" s="307">
        <f t="shared" si="32"/>
        <v>29.705239695432944</v>
      </c>
      <c r="AF34" s="157">
        <f t="shared" si="28"/>
        <v>0.8710677199469592</v>
      </c>
      <c r="AG34" s="158">
        <f t="shared" si="29"/>
        <v>0.96244976613202737</v>
      </c>
      <c r="AH34" s="261">
        <f t="shared" si="33"/>
        <v>795.51561952130135</v>
      </c>
      <c r="AI34" s="220">
        <f t="shared" si="34"/>
        <v>622.78575058407284</v>
      </c>
      <c r="AJ34" s="220">
        <f t="shared" si="21"/>
        <v>518.98812548672743</v>
      </c>
      <c r="AK34" s="220">
        <f t="shared" si="22"/>
        <v>415.1905003893819</v>
      </c>
      <c r="AL34" s="220">
        <f t="shared" si="15"/>
        <v>4180.637640126959</v>
      </c>
      <c r="AM34" s="262">
        <f t="shared" si="16"/>
        <v>3272.8980886550371</v>
      </c>
    </row>
    <row r="35" spans="1:40" ht="12.75" hidden="1" customHeight="1" x14ac:dyDescent="0.2">
      <c r="A35" s="256">
        <v>4</v>
      </c>
      <c r="B35" s="2369" t="s">
        <v>97</v>
      </c>
      <c r="C35" s="2371" t="s">
        <v>43</v>
      </c>
      <c r="D35" s="675">
        <v>1.4</v>
      </c>
      <c r="E35" s="209" t="s">
        <v>35</v>
      </c>
      <c r="F35" s="210" t="s">
        <v>65</v>
      </c>
      <c r="G35" s="211">
        <v>4.3529999999999998</v>
      </c>
      <c r="H35" s="212">
        <v>4.79</v>
      </c>
      <c r="I35" s="213">
        <v>2.8</v>
      </c>
      <c r="J35" s="214">
        <v>4.3</v>
      </c>
      <c r="K35" s="215">
        <v>7.05</v>
      </c>
      <c r="L35" s="215"/>
      <c r="M35" s="216"/>
      <c r="N35" s="305">
        <f t="shared" si="17"/>
        <v>3.3246500000000001</v>
      </c>
      <c r="O35" s="211">
        <f t="shared" si="18"/>
        <v>5.66</v>
      </c>
      <c r="P35" s="218">
        <f t="shared" si="30"/>
        <v>10.550519732340204</v>
      </c>
      <c r="Q35" s="219">
        <f t="shared" si="19"/>
        <v>10.966120445376294</v>
      </c>
      <c r="R35" s="207">
        <f t="shared" si="4"/>
        <v>2027.1307745566692</v>
      </c>
      <c r="S35" s="1018">
        <f t="shared" si="5"/>
        <v>1687.014116993422</v>
      </c>
      <c r="T35" s="1031">
        <v>1</v>
      </c>
      <c r="U35" s="211" t="s">
        <v>85</v>
      </c>
      <c r="V35" s="211">
        <v>4</v>
      </c>
      <c r="W35" s="211">
        <v>11</v>
      </c>
      <c r="X35" s="211">
        <v>35</v>
      </c>
      <c r="Y35" s="211">
        <v>6.3</v>
      </c>
      <c r="Z35" s="219">
        <v>6.25</v>
      </c>
      <c r="AA35" s="211"/>
      <c r="AB35" s="212">
        <v>5</v>
      </c>
      <c r="AC35" s="307">
        <f t="shared" si="20"/>
        <v>19.140625</v>
      </c>
      <c r="AD35" s="217">
        <f t="shared" si="31"/>
        <v>29.342582508414711</v>
      </c>
      <c r="AE35" s="307">
        <f t="shared" si="32"/>
        <v>29.776809525419694</v>
      </c>
      <c r="AF35" s="157">
        <f t="shared" si="28"/>
        <v>0.9506996732726366</v>
      </c>
      <c r="AG35" s="158">
        <f t="shared" si="29"/>
        <v>0.96476862862359802</v>
      </c>
      <c r="AH35" s="261">
        <f t="shared" si="33"/>
        <v>728.8821026867995</v>
      </c>
      <c r="AI35" s="220">
        <f t="shared" si="34"/>
        <v>621.2888585060474</v>
      </c>
      <c r="AJ35" s="220">
        <f t="shared" si="21"/>
        <v>517.74071542170623</v>
      </c>
      <c r="AK35" s="220">
        <f t="shared" si="22"/>
        <v>414.19257233736494</v>
      </c>
      <c r="AL35" s="220">
        <f t="shared" si="15"/>
        <v>3830.4615006063041</v>
      </c>
      <c r="AM35" s="262">
        <f t="shared" si="16"/>
        <v>3265.0315386954444</v>
      </c>
    </row>
    <row r="36" spans="1:40" ht="12.75" hidden="1" customHeight="1" x14ac:dyDescent="0.2">
      <c r="A36" s="256">
        <v>4</v>
      </c>
      <c r="B36" s="2366"/>
      <c r="C36" s="2372"/>
      <c r="D36" s="675">
        <v>1.4</v>
      </c>
      <c r="E36" s="209" t="s">
        <v>35</v>
      </c>
      <c r="F36" s="210" t="s">
        <v>65</v>
      </c>
      <c r="G36" s="211">
        <v>4.3529999999999998</v>
      </c>
      <c r="H36" s="212">
        <v>4.79</v>
      </c>
      <c r="I36" s="213">
        <v>2.8</v>
      </c>
      <c r="J36" s="214">
        <v>4.3</v>
      </c>
      <c r="K36" s="215">
        <v>7.05</v>
      </c>
      <c r="L36" s="215"/>
      <c r="M36" s="216"/>
      <c r="N36" s="305">
        <f t="shared" si="17"/>
        <v>3.3246500000000001</v>
      </c>
      <c r="O36" s="211">
        <f t="shared" si="18"/>
        <v>5.66</v>
      </c>
      <c r="P36" s="218">
        <f t="shared" si="30"/>
        <v>10.550519732340204</v>
      </c>
      <c r="Q36" s="219">
        <f t="shared" si="19"/>
        <v>10.966120445376294</v>
      </c>
      <c r="R36" s="207">
        <f t="shared" si="4"/>
        <v>2027.1307745566692</v>
      </c>
      <c r="S36" s="1018">
        <f t="shared" si="5"/>
        <v>1687.014116993422</v>
      </c>
      <c r="T36" s="1031">
        <v>2</v>
      </c>
      <c r="U36" s="211" t="s">
        <v>85</v>
      </c>
      <c r="V36" s="211">
        <v>4</v>
      </c>
      <c r="W36" s="211">
        <v>11</v>
      </c>
      <c r="X36" s="211">
        <v>35</v>
      </c>
      <c r="Y36" s="211">
        <v>6.3</v>
      </c>
      <c r="Z36" s="219">
        <v>6.54</v>
      </c>
      <c r="AA36" s="211"/>
      <c r="AB36" s="212">
        <v>5</v>
      </c>
      <c r="AC36" s="307">
        <f t="shared" si="20"/>
        <v>20.028750000000002</v>
      </c>
      <c r="AD36" s="217">
        <f t="shared" si="31"/>
        <v>30.225155759482863</v>
      </c>
      <c r="AE36" s="307">
        <f t="shared" si="32"/>
        <v>30.659541731490382</v>
      </c>
      <c r="AF36" s="157">
        <f t="shared" si="28"/>
        <v>0.97929504660724476</v>
      </c>
      <c r="AG36" s="158">
        <f t="shared" si="29"/>
        <v>0.99336915210028831</v>
      </c>
      <c r="AH36" s="261">
        <f t="shared" si="33"/>
        <v>707.59877656822846</v>
      </c>
      <c r="AI36" s="220">
        <f t="shared" si="34"/>
        <v>603.40106065573286</v>
      </c>
      <c r="AJ36" s="220">
        <f t="shared" si="21"/>
        <v>502.83421721311072</v>
      </c>
      <c r="AK36" s="220">
        <f t="shared" si="22"/>
        <v>402.26737377048858</v>
      </c>
      <c r="AL36" s="220">
        <f t="shared" si="15"/>
        <v>3718.6121891723719</v>
      </c>
      <c r="AM36" s="262">
        <f t="shared" si="16"/>
        <v>3171.0265950376352</v>
      </c>
    </row>
    <row r="37" spans="1:40" ht="12.75" hidden="1" customHeight="1" x14ac:dyDescent="0.2">
      <c r="A37" s="256">
        <v>4</v>
      </c>
      <c r="B37" s="2369" t="s">
        <v>165</v>
      </c>
      <c r="C37" s="2371" t="s">
        <v>43</v>
      </c>
      <c r="D37" s="675">
        <v>2.2999999999999998</v>
      </c>
      <c r="E37" s="209" t="s">
        <v>35</v>
      </c>
      <c r="F37" s="210" t="s">
        <v>45</v>
      </c>
      <c r="G37" s="211">
        <v>6.5380000000000003</v>
      </c>
      <c r="H37" s="212">
        <v>7.4059999999999997</v>
      </c>
      <c r="I37" s="213">
        <v>9.6</v>
      </c>
      <c r="J37" s="214">
        <v>14.1</v>
      </c>
      <c r="K37" s="215">
        <v>3.9</v>
      </c>
      <c r="L37" s="215"/>
      <c r="M37" s="216"/>
      <c r="N37" s="305">
        <f t="shared" si="17"/>
        <v>7.2858000000000001</v>
      </c>
      <c r="O37" s="211">
        <f t="shared" si="18"/>
        <v>11.04</v>
      </c>
      <c r="P37" s="218">
        <f t="shared" si="30"/>
        <v>19.028109880910399</v>
      </c>
      <c r="Q37" s="219">
        <f t="shared" si="19"/>
        <v>19.832745590058877</v>
      </c>
      <c r="R37" s="207">
        <f t="shared" ref="R37:R76" si="35">37000/1.73/SQRT(POWER((G37+O37),2)+N37*N37)</f>
        <v>1123.9835890610773</v>
      </c>
      <c r="S37" s="1018">
        <f t="shared" ref="S37:S76" si="36">37000/2/SQRT(N37*N37+POWER((H37+O37),2))</f>
        <v>932.80075196815346</v>
      </c>
      <c r="T37" s="1031">
        <v>1</v>
      </c>
      <c r="U37" s="211" t="s">
        <v>85</v>
      </c>
      <c r="V37" s="211">
        <v>4</v>
      </c>
      <c r="W37" s="211">
        <v>11</v>
      </c>
      <c r="X37" s="211">
        <v>35</v>
      </c>
      <c r="Y37" s="211">
        <v>6.3</v>
      </c>
      <c r="Z37" s="219">
        <v>6.14</v>
      </c>
      <c r="AA37" s="211"/>
      <c r="AB37" s="212">
        <v>5</v>
      </c>
      <c r="AC37" s="307">
        <f t="shared" si="20"/>
        <v>18.803750000000001</v>
      </c>
      <c r="AD37" s="217">
        <f t="shared" si="31"/>
        <v>37.104105092327721</v>
      </c>
      <c r="AE37" s="307">
        <f t="shared" si="32"/>
        <v>37.955589268281685</v>
      </c>
      <c r="AF37" s="157">
        <f t="shared" si="28"/>
        <v>1.2021730049914181</v>
      </c>
      <c r="AG37" s="158">
        <f t="shared" si="29"/>
        <v>1.2297610922923266</v>
      </c>
      <c r="AH37" s="261">
        <f t="shared" si="33"/>
        <v>576.41285738533065</v>
      </c>
      <c r="AI37" s="220">
        <f t="shared" si="34"/>
        <v>487.41174505910988</v>
      </c>
      <c r="AJ37" s="220">
        <f t="shared" si="21"/>
        <v>406.17645421592493</v>
      </c>
      <c r="AK37" s="220">
        <f t="shared" si="22"/>
        <v>324.94116337273994</v>
      </c>
      <c r="AL37" s="220">
        <f t="shared" ref="AL37:AL76" si="37">6300/(1.73*AF37)</f>
        <v>3029.1966979709573</v>
      </c>
      <c r="AM37" s="262">
        <f t="shared" ref="AM37:AM76" si="38">6300/(2*AG37)</f>
        <v>2561.4731346950221</v>
      </c>
    </row>
    <row r="38" spans="1:40" ht="12.75" hidden="1" customHeight="1" x14ac:dyDescent="0.2">
      <c r="A38" s="256">
        <v>4</v>
      </c>
      <c r="B38" s="2366"/>
      <c r="C38" s="2372"/>
      <c r="D38" s="675">
        <v>2.2999999999999998</v>
      </c>
      <c r="E38" s="209" t="s">
        <v>35</v>
      </c>
      <c r="F38" s="210" t="s">
        <v>45</v>
      </c>
      <c r="G38" s="211">
        <v>6.5380000000000003</v>
      </c>
      <c r="H38" s="212">
        <v>7.4059999999999997</v>
      </c>
      <c r="I38" s="213">
        <v>9.6</v>
      </c>
      <c r="J38" s="214">
        <v>14.1</v>
      </c>
      <c r="K38" s="215">
        <v>3.9</v>
      </c>
      <c r="L38" s="215"/>
      <c r="M38" s="216"/>
      <c r="N38" s="305">
        <f t="shared" si="17"/>
        <v>7.2858000000000001</v>
      </c>
      <c r="O38" s="211">
        <f t="shared" si="18"/>
        <v>11.04</v>
      </c>
      <c r="P38" s="218">
        <f t="shared" si="30"/>
        <v>19.028109880910399</v>
      </c>
      <c r="Q38" s="219">
        <f t="shared" si="19"/>
        <v>19.832745590058877</v>
      </c>
      <c r="R38" s="207">
        <f t="shared" si="35"/>
        <v>1123.9835890610773</v>
      </c>
      <c r="S38" s="1018">
        <f t="shared" si="36"/>
        <v>932.80075196815346</v>
      </c>
      <c r="T38" s="1031">
        <v>2</v>
      </c>
      <c r="U38" s="211" t="s">
        <v>85</v>
      </c>
      <c r="V38" s="211">
        <v>4</v>
      </c>
      <c r="W38" s="211">
        <v>11</v>
      </c>
      <c r="X38" s="211">
        <v>35</v>
      </c>
      <c r="Y38" s="211">
        <v>6.3</v>
      </c>
      <c r="Z38" s="219">
        <v>6.35</v>
      </c>
      <c r="AA38" s="211"/>
      <c r="AB38" s="212">
        <v>5</v>
      </c>
      <c r="AC38" s="307">
        <f t="shared" si="20"/>
        <v>19.446875000000002</v>
      </c>
      <c r="AD38" s="217">
        <f t="shared" si="31"/>
        <v>37.734920834760274</v>
      </c>
      <c r="AE38" s="307">
        <f t="shared" si="32"/>
        <v>38.586951906125279</v>
      </c>
      <c r="AF38" s="157">
        <f t="shared" si="28"/>
        <v>1.2226114350462327</v>
      </c>
      <c r="AG38" s="158">
        <f t="shared" si="29"/>
        <v>1.2502172417584589</v>
      </c>
      <c r="AH38" s="261">
        <f t="shared" si="33"/>
        <v>566.7769472910328</v>
      </c>
      <c r="AI38" s="220">
        <f t="shared" si="34"/>
        <v>479.43667706656345</v>
      </c>
      <c r="AJ38" s="220">
        <f t="shared" si="21"/>
        <v>399.53056422213621</v>
      </c>
      <c r="AK38" s="220">
        <f t="shared" si="22"/>
        <v>319.62445137770897</v>
      </c>
      <c r="AL38" s="220">
        <f t="shared" si="37"/>
        <v>2978.5575308087314</v>
      </c>
      <c r="AM38" s="262">
        <f t="shared" si="38"/>
        <v>2519.5621167161744</v>
      </c>
    </row>
    <row r="39" spans="1:40" ht="12.75" hidden="1" customHeight="1" x14ac:dyDescent="0.2">
      <c r="A39" s="256">
        <v>4</v>
      </c>
      <c r="B39" s="2369" t="s">
        <v>98</v>
      </c>
      <c r="C39" s="2371" t="s">
        <v>347</v>
      </c>
      <c r="D39" s="647">
        <v>1.4</v>
      </c>
      <c r="E39" s="197" t="s">
        <v>35</v>
      </c>
      <c r="F39" s="656" t="s">
        <v>65</v>
      </c>
      <c r="G39" s="211">
        <v>4.3529999999999998</v>
      </c>
      <c r="H39" s="212">
        <v>4.79</v>
      </c>
      <c r="I39" s="213">
        <v>2.6</v>
      </c>
      <c r="J39" s="214">
        <v>6.8</v>
      </c>
      <c r="K39" s="215">
        <v>7.05</v>
      </c>
      <c r="L39" s="202"/>
      <c r="M39" s="203"/>
      <c r="N39" s="305">
        <f t="shared" si="17"/>
        <v>3.8843499999999995</v>
      </c>
      <c r="O39" s="211">
        <f t="shared" si="18"/>
        <v>6.58</v>
      </c>
      <c r="P39" s="218">
        <f t="shared" ref="P39:P44" si="39">SQRT(POWER(N39,2)+POWER(O39+G39,2))</f>
        <v>11.602528341809814</v>
      </c>
      <c r="Q39" s="219">
        <f t="shared" si="19"/>
        <v>12.015201826124271</v>
      </c>
      <c r="R39" s="207">
        <f t="shared" si="35"/>
        <v>1843.3295405041119</v>
      </c>
      <c r="S39" s="1018">
        <f t="shared" si="36"/>
        <v>1539.7161252652486</v>
      </c>
      <c r="T39" s="1030">
        <v>1</v>
      </c>
      <c r="U39" s="211" t="s">
        <v>50</v>
      </c>
      <c r="V39" s="198">
        <v>6.3</v>
      </c>
      <c r="W39" s="211">
        <v>11</v>
      </c>
      <c r="X39" s="198">
        <v>35</v>
      </c>
      <c r="Y39" s="198">
        <v>6.3</v>
      </c>
      <c r="Z39" s="206">
        <v>7</v>
      </c>
      <c r="AA39" s="198"/>
      <c r="AB39" s="199">
        <v>5</v>
      </c>
      <c r="AC39" s="307">
        <f t="shared" si="20"/>
        <v>13.611111111111111</v>
      </c>
      <c r="AD39" s="217">
        <f t="shared" si="31"/>
        <v>24.84957877222606</v>
      </c>
      <c r="AE39" s="307">
        <f t="shared" si="32"/>
        <v>25.28129916100395</v>
      </c>
      <c r="AF39" s="157">
        <f t="shared" si="28"/>
        <v>0.8051263522201243</v>
      </c>
      <c r="AG39" s="158">
        <f t="shared" si="29"/>
        <v>0.81911409281652792</v>
      </c>
      <c r="AH39" s="261">
        <f t="shared" si="33"/>
        <v>860.66985010218423</v>
      </c>
      <c r="AI39" s="220">
        <f t="shared" si="34"/>
        <v>731.76619137263287</v>
      </c>
      <c r="AJ39" s="220">
        <f t="shared" si="21"/>
        <v>609.80515947719414</v>
      </c>
      <c r="AK39" s="220">
        <f t="shared" si="22"/>
        <v>487.84412758175523</v>
      </c>
      <c r="AL39" s="220">
        <f t="shared" si="37"/>
        <v>4523.0397527892565</v>
      </c>
      <c r="AM39" s="262">
        <f t="shared" si="38"/>
        <v>3845.6181228291521</v>
      </c>
    </row>
    <row r="40" spans="1:40" ht="12.75" hidden="1" customHeight="1" x14ac:dyDescent="0.2">
      <c r="A40" s="256">
        <v>4</v>
      </c>
      <c r="B40" s="2366"/>
      <c r="C40" s="2372"/>
      <c r="D40" s="675">
        <v>1.4</v>
      </c>
      <c r="E40" s="209" t="s">
        <v>35</v>
      </c>
      <c r="F40" s="210" t="s">
        <v>65</v>
      </c>
      <c r="G40" s="211">
        <v>4.3529999999999998</v>
      </c>
      <c r="H40" s="212">
        <v>4.79</v>
      </c>
      <c r="I40" s="213">
        <v>2.6</v>
      </c>
      <c r="J40" s="214">
        <v>6.8</v>
      </c>
      <c r="K40" s="215">
        <v>7.05</v>
      </c>
      <c r="L40" s="215"/>
      <c r="M40" s="216"/>
      <c r="N40" s="305">
        <f t="shared" si="17"/>
        <v>3.8843499999999995</v>
      </c>
      <c r="O40" s="211">
        <f t="shared" si="18"/>
        <v>6.58</v>
      </c>
      <c r="P40" s="218">
        <f t="shared" si="39"/>
        <v>11.602528341809814</v>
      </c>
      <c r="Q40" s="219">
        <f t="shared" si="19"/>
        <v>12.015201826124271</v>
      </c>
      <c r="R40" s="207">
        <f t="shared" si="35"/>
        <v>1843.3295405041119</v>
      </c>
      <c r="S40" s="1018">
        <f t="shared" si="36"/>
        <v>1539.7161252652486</v>
      </c>
      <c r="T40" s="1031">
        <v>2</v>
      </c>
      <c r="U40" s="211" t="s">
        <v>50</v>
      </c>
      <c r="V40" s="211">
        <v>6.3</v>
      </c>
      <c r="W40" s="211">
        <v>11</v>
      </c>
      <c r="X40" s="211">
        <v>35</v>
      </c>
      <c r="Y40" s="211">
        <v>6.3</v>
      </c>
      <c r="Z40" s="219">
        <v>7</v>
      </c>
      <c r="AA40" s="211"/>
      <c r="AB40" s="212">
        <v>10</v>
      </c>
      <c r="AC40" s="307">
        <f t="shared" si="20"/>
        <v>13.611111111111111</v>
      </c>
      <c r="AD40" s="217">
        <f t="shared" si="31"/>
        <v>24.84957877222606</v>
      </c>
      <c r="AE40" s="307">
        <f t="shared" si="32"/>
        <v>25.28129916100395</v>
      </c>
      <c r="AF40" s="157">
        <f t="shared" si="28"/>
        <v>0.8051263522201243</v>
      </c>
      <c r="AG40" s="158">
        <f t="shared" si="29"/>
        <v>0.81911409281652792</v>
      </c>
      <c r="AH40" s="261">
        <f t="shared" si="33"/>
        <v>860.66985010218423</v>
      </c>
      <c r="AI40" s="220">
        <f t="shared" si="34"/>
        <v>731.76619137263287</v>
      </c>
      <c r="AJ40" s="220">
        <f t="shared" si="21"/>
        <v>609.80515947719414</v>
      </c>
      <c r="AK40" s="220">
        <f t="shared" si="22"/>
        <v>487.84412758175523</v>
      </c>
      <c r="AL40" s="220">
        <f t="shared" si="37"/>
        <v>4523.0397527892565</v>
      </c>
      <c r="AM40" s="262">
        <f t="shared" si="38"/>
        <v>3845.6181228291521</v>
      </c>
    </row>
    <row r="41" spans="1:40" ht="12.75" hidden="1" customHeight="1" x14ac:dyDescent="0.2">
      <c r="A41" s="256">
        <v>4</v>
      </c>
      <c r="B41" s="2369" t="s">
        <v>82</v>
      </c>
      <c r="C41" s="2370" t="s">
        <v>341</v>
      </c>
      <c r="D41" s="675">
        <v>5.6</v>
      </c>
      <c r="E41" s="209" t="s">
        <v>35</v>
      </c>
      <c r="F41" s="210" t="s">
        <v>53</v>
      </c>
      <c r="G41" s="211">
        <v>2.5499999999999998</v>
      </c>
      <c r="H41" s="212">
        <v>5.42</v>
      </c>
      <c r="I41" s="213"/>
      <c r="J41" s="214">
        <v>10.93</v>
      </c>
      <c r="K41" s="215"/>
      <c r="L41" s="215"/>
      <c r="M41" s="216"/>
      <c r="N41" s="305">
        <f t="shared" si="17"/>
        <v>2.7215699999999998</v>
      </c>
      <c r="O41" s="211">
        <f t="shared" si="18"/>
        <v>4.3719999999999999</v>
      </c>
      <c r="P41" s="218">
        <f t="shared" si="39"/>
        <v>7.4378106499762415</v>
      </c>
      <c r="Q41" s="219">
        <f t="shared" si="19"/>
        <v>10.163178994040202</v>
      </c>
      <c r="R41" s="220">
        <f t="shared" si="35"/>
        <v>2875.4810042203126</v>
      </c>
      <c r="S41" s="871">
        <f t="shared" si="36"/>
        <v>1820.2965834655279</v>
      </c>
      <c r="T41" s="1031">
        <v>1</v>
      </c>
      <c r="U41" s="211" t="s">
        <v>62</v>
      </c>
      <c r="V41" s="211">
        <v>6.3</v>
      </c>
      <c r="W41" s="211">
        <v>11</v>
      </c>
      <c r="X41" s="211">
        <v>35</v>
      </c>
      <c r="Y41" s="211">
        <v>6.3</v>
      </c>
      <c r="Z41" s="219">
        <v>8.07</v>
      </c>
      <c r="AA41" s="211" t="s">
        <v>60</v>
      </c>
      <c r="AB41" s="212">
        <v>10</v>
      </c>
      <c r="AC41" s="307">
        <f t="shared" si="20"/>
        <v>15.69166666666667</v>
      </c>
      <c r="AD41" s="217">
        <f t="shared" ref="AD41:AD66" si="40">SQRT(POWER(N41,2)+POWER(O41+AC41+G41,2))</f>
        <v>22.776849285535768</v>
      </c>
      <c r="AE41" s="307">
        <f t="shared" ref="AE41:AE66" si="41">SQRT(POWER(N41,2)+POWER(O41+AC41+H41,2))</f>
        <v>25.628581896833037</v>
      </c>
      <c r="AF41" s="157">
        <f t="shared" si="28"/>
        <v>0.73796991685135882</v>
      </c>
      <c r="AG41" s="158">
        <f t="shared" si="29"/>
        <v>0.83036605345739034</v>
      </c>
      <c r="AH41" s="261">
        <f t="shared" ref="AH41:AH66" si="42">37000/1.73/SQRT(POWER((G41+O41+AC41),2)+N41*N41)</f>
        <v>938.99217441703058</v>
      </c>
      <c r="AI41" s="220">
        <f t="shared" ref="AI41:AI66" si="43">37000/2/SQRT(POWER((H41+O41+AC41),2)+N41*N41)</f>
        <v>721.85031830754838</v>
      </c>
      <c r="AJ41" s="220">
        <f t="shared" si="21"/>
        <v>601.54193192295702</v>
      </c>
      <c r="AK41" s="220">
        <f t="shared" si="22"/>
        <v>481.2335455383656</v>
      </c>
      <c r="AL41" s="220">
        <f t="shared" si="37"/>
        <v>4934.6435592486596</v>
      </c>
      <c r="AM41" s="262">
        <f t="shared" si="38"/>
        <v>3793.5076787934227</v>
      </c>
    </row>
    <row r="42" spans="1:40" ht="12.75" hidden="1" customHeight="1" x14ac:dyDescent="0.2">
      <c r="A42" s="256">
        <v>4</v>
      </c>
      <c r="B42" s="2366"/>
      <c r="C42" s="2368"/>
      <c r="D42" s="675">
        <v>5.6</v>
      </c>
      <c r="E42" s="209" t="s">
        <v>35</v>
      </c>
      <c r="F42" s="210" t="s">
        <v>53</v>
      </c>
      <c r="G42" s="198">
        <v>2.5499999999999998</v>
      </c>
      <c r="H42" s="199">
        <v>5.42</v>
      </c>
      <c r="I42" s="213"/>
      <c r="J42" s="214">
        <v>10.93</v>
      </c>
      <c r="K42" s="215"/>
      <c r="L42" s="215"/>
      <c r="M42" s="216"/>
      <c r="N42" s="305">
        <f t="shared" si="17"/>
        <v>2.7215699999999998</v>
      </c>
      <c r="O42" s="211">
        <f t="shared" si="18"/>
        <v>4.3719999999999999</v>
      </c>
      <c r="P42" s="218">
        <f t="shared" si="39"/>
        <v>7.4378106499762415</v>
      </c>
      <c r="Q42" s="219">
        <f t="shared" si="19"/>
        <v>10.163178994040202</v>
      </c>
      <c r="R42" s="207">
        <f t="shared" si="35"/>
        <v>2875.4810042203126</v>
      </c>
      <c r="S42" s="1018">
        <f t="shared" si="36"/>
        <v>1820.2965834655279</v>
      </c>
      <c r="T42" s="1031">
        <v>2</v>
      </c>
      <c r="U42" s="211" t="s">
        <v>83</v>
      </c>
      <c r="V42" s="211">
        <v>6.3</v>
      </c>
      <c r="W42" s="211">
        <v>11</v>
      </c>
      <c r="X42" s="211">
        <v>35</v>
      </c>
      <c r="Y42" s="211">
        <v>6.3</v>
      </c>
      <c r="Z42" s="219">
        <v>8.14</v>
      </c>
      <c r="AA42" s="211" t="s">
        <v>60</v>
      </c>
      <c r="AB42" s="212">
        <v>10</v>
      </c>
      <c r="AC42" s="307">
        <f t="shared" si="20"/>
        <v>15.827777777777779</v>
      </c>
      <c r="AD42" s="217">
        <f t="shared" si="40"/>
        <v>22.911991013510189</v>
      </c>
      <c r="AE42" s="307">
        <f t="shared" si="41"/>
        <v>25.76392743056881</v>
      </c>
      <c r="AF42" s="157">
        <f t="shared" si="28"/>
        <v>0.74234850883773007</v>
      </c>
      <c r="AG42" s="158">
        <f t="shared" si="29"/>
        <v>0.83475124875042939</v>
      </c>
      <c r="AH42" s="261">
        <f t="shared" si="42"/>
        <v>933.45371968691336</v>
      </c>
      <c r="AI42" s="220">
        <f t="shared" si="43"/>
        <v>718.05822500686816</v>
      </c>
      <c r="AJ42" s="220">
        <f t="shared" si="21"/>
        <v>598.38185417239015</v>
      </c>
      <c r="AK42" s="220">
        <f t="shared" si="22"/>
        <v>478.70548333791209</v>
      </c>
      <c r="AL42" s="220">
        <f t="shared" si="37"/>
        <v>4905.5375659222182</v>
      </c>
      <c r="AM42" s="262">
        <f t="shared" si="38"/>
        <v>3773.5792605466045</v>
      </c>
    </row>
    <row r="43" spans="1:40" ht="12.75" hidden="1" customHeight="1" x14ac:dyDescent="0.2">
      <c r="A43" s="256">
        <v>4</v>
      </c>
      <c r="B43" s="2369" t="s">
        <v>84</v>
      </c>
      <c r="C43" s="2371" t="s">
        <v>43</v>
      </c>
      <c r="D43" s="675">
        <v>2.2999999999999998</v>
      </c>
      <c r="E43" s="209" t="s">
        <v>35</v>
      </c>
      <c r="F43" s="210" t="s">
        <v>65</v>
      </c>
      <c r="G43" s="211">
        <v>4.3529999999999998</v>
      </c>
      <c r="H43" s="212">
        <v>4.79</v>
      </c>
      <c r="I43" s="213"/>
      <c r="J43" s="214">
        <v>6</v>
      </c>
      <c r="K43" s="215"/>
      <c r="L43" s="215"/>
      <c r="M43" s="216"/>
      <c r="N43" s="305">
        <f t="shared" si="17"/>
        <v>1.494</v>
      </c>
      <c r="O43" s="211">
        <f t="shared" si="18"/>
        <v>2.4000000000000004</v>
      </c>
      <c r="P43" s="218">
        <f t="shared" si="39"/>
        <v>6.9162883832298379</v>
      </c>
      <c r="Q43" s="219">
        <f t="shared" si="19"/>
        <v>7.3435778745785774</v>
      </c>
      <c r="R43" s="207">
        <f t="shared" si="35"/>
        <v>3092.3064585989068</v>
      </c>
      <c r="S43" s="1018">
        <f t="shared" si="36"/>
        <v>2519.2079822618689</v>
      </c>
      <c r="T43" s="1031">
        <v>1</v>
      </c>
      <c r="U43" s="211" t="s">
        <v>85</v>
      </c>
      <c r="V43" s="211">
        <v>4</v>
      </c>
      <c r="W43" s="211">
        <v>11</v>
      </c>
      <c r="X43" s="211">
        <v>35</v>
      </c>
      <c r="Y43" s="211">
        <v>6.3</v>
      </c>
      <c r="Z43" s="219">
        <v>6.27</v>
      </c>
      <c r="AA43" s="211"/>
      <c r="AB43" s="212">
        <v>5</v>
      </c>
      <c r="AC43" s="307">
        <f t="shared" si="20"/>
        <v>19.201874999999998</v>
      </c>
      <c r="AD43" s="217">
        <f t="shared" si="40"/>
        <v>25.99783783828234</v>
      </c>
      <c r="AE43" s="307">
        <f t="shared" si="41"/>
        <v>26.4341276008047</v>
      </c>
      <c r="AF43" s="157">
        <f t="shared" si="28"/>
        <v>0.84232994596034783</v>
      </c>
      <c r="AG43" s="158">
        <f t="shared" si="29"/>
        <v>0.8564657342660722</v>
      </c>
      <c r="AH43" s="261">
        <f t="shared" si="42"/>
        <v>822.65622895381773</v>
      </c>
      <c r="AI43" s="220">
        <f t="shared" si="43"/>
        <v>699.852867451424</v>
      </c>
      <c r="AJ43" s="220">
        <f t="shared" si="21"/>
        <v>583.21072287618665</v>
      </c>
      <c r="AK43" s="220">
        <f t="shared" si="22"/>
        <v>466.56857830094935</v>
      </c>
      <c r="AL43" s="220">
        <f t="shared" si="37"/>
        <v>4323.2684704780204</v>
      </c>
      <c r="AM43" s="262">
        <f t="shared" si="38"/>
        <v>3677.905459579556</v>
      </c>
    </row>
    <row r="44" spans="1:40" ht="12.75" hidden="1" customHeight="1" x14ac:dyDescent="0.2">
      <c r="A44" s="255">
        <v>4</v>
      </c>
      <c r="B44" s="2366"/>
      <c r="C44" s="2372"/>
      <c r="D44" s="675">
        <v>2.2999999999999998</v>
      </c>
      <c r="E44" s="209" t="s">
        <v>35</v>
      </c>
      <c r="F44" s="210" t="s">
        <v>65</v>
      </c>
      <c r="G44" s="211">
        <v>4.3529999999999998</v>
      </c>
      <c r="H44" s="212">
        <v>4.79</v>
      </c>
      <c r="I44" s="213"/>
      <c r="J44" s="214">
        <v>6</v>
      </c>
      <c r="K44" s="215"/>
      <c r="L44" s="215"/>
      <c r="M44" s="216"/>
      <c r="N44" s="305">
        <f t="shared" si="17"/>
        <v>1.494</v>
      </c>
      <c r="O44" s="211">
        <f t="shared" si="18"/>
        <v>2.4000000000000004</v>
      </c>
      <c r="P44" s="218">
        <f t="shared" si="39"/>
        <v>6.9162883832298379</v>
      </c>
      <c r="Q44" s="219">
        <f t="shared" si="19"/>
        <v>7.3435778745785774</v>
      </c>
      <c r="R44" s="207">
        <f t="shared" si="35"/>
        <v>3092.3064585989068</v>
      </c>
      <c r="S44" s="1018">
        <f t="shared" si="36"/>
        <v>2519.2079822618689</v>
      </c>
      <c r="T44" s="1031">
        <v>2</v>
      </c>
      <c r="U44" s="211" t="s">
        <v>85</v>
      </c>
      <c r="V44" s="211">
        <v>4</v>
      </c>
      <c r="W44" s="211">
        <v>11</v>
      </c>
      <c r="X44" s="211">
        <v>35</v>
      </c>
      <c r="Y44" s="211">
        <v>6.3</v>
      </c>
      <c r="Z44" s="219">
        <v>6.35</v>
      </c>
      <c r="AA44" s="211"/>
      <c r="AB44" s="212">
        <v>5</v>
      </c>
      <c r="AC44" s="307">
        <f t="shared" si="20"/>
        <v>19.446875000000002</v>
      </c>
      <c r="AD44" s="217">
        <f t="shared" si="40"/>
        <v>26.242436739289769</v>
      </c>
      <c r="AE44" s="307">
        <f t="shared" si="41"/>
        <v>26.678739583526529</v>
      </c>
      <c r="AF44" s="157">
        <f t="shared" si="28"/>
        <v>0.85025495035298848</v>
      </c>
      <c r="AG44" s="158">
        <f t="shared" si="29"/>
        <v>0.86439116250625947</v>
      </c>
      <c r="AH44" s="261">
        <f t="shared" si="42"/>
        <v>814.9884650373765</v>
      </c>
      <c r="AI44" s="220">
        <f t="shared" si="43"/>
        <v>693.43605765481141</v>
      </c>
      <c r="AJ44" s="220">
        <f t="shared" si="21"/>
        <v>577.86338137900952</v>
      </c>
      <c r="AK44" s="220">
        <f t="shared" si="22"/>
        <v>462.29070510320759</v>
      </c>
      <c r="AL44" s="220">
        <f t="shared" si="37"/>
        <v>4282.9724138600859</v>
      </c>
      <c r="AM44" s="262">
        <f t="shared" si="38"/>
        <v>3644.1834861739339</v>
      </c>
    </row>
    <row r="45" spans="1:40" ht="12.75" hidden="1" customHeight="1" x14ac:dyDescent="0.2">
      <c r="A45" s="409">
        <v>4</v>
      </c>
      <c r="B45" s="2369" t="s">
        <v>48</v>
      </c>
      <c r="C45" s="2370" t="s">
        <v>342</v>
      </c>
      <c r="D45" s="647">
        <v>1.4</v>
      </c>
      <c r="E45" s="197" t="s">
        <v>35</v>
      </c>
      <c r="F45" s="656" t="s">
        <v>65</v>
      </c>
      <c r="G45" s="211">
        <v>4.3529999999999998</v>
      </c>
      <c r="H45" s="212">
        <v>4.79</v>
      </c>
      <c r="I45" s="200">
        <v>1</v>
      </c>
      <c r="J45" s="201">
        <v>4</v>
      </c>
      <c r="K45" s="202">
        <v>7.05</v>
      </c>
      <c r="L45" s="202"/>
      <c r="M45" s="203"/>
      <c r="N45" s="338">
        <f t="shared" ref="N45:N76" si="44">0.314*I45+0.249*J45+0.195*K45+0.159*L45+0.06*M45</f>
        <v>2.6847500000000002</v>
      </c>
      <c r="O45" s="198">
        <f t="shared" ref="O45:O76" si="45">0.4*SUM(I45:M45)</f>
        <v>4.82</v>
      </c>
      <c r="P45" s="205">
        <f>SQRT(POWER(N45,2)+POWER(O45+G45,2))</f>
        <v>9.5578141623752035</v>
      </c>
      <c r="Q45" s="206">
        <f t="shared" ref="Q45:Q76" si="46">SQRT(POWER(N45,2)+POWER(O45+H45,2))</f>
        <v>9.9779748728136202</v>
      </c>
      <c r="R45" s="207">
        <f t="shared" si="35"/>
        <v>2237.6751497414848</v>
      </c>
      <c r="S45" s="1018">
        <f t="shared" si="36"/>
        <v>1854.083642804696</v>
      </c>
      <c r="T45" s="1030">
        <v>1</v>
      </c>
      <c r="U45" s="198" t="s">
        <v>50</v>
      </c>
      <c r="V45" s="198">
        <v>6.3</v>
      </c>
      <c r="W45" s="211">
        <v>11</v>
      </c>
      <c r="X45" s="198">
        <v>35</v>
      </c>
      <c r="Y45" s="198">
        <v>6.3</v>
      </c>
      <c r="Z45" s="206">
        <v>8</v>
      </c>
      <c r="AA45" s="198" t="s">
        <v>51</v>
      </c>
      <c r="AB45" s="199">
        <v>10</v>
      </c>
      <c r="AC45" s="340">
        <f t="shared" ref="AC45:AC76" si="47">Z45/100*X45*X45/V45</f>
        <v>15.555555555555559</v>
      </c>
      <c r="AD45" s="204">
        <f t="shared" si="40"/>
        <v>24.873868666266969</v>
      </c>
      <c r="AE45" s="340">
        <f t="shared" si="41"/>
        <v>25.308359665973082</v>
      </c>
      <c r="AF45" s="157">
        <f t="shared" si="28"/>
        <v>0.80591334478704979</v>
      </c>
      <c r="AG45" s="158">
        <f t="shared" si="29"/>
        <v>0.81999085317752785</v>
      </c>
      <c r="AH45" s="259">
        <f t="shared" si="42"/>
        <v>859.82938657221712</v>
      </c>
      <c r="AI45" s="207">
        <f t="shared" si="43"/>
        <v>730.98376363258046</v>
      </c>
      <c r="AJ45" s="207">
        <f t="shared" ref="AJ45:AJ76" si="48">AI45/1.2</f>
        <v>609.1531363604837</v>
      </c>
      <c r="AK45" s="207">
        <f t="shared" ref="AK45:AK76" si="49">AI45/1.5</f>
        <v>487.32250908838699</v>
      </c>
      <c r="AL45" s="207">
        <f t="shared" si="37"/>
        <v>4518.622902406546</v>
      </c>
      <c r="AM45" s="260">
        <f t="shared" si="38"/>
        <v>3841.5062653363839</v>
      </c>
    </row>
    <row r="46" spans="1:40" ht="12.75" hidden="1" customHeight="1" x14ac:dyDescent="0.2">
      <c r="A46" s="256">
        <v>4</v>
      </c>
      <c r="B46" s="2365"/>
      <c r="C46" s="2504"/>
      <c r="D46" s="646">
        <v>1.4</v>
      </c>
      <c r="E46" s="222" t="s">
        <v>35</v>
      </c>
      <c r="F46" s="653" t="s">
        <v>65</v>
      </c>
      <c r="G46" s="223">
        <v>4.3529999999999998</v>
      </c>
      <c r="H46" s="224">
        <v>4.79</v>
      </c>
      <c r="I46" s="225">
        <v>1</v>
      </c>
      <c r="J46" s="226">
        <v>4</v>
      </c>
      <c r="K46" s="926">
        <v>7.05</v>
      </c>
      <c r="L46" s="926"/>
      <c r="M46" s="927"/>
      <c r="N46" s="331">
        <f t="shared" si="44"/>
        <v>2.6847500000000002</v>
      </c>
      <c r="O46" s="223">
        <f t="shared" si="45"/>
        <v>4.82</v>
      </c>
      <c r="P46" s="227">
        <f>SQRT(POWER(N46,2)+POWER(O46+G46,2))</f>
        <v>9.5578141623752035</v>
      </c>
      <c r="Q46" s="228">
        <f t="shared" si="46"/>
        <v>9.9779748728136202</v>
      </c>
      <c r="R46" s="332">
        <f t="shared" si="35"/>
        <v>2237.6751497414848</v>
      </c>
      <c r="S46" s="1038">
        <f t="shared" si="36"/>
        <v>1854.083642804696</v>
      </c>
      <c r="T46" s="1042">
        <v>2</v>
      </c>
      <c r="U46" s="223" t="s">
        <v>50</v>
      </c>
      <c r="V46" s="223">
        <v>6.3</v>
      </c>
      <c r="W46" s="223">
        <v>11</v>
      </c>
      <c r="X46" s="223">
        <v>35</v>
      </c>
      <c r="Y46" s="223">
        <v>6.3</v>
      </c>
      <c r="Z46" s="228">
        <v>8</v>
      </c>
      <c r="AA46" s="223" t="s">
        <v>51</v>
      </c>
      <c r="AB46" s="224">
        <v>10</v>
      </c>
      <c r="AC46" s="333">
        <f t="shared" si="47"/>
        <v>15.555555555555559</v>
      </c>
      <c r="AD46" s="946">
        <f t="shared" si="40"/>
        <v>24.873868666266969</v>
      </c>
      <c r="AE46" s="333">
        <f t="shared" si="41"/>
        <v>25.308359665973082</v>
      </c>
      <c r="AF46" s="181">
        <f t="shared" si="28"/>
        <v>0.80591334478704979</v>
      </c>
      <c r="AG46" s="182">
        <f t="shared" si="29"/>
        <v>0.81999085317752785</v>
      </c>
      <c r="AH46" s="263">
        <f t="shared" si="42"/>
        <v>859.82938657221712</v>
      </c>
      <c r="AI46" s="229">
        <f t="shared" si="43"/>
        <v>730.98376363258046</v>
      </c>
      <c r="AJ46" s="229">
        <f t="shared" si="48"/>
        <v>609.1531363604837</v>
      </c>
      <c r="AK46" s="229">
        <f t="shared" si="49"/>
        <v>487.32250908838699</v>
      </c>
      <c r="AL46" s="229">
        <f t="shared" si="37"/>
        <v>4518.622902406546</v>
      </c>
      <c r="AM46" s="264">
        <f t="shared" si="38"/>
        <v>3841.5062653363839</v>
      </c>
    </row>
    <row r="47" spans="1:40" s="1843" customFormat="1" ht="12.75" customHeight="1" x14ac:dyDescent="0.2">
      <c r="A47" s="2099">
        <v>4</v>
      </c>
      <c r="B47" s="2354" t="s">
        <v>48</v>
      </c>
      <c r="C47" s="2356" t="s">
        <v>342</v>
      </c>
      <c r="D47" s="1819">
        <v>3</v>
      </c>
      <c r="E47" s="2100" t="s">
        <v>35</v>
      </c>
      <c r="F47" s="2101" t="s">
        <v>53</v>
      </c>
      <c r="G47" s="1834">
        <v>2.5499999999999998</v>
      </c>
      <c r="H47" s="2102">
        <v>5.42</v>
      </c>
      <c r="I47" s="2103">
        <v>2.95</v>
      </c>
      <c r="J47" s="1829">
        <v>5.87</v>
      </c>
      <c r="K47" s="1834"/>
      <c r="L47" s="1834"/>
      <c r="M47" s="2104">
        <v>0.34</v>
      </c>
      <c r="N47" s="1828">
        <f>0.314*I47+0.249*J47+0.195*K47+0.159*L47+0.194*M47</f>
        <v>2.4538899999999999</v>
      </c>
      <c r="O47" s="1834">
        <f>(0.4*SUM(I47:L47))+(0.078*M47)</f>
        <v>3.5545200000000006</v>
      </c>
      <c r="P47" s="1830">
        <f t="shared" ref="P47:P58" si="50">SQRT(POWER(N47,2)+POWER(O47+G47,2))</f>
        <v>6.579265959246519</v>
      </c>
      <c r="Q47" s="1829">
        <f t="shared" ref="Q47:Q58" si="51">SQRT(POWER(N47,2)+POWER(O47+H47,2))</f>
        <v>9.3039553611622612</v>
      </c>
      <c r="R47" s="1831">
        <f t="shared" ref="R47:R58" si="52">37000/1.73/SQRT(POWER((G47+O47),2)+N47*N47)</f>
        <v>3250.7096337907528</v>
      </c>
      <c r="S47" s="1832">
        <f t="shared" ref="S47:S58" si="53">37000/2/SQRT(N47*N47+POWER((H47+O47),2))</f>
        <v>1988.4016294000101</v>
      </c>
      <c r="T47" s="1833">
        <v>1</v>
      </c>
      <c r="U47" s="1834" t="s">
        <v>50</v>
      </c>
      <c r="V47" s="1834">
        <v>6.3</v>
      </c>
      <c r="W47" s="1834">
        <v>11</v>
      </c>
      <c r="X47" s="1834">
        <v>35</v>
      </c>
      <c r="Y47" s="1834">
        <v>6.3</v>
      </c>
      <c r="Z47" s="1829">
        <v>8</v>
      </c>
      <c r="AA47" s="1834" t="s">
        <v>51</v>
      </c>
      <c r="AB47" s="2102">
        <v>10</v>
      </c>
      <c r="AC47" s="1835">
        <f t="shared" ref="AC47:AC58" si="54">Z47/100*X47*X47/V47</f>
        <v>15.555555555555559</v>
      </c>
      <c r="AD47" s="1836">
        <f t="shared" ref="AD47:AD58" si="55">SQRT(POWER(N47,2)+POWER(O47+AC47+G47,2))</f>
        <v>21.798634113275895</v>
      </c>
      <c r="AE47" s="1835">
        <f t="shared" ref="AE47:AE58" si="56">SQRT(POWER(N47,2)+POWER(O47+AC47+H47,2))</f>
        <v>24.652508653144501</v>
      </c>
      <c r="AF47" s="2105">
        <f t="shared" ref="AF47:AF58" si="57">SQRT(POWER((AC47+O47+G47),2)+POWER(N47,2))*POWER(6.3/X47,2)</f>
        <v>0.70627574527013892</v>
      </c>
      <c r="AG47" s="2106">
        <f t="shared" ref="AG47:AG58" si="58">SQRT(POWER((H47+O47+AC47),2)+POWER(N47,2))*POWER(6.3/X47,2)</f>
        <v>0.79874128036188163</v>
      </c>
      <c r="AH47" s="2107">
        <f t="shared" ref="AH47:AH58" si="59">37000/1.73/SQRT(POWER((G47+O47+AC47),2)+N47*N47)</f>
        <v>981.12951141139843</v>
      </c>
      <c r="AI47" s="2108">
        <f t="shared" ref="AI47:AI58" si="60">37000/2/SQRT(POWER((H47+O47+AC47),2)+N47*N47)</f>
        <v>750.43072736698025</v>
      </c>
      <c r="AJ47" s="2108">
        <f t="shared" ref="AJ47:AJ58" si="61">AI47/1.2</f>
        <v>625.3589394724836</v>
      </c>
      <c r="AK47" s="2108">
        <f t="shared" ref="AK47:AK58" si="62">AI47/1.5</f>
        <v>500.28715157798683</v>
      </c>
      <c r="AL47" s="2108">
        <f t="shared" ref="AL47:AL58" si="63">6300/(1.73*AF47)</f>
        <v>5156.086020930773</v>
      </c>
      <c r="AM47" s="2109">
        <f t="shared" ref="AM47:AM58" si="64">6300/(2*AG47)</f>
        <v>3943.7050237003473</v>
      </c>
      <c r="AN47" s="2095"/>
    </row>
    <row r="48" spans="1:40" s="1843" customFormat="1" ht="12.75" customHeight="1" x14ac:dyDescent="0.2">
      <c r="A48" s="1844">
        <v>4</v>
      </c>
      <c r="B48" s="2355"/>
      <c r="C48" s="2357"/>
      <c r="D48" s="2098">
        <v>4</v>
      </c>
      <c r="E48" s="1866" t="s">
        <v>35</v>
      </c>
      <c r="F48" s="1847" t="s">
        <v>53</v>
      </c>
      <c r="G48" s="1859">
        <v>2.5499999999999998</v>
      </c>
      <c r="H48" s="1863">
        <v>5.42</v>
      </c>
      <c r="I48" s="1867">
        <v>2.95</v>
      </c>
      <c r="J48" s="1629">
        <v>6.1</v>
      </c>
      <c r="K48" s="1853"/>
      <c r="L48" s="1853"/>
      <c r="M48" s="1868"/>
      <c r="N48" s="1861">
        <f>0.314*I48+0.249*J48+0.195*K48+0.159*L48+0.194*M48</f>
        <v>2.4451999999999998</v>
      </c>
      <c r="O48" s="1859">
        <f>(0.4*SUM(I48:L48))+(0.078*M48)</f>
        <v>3.6200000000000006</v>
      </c>
      <c r="P48" s="1869">
        <f t="shared" si="50"/>
        <v>6.6368594259634577</v>
      </c>
      <c r="Q48" s="1629">
        <f t="shared" si="51"/>
        <v>9.3648600117673961</v>
      </c>
      <c r="R48" s="1840">
        <f t="shared" si="52"/>
        <v>3222.5005630414535</v>
      </c>
      <c r="S48" s="1841">
        <f t="shared" si="53"/>
        <v>1975.4699992048852</v>
      </c>
      <c r="T48" s="1852">
        <v>2</v>
      </c>
      <c r="U48" s="1853" t="s">
        <v>50</v>
      </c>
      <c r="V48" s="1853">
        <v>6.3</v>
      </c>
      <c r="W48" s="1853">
        <v>11</v>
      </c>
      <c r="X48" s="1853">
        <v>35</v>
      </c>
      <c r="Y48" s="1853">
        <v>6.3</v>
      </c>
      <c r="Z48" s="1629">
        <v>8</v>
      </c>
      <c r="AA48" s="1853" t="s">
        <v>51</v>
      </c>
      <c r="AB48" s="1856">
        <v>10</v>
      </c>
      <c r="AC48" s="1854">
        <f t="shared" si="54"/>
        <v>15.555555555555559</v>
      </c>
      <c r="AD48" s="1855">
        <f t="shared" si="55"/>
        <v>21.862725521707741</v>
      </c>
      <c r="AE48" s="1854">
        <f t="shared" si="56"/>
        <v>24.716803112992178</v>
      </c>
      <c r="AF48" s="1864">
        <f t="shared" si="57"/>
        <v>0.70835230690333073</v>
      </c>
      <c r="AG48" s="1865">
        <f t="shared" si="58"/>
        <v>0.80082442086094663</v>
      </c>
      <c r="AH48" s="2087">
        <f t="shared" si="59"/>
        <v>978.25329306533854</v>
      </c>
      <c r="AI48" s="2088">
        <f t="shared" si="60"/>
        <v>748.47867320979014</v>
      </c>
      <c r="AJ48" s="2088">
        <f t="shared" si="61"/>
        <v>623.73222767482514</v>
      </c>
      <c r="AK48" s="2088">
        <f t="shared" si="62"/>
        <v>498.98578213986008</v>
      </c>
      <c r="AL48" s="2088">
        <f t="shared" si="63"/>
        <v>5140.9707593523799</v>
      </c>
      <c r="AM48" s="2089">
        <f t="shared" si="64"/>
        <v>3933.4464808322309</v>
      </c>
      <c r="AN48" s="2095"/>
    </row>
    <row r="49" spans="1:39" s="1843" customFormat="1" ht="12.75" customHeight="1" x14ac:dyDescent="0.2">
      <c r="A49" s="1844">
        <v>4</v>
      </c>
      <c r="B49" s="2497" t="s">
        <v>72</v>
      </c>
      <c r="C49" s="2498" t="s">
        <v>340</v>
      </c>
      <c r="D49" s="2098">
        <v>3</v>
      </c>
      <c r="E49" s="1866" t="s">
        <v>35</v>
      </c>
      <c r="F49" s="1821" t="s">
        <v>53</v>
      </c>
      <c r="G49" s="1853">
        <v>2.5499999999999998</v>
      </c>
      <c r="H49" s="1856">
        <v>5.42</v>
      </c>
      <c r="I49" s="1857">
        <v>2.95</v>
      </c>
      <c r="J49" s="1629">
        <v>10.82</v>
      </c>
      <c r="K49" s="1853"/>
      <c r="L49" s="1853"/>
      <c r="M49" s="1860">
        <v>0.34</v>
      </c>
      <c r="N49" s="1628">
        <f>0.314*I49+0.249*J49+0.195*K49+0.159*L49+0.06*M49</f>
        <v>3.6408800000000001</v>
      </c>
      <c r="O49" s="1853">
        <f t="shared" ref="O49:O58" si="65">0.4*SUM(I49:M49)</f>
        <v>5.6440000000000001</v>
      </c>
      <c r="P49" s="1869">
        <f t="shared" si="50"/>
        <v>8.9664732852108582</v>
      </c>
      <c r="Q49" s="1629">
        <f t="shared" si="51"/>
        <v>11.647665138318496</v>
      </c>
      <c r="R49" s="1840">
        <f t="shared" si="52"/>
        <v>2385.2503160044012</v>
      </c>
      <c r="S49" s="1841">
        <f t="shared" si="53"/>
        <v>1588.3011556658414</v>
      </c>
      <c r="T49" s="1852">
        <v>1</v>
      </c>
      <c r="U49" s="1853" t="s">
        <v>73</v>
      </c>
      <c r="V49" s="1853">
        <v>10</v>
      </c>
      <c r="W49" s="1853">
        <v>11</v>
      </c>
      <c r="X49" s="1853">
        <v>36.75</v>
      </c>
      <c r="Y49" s="1853">
        <v>6.3</v>
      </c>
      <c r="Z49" s="1629">
        <v>8.17</v>
      </c>
      <c r="AA49" s="1853" t="s">
        <v>74</v>
      </c>
      <c r="AB49" s="1856">
        <v>12</v>
      </c>
      <c r="AC49" s="1854">
        <f t="shared" si="54"/>
        <v>11.034095625000001</v>
      </c>
      <c r="AD49" s="1855">
        <f t="shared" si="55"/>
        <v>19.569764141106663</v>
      </c>
      <c r="AE49" s="1854">
        <f t="shared" si="56"/>
        <v>22.396022803748973</v>
      </c>
      <c r="AF49" s="1864">
        <f t="shared" si="57"/>
        <v>0.57511143598354275</v>
      </c>
      <c r="AG49" s="1865">
        <f t="shared" si="58"/>
        <v>0.65816883341629639</v>
      </c>
      <c r="AH49" s="1839">
        <f t="shared" si="59"/>
        <v>1092.8738375578998</v>
      </c>
      <c r="AI49" s="1630">
        <f t="shared" si="60"/>
        <v>826.03952327210527</v>
      </c>
      <c r="AJ49" s="1630">
        <f t="shared" si="61"/>
        <v>688.36626939342113</v>
      </c>
      <c r="AK49" s="1630">
        <f t="shared" si="62"/>
        <v>550.69301551473689</v>
      </c>
      <c r="AL49" s="1630">
        <f t="shared" si="63"/>
        <v>6332.0224034182384</v>
      </c>
      <c r="AM49" s="1631">
        <f t="shared" si="64"/>
        <v>4786.0060216610145</v>
      </c>
    </row>
    <row r="50" spans="1:39" s="1843" customFormat="1" ht="12.75" customHeight="1" x14ac:dyDescent="0.2">
      <c r="A50" s="1844">
        <v>4</v>
      </c>
      <c r="B50" s="2355"/>
      <c r="C50" s="2357"/>
      <c r="D50" s="2098">
        <v>4</v>
      </c>
      <c r="E50" s="1866" t="s">
        <v>35</v>
      </c>
      <c r="F50" s="1847" t="s">
        <v>53</v>
      </c>
      <c r="G50" s="1859">
        <v>2.5499999999999998</v>
      </c>
      <c r="H50" s="1863">
        <v>5.42</v>
      </c>
      <c r="I50" s="1857">
        <v>2.95</v>
      </c>
      <c r="J50" s="1629">
        <v>11.05</v>
      </c>
      <c r="K50" s="1853"/>
      <c r="L50" s="1853"/>
      <c r="M50" s="1868"/>
      <c r="N50" s="1628">
        <f t="shared" ref="N50:N58" si="66">0.314*I50+0.249*J50+0.195*K50+0.159*L50+0.06*M50</f>
        <v>3.6777500000000001</v>
      </c>
      <c r="O50" s="1853">
        <f t="shared" si="65"/>
        <v>5.6000000000000005</v>
      </c>
      <c r="P50" s="1869">
        <f t="shared" si="50"/>
        <v>8.9413838449369791</v>
      </c>
      <c r="Q50" s="1629">
        <f t="shared" si="51"/>
        <v>11.617497366580292</v>
      </c>
      <c r="R50" s="1840">
        <f t="shared" si="52"/>
        <v>2391.9433063042784</v>
      </c>
      <c r="S50" s="1841">
        <f t="shared" si="53"/>
        <v>1592.4255815386193</v>
      </c>
      <c r="T50" s="1852">
        <v>2</v>
      </c>
      <c r="U50" s="1853" t="s">
        <v>73</v>
      </c>
      <c r="V50" s="1853">
        <v>10</v>
      </c>
      <c r="W50" s="1853">
        <v>11</v>
      </c>
      <c r="X50" s="1853">
        <v>36.75</v>
      </c>
      <c r="Y50" s="1853">
        <v>6.3</v>
      </c>
      <c r="Z50" s="1629">
        <v>8.0299999999999994</v>
      </c>
      <c r="AA50" s="1853" t="s">
        <v>74</v>
      </c>
      <c r="AB50" s="1856">
        <v>12</v>
      </c>
      <c r="AC50" s="1854">
        <f t="shared" si="54"/>
        <v>10.845016875000001</v>
      </c>
      <c r="AD50" s="1855">
        <f t="shared" si="55"/>
        <v>19.347777938151832</v>
      </c>
      <c r="AE50" s="1854">
        <f t="shared" si="56"/>
        <v>22.172162907721358</v>
      </c>
      <c r="AF50" s="1864">
        <f t="shared" si="57"/>
        <v>0.56858775981507426</v>
      </c>
      <c r="AG50" s="1865">
        <f t="shared" si="58"/>
        <v>0.65159009361466846</v>
      </c>
      <c r="AH50" s="1839">
        <f t="shared" si="59"/>
        <v>1105.4128957527826</v>
      </c>
      <c r="AI50" s="1630">
        <f t="shared" si="60"/>
        <v>834.37958114395133</v>
      </c>
      <c r="AJ50" s="1630">
        <f t="shared" si="61"/>
        <v>695.31631761995948</v>
      </c>
      <c r="AK50" s="1630">
        <f t="shared" si="62"/>
        <v>556.25305409596751</v>
      </c>
      <c r="AL50" s="1630">
        <f t="shared" si="63"/>
        <v>6404.6726899189944</v>
      </c>
      <c r="AM50" s="1631">
        <f t="shared" si="64"/>
        <v>4834.3276407495832</v>
      </c>
    </row>
    <row r="51" spans="1:39" s="1843" customFormat="1" ht="12.75" customHeight="1" x14ac:dyDescent="0.2">
      <c r="A51" s="1844">
        <v>4</v>
      </c>
      <c r="B51" s="2497" t="s">
        <v>97</v>
      </c>
      <c r="C51" s="2499" t="s">
        <v>43</v>
      </c>
      <c r="D51" s="2098">
        <v>3</v>
      </c>
      <c r="E51" s="1866" t="s">
        <v>35</v>
      </c>
      <c r="F51" s="1821" t="s">
        <v>53</v>
      </c>
      <c r="G51" s="1853">
        <v>2.5499999999999998</v>
      </c>
      <c r="H51" s="1856">
        <v>5.42</v>
      </c>
      <c r="I51" s="1857">
        <v>2.95</v>
      </c>
      <c r="J51" s="1629">
        <v>12.62</v>
      </c>
      <c r="K51" s="1853"/>
      <c r="L51" s="1853"/>
      <c r="M51" s="1860">
        <v>0.34</v>
      </c>
      <c r="N51" s="1628">
        <f t="shared" si="66"/>
        <v>4.08908</v>
      </c>
      <c r="O51" s="1853">
        <f t="shared" si="65"/>
        <v>6.3640000000000008</v>
      </c>
      <c r="P51" s="1869">
        <f t="shared" si="50"/>
        <v>9.8071387900039451</v>
      </c>
      <c r="Q51" s="1629">
        <f t="shared" si="51"/>
        <v>12.473300735827706</v>
      </c>
      <c r="R51" s="1840">
        <f t="shared" si="52"/>
        <v>2180.7872504867055</v>
      </c>
      <c r="S51" s="1841">
        <f t="shared" si="53"/>
        <v>1483.1679594529053</v>
      </c>
      <c r="T51" s="1852">
        <v>1</v>
      </c>
      <c r="U51" s="1853" t="s">
        <v>85</v>
      </c>
      <c r="V51" s="1853">
        <v>4</v>
      </c>
      <c r="W51" s="1853">
        <v>11</v>
      </c>
      <c r="X51" s="1853">
        <v>35</v>
      </c>
      <c r="Y51" s="1853">
        <v>6.3</v>
      </c>
      <c r="Z51" s="1629">
        <v>6.25</v>
      </c>
      <c r="AA51" s="1853"/>
      <c r="AB51" s="1856">
        <v>5</v>
      </c>
      <c r="AC51" s="1854">
        <f t="shared" si="54"/>
        <v>19.140625</v>
      </c>
      <c r="AD51" s="1855">
        <f t="shared" si="55"/>
        <v>28.35105922425166</v>
      </c>
      <c r="AE51" s="1854">
        <f t="shared" si="56"/>
        <v>31.193797566776396</v>
      </c>
      <c r="AF51" s="1864">
        <f t="shared" si="57"/>
        <v>0.91857431886575369</v>
      </c>
      <c r="AG51" s="1865">
        <f t="shared" si="58"/>
        <v>1.0106790411635551</v>
      </c>
      <c r="AH51" s="1839">
        <f t="shared" si="59"/>
        <v>754.37333991032733</v>
      </c>
      <c r="AI51" s="1630">
        <f t="shared" si="60"/>
        <v>593.06661718237888</v>
      </c>
      <c r="AJ51" s="1630">
        <f t="shared" si="61"/>
        <v>494.22218098531573</v>
      </c>
      <c r="AK51" s="1630">
        <f t="shared" si="62"/>
        <v>395.37774478825258</v>
      </c>
      <c r="AL51" s="1630">
        <f t="shared" si="63"/>
        <v>3964.4244589882073</v>
      </c>
      <c r="AM51" s="1631">
        <f t="shared" si="64"/>
        <v>3116.7164566641541</v>
      </c>
    </row>
    <row r="52" spans="1:39" s="1843" customFormat="1" ht="12.75" customHeight="1" x14ac:dyDescent="0.2">
      <c r="A52" s="1844">
        <v>4</v>
      </c>
      <c r="B52" s="2355"/>
      <c r="C52" s="2500"/>
      <c r="D52" s="2098">
        <v>4</v>
      </c>
      <c r="E52" s="1866" t="s">
        <v>35</v>
      </c>
      <c r="F52" s="1847" t="s">
        <v>53</v>
      </c>
      <c r="G52" s="1859">
        <v>2.5499999999999998</v>
      </c>
      <c r="H52" s="1863">
        <v>5.42</v>
      </c>
      <c r="I52" s="1857">
        <v>2.95</v>
      </c>
      <c r="J52" s="1629">
        <v>12.85</v>
      </c>
      <c r="K52" s="1853"/>
      <c r="L52" s="1853"/>
      <c r="M52" s="1868"/>
      <c r="N52" s="1628">
        <f t="shared" si="66"/>
        <v>4.1259500000000005</v>
      </c>
      <c r="O52" s="1853">
        <f t="shared" si="65"/>
        <v>6.32</v>
      </c>
      <c r="P52" s="1869">
        <f t="shared" si="50"/>
        <v>9.7826562549493694</v>
      </c>
      <c r="Q52" s="1629">
        <f t="shared" si="51"/>
        <v>12.443916722740473</v>
      </c>
      <c r="R52" s="1840">
        <f t="shared" si="52"/>
        <v>2186.2449910957143</v>
      </c>
      <c r="S52" s="1841">
        <f t="shared" si="53"/>
        <v>1486.6701869028436</v>
      </c>
      <c r="T52" s="1852">
        <v>2</v>
      </c>
      <c r="U52" s="1853" t="s">
        <v>85</v>
      </c>
      <c r="V52" s="1853">
        <v>4</v>
      </c>
      <c r="W52" s="1853">
        <v>11</v>
      </c>
      <c r="X52" s="1853">
        <v>35</v>
      </c>
      <c r="Y52" s="1853">
        <v>6.3</v>
      </c>
      <c r="Z52" s="1629">
        <v>6.54</v>
      </c>
      <c r="AA52" s="1853"/>
      <c r="AB52" s="1856">
        <v>5</v>
      </c>
      <c r="AC52" s="1854">
        <f t="shared" si="54"/>
        <v>20.028750000000002</v>
      </c>
      <c r="AD52" s="1855">
        <f t="shared" si="55"/>
        <v>29.191800474876505</v>
      </c>
      <c r="AE52" s="1854">
        <f t="shared" si="56"/>
        <v>32.03555743178196</v>
      </c>
      <c r="AF52" s="1864">
        <f t="shared" si="57"/>
        <v>0.94581433538599868</v>
      </c>
      <c r="AG52" s="1865">
        <f t="shared" si="58"/>
        <v>1.0379520607897355</v>
      </c>
      <c r="AH52" s="1839">
        <f t="shared" si="59"/>
        <v>732.6469381496654</v>
      </c>
      <c r="AI52" s="1630">
        <f t="shared" si="60"/>
        <v>577.48331800983271</v>
      </c>
      <c r="AJ52" s="1630">
        <f t="shared" si="61"/>
        <v>481.23609834152728</v>
      </c>
      <c r="AK52" s="1630">
        <f t="shared" si="62"/>
        <v>384.98887867322179</v>
      </c>
      <c r="AL52" s="1630">
        <f t="shared" si="63"/>
        <v>3850.246671957701</v>
      </c>
      <c r="AM52" s="1631">
        <f t="shared" si="64"/>
        <v>3034.8222417934153</v>
      </c>
    </row>
    <row r="53" spans="1:39" s="1843" customFormat="1" ht="12.75" customHeight="1" x14ac:dyDescent="0.2">
      <c r="A53" s="1844">
        <v>4</v>
      </c>
      <c r="B53" s="2497" t="s">
        <v>98</v>
      </c>
      <c r="C53" s="2499" t="s">
        <v>347</v>
      </c>
      <c r="D53" s="2098">
        <v>3</v>
      </c>
      <c r="E53" s="1866" t="s">
        <v>35</v>
      </c>
      <c r="F53" s="1821" t="s">
        <v>53</v>
      </c>
      <c r="G53" s="1853">
        <v>2.5499999999999998</v>
      </c>
      <c r="H53" s="1856">
        <v>5.42</v>
      </c>
      <c r="I53" s="1857">
        <v>2.95</v>
      </c>
      <c r="J53" s="1629">
        <v>15.12</v>
      </c>
      <c r="K53" s="1853"/>
      <c r="L53" s="1859"/>
      <c r="M53" s="1860">
        <v>0.34</v>
      </c>
      <c r="N53" s="1628">
        <f t="shared" si="66"/>
        <v>4.7115800000000005</v>
      </c>
      <c r="O53" s="1853">
        <f t="shared" si="65"/>
        <v>7.3640000000000008</v>
      </c>
      <c r="P53" s="1869">
        <f t="shared" si="50"/>
        <v>10.976628904012381</v>
      </c>
      <c r="Q53" s="1629">
        <f t="shared" si="51"/>
        <v>13.624596951704664</v>
      </c>
      <c r="R53" s="1840">
        <f t="shared" si="52"/>
        <v>1948.4382157782834</v>
      </c>
      <c r="S53" s="1841">
        <f t="shared" si="53"/>
        <v>1357.8383320678959</v>
      </c>
      <c r="T53" s="1862">
        <v>1</v>
      </c>
      <c r="U53" s="1853" t="s">
        <v>50</v>
      </c>
      <c r="V53" s="1859">
        <v>6.3</v>
      </c>
      <c r="W53" s="1853">
        <v>11</v>
      </c>
      <c r="X53" s="1859">
        <v>35</v>
      </c>
      <c r="Y53" s="1859">
        <v>6.3</v>
      </c>
      <c r="Z53" s="1858">
        <v>7</v>
      </c>
      <c r="AA53" s="1859"/>
      <c r="AB53" s="1863">
        <v>5</v>
      </c>
      <c r="AC53" s="1854">
        <f t="shared" si="54"/>
        <v>13.611111111111111</v>
      </c>
      <c r="AD53" s="1855">
        <f t="shared" si="55"/>
        <v>23.992287070775962</v>
      </c>
      <c r="AE53" s="1854">
        <f t="shared" si="56"/>
        <v>26.812326953554432</v>
      </c>
      <c r="AF53" s="1864">
        <f t="shared" si="57"/>
        <v>0.77735010109314118</v>
      </c>
      <c r="AG53" s="1865">
        <f t="shared" si="58"/>
        <v>0.86871939329516357</v>
      </c>
      <c r="AH53" s="1839">
        <f t="shared" si="59"/>
        <v>891.4232800692522</v>
      </c>
      <c r="AI53" s="1630">
        <f t="shared" si="60"/>
        <v>689.98114307820299</v>
      </c>
      <c r="AJ53" s="1630">
        <f t="shared" si="61"/>
        <v>574.98428589850255</v>
      </c>
      <c r="AK53" s="1630">
        <f t="shared" si="62"/>
        <v>459.98742871880199</v>
      </c>
      <c r="AL53" s="1630">
        <f t="shared" si="63"/>
        <v>4684.6568772408154</v>
      </c>
      <c r="AM53" s="1631">
        <f t="shared" si="64"/>
        <v>3626.0270281887547</v>
      </c>
    </row>
    <row r="54" spans="1:39" s="1843" customFormat="1" ht="12.75" customHeight="1" x14ac:dyDescent="0.2">
      <c r="A54" s="1844">
        <v>4</v>
      </c>
      <c r="B54" s="2355"/>
      <c r="C54" s="2500"/>
      <c r="D54" s="2098">
        <v>4</v>
      </c>
      <c r="E54" s="1866" t="s">
        <v>35</v>
      </c>
      <c r="F54" s="1847" t="s">
        <v>53</v>
      </c>
      <c r="G54" s="1859">
        <v>2.5499999999999998</v>
      </c>
      <c r="H54" s="1863">
        <v>5.42</v>
      </c>
      <c r="I54" s="1857">
        <v>2.95</v>
      </c>
      <c r="J54" s="1629">
        <v>15.35</v>
      </c>
      <c r="K54" s="1853"/>
      <c r="L54" s="1853"/>
      <c r="M54" s="1868"/>
      <c r="N54" s="1628">
        <f t="shared" si="66"/>
        <v>4.7484500000000001</v>
      </c>
      <c r="O54" s="1853">
        <f t="shared" si="65"/>
        <v>7.32</v>
      </c>
      <c r="P54" s="1869">
        <f t="shared" si="50"/>
        <v>10.952838782822472</v>
      </c>
      <c r="Q54" s="1629">
        <f t="shared" si="51"/>
        <v>13.596153036888781</v>
      </c>
      <c r="R54" s="1840">
        <f t="shared" si="52"/>
        <v>1952.670322376722</v>
      </c>
      <c r="S54" s="1841">
        <f t="shared" si="53"/>
        <v>1360.6790060251756</v>
      </c>
      <c r="T54" s="1852">
        <v>2</v>
      </c>
      <c r="U54" s="1853" t="s">
        <v>50</v>
      </c>
      <c r="V54" s="1853">
        <v>6.3</v>
      </c>
      <c r="W54" s="1853">
        <v>11</v>
      </c>
      <c r="X54" s="1853">
        <v>35</v>
      </c>
      <c r="Y54" s="1853">
        <v>6.3</v>
      </c>
      <c r="Z54" s="1629">
        <v>7</v>
      </c>
      <c r="AA54" s="1853"/>
      <c r="AB54" s="1856">
        <v>10</v>
      </c>
      <c r="AC54" s="1854">
        <f t="shared" si="54"/>
        <v>13.611111111111111</v>
      </c>
      <c r="AD54" s="1855">
        <f t="shared" si="55"/>
        <v>23.95642620289691</v>
      </c>
      <c r="AE54" s="1854">
        <f t="shared" si="56"/>
        <v>26.775526777126593</v>
      </c>
      <c r="AF54" s="1864">
        <f t="shared" si="57"/>
        <v>0.77618820897385987</v>
      </c>
      <c r="AG54" s="1865">
        <f t="shared" si="58"/>
        <v>0.86752706757890163</v>
      </c>
      <c r="AH54" s="1839">
        <f t="shared" si="59"/>
        <v>892.75766994026765</v>
      </c>
      <c r="AI54" s="1630">
        <f t="shared" si="60"/>
        <v>690.92945038914831</v>
      </c>
      <c r="AJ54" s="1630">
        <f t="shared" si="61"/>
        <v>575.774541990957</v>
      </c>
      <c r="AK54" s="1630">
        <f t="shared" si="62"/>
        <v>460.61963359276552</v>
      </c>
      <c r="AL54" s="1630">
        <f t="shared" si="63"/>
        <v>4691.6694366230286</v>
      </c>
      <c r="AM54" s="1631">
        <f t="shared" si="64"/>
        <v>3631.0106251681968</v>
      </c>
    </row>
    <row r="55" spans="1:39" s="1843" customFormat="1" ht="12.75" customHeight="1" x14ac:dyDescent="0.2">
      <c r="A55" s="1844">
        <v>4</v>
      </c>
      <c r="B55" s="2497" t="s">
        <v>76</v>
      </c>
      <c r="C55" s="2499" t="s">
        <v>43</v>
      </c>
      <c r="D55" s="2098">
        <v>3</v>
      </c>
      <c r="E55" s="1866" t="s">
        <v>35</v>
      </c>
      <c r="F55" s="1821" t="s">
        <v>53</v>
      </c>
      <c r="G55" s="1853">
        <v>2.5499999999999998</v>
      </c>
      <c r="H55" s="1856">
        <v>5.42</v>
      </c>
      <c r="I55" s="1857">
        <v>2.95</v>
      </c>
      <c r="J55" s="1629">
        <v>9.52</v>
      </c>
      <c r="K55" s="1853"/>
      <c r="L55" s="1853"/>
      <c r="M55" s="1860">
        <v>0.34</v>
      </c>
      <c r="N55" s="1628">
        <f t="shared" si="66"/>
        <v>3.3171799999999996</v>
      </c>
      <c r="O55" s="1853">
        <f t="shared" si="65"/>
        <v>5.1239999999999997</v>
      </c>
      <c r="P55" s="1869">
        <f t="shared" si="50"/>
        <v>8.3602607107912608</v>
      </c>
      <c r="Q55" s="1629">
        <f t="shared" si="51"/>
        <v>11.053489003586153</v>
      </c>
      <c r="R55" s="1840">
        <f t="shared" si="52"/>
        <v>2558.2076895506302</v>
      </c>
      <c r="S55" s="1841">
        <f t="shared" si="53"/>
        <v>1673.6796855723953</v>
      </c>
      <c r="T55" s="1852">
        <v>1</v>
      </c>
      <c r="U55" s="1853" t="s">
        <v>50</v>
      </c>
      <c r="V55" s="1853">
        <v>6.3</v>
      </c>
      <c r="W55" s="1853">
        <v>11</v>
      </c>
      <c r="X55" s="1853">
        <v>35</v>
      </c>
      <c r="Y55" s="1853">
        <v>6.3</v>
      </c>
      <c r="Z55" s="1629">
        <v>7.73</v>
      </c>
      <c r="AA55" s="1853" t="s">
        <v>63</v>
      </c>
      <c r="AB55" s="1856">
        <v>10</v>
      </c>
      <c r="AC55" s="1854">
        <f t="shared" si="54"/>
        <v>15.030555555555557</v>
      </c>
      <c r="AD55" s="1855">
        <f t="shared" si="55"/>
        <v>22.945599275846092</v>
      </c>
      <c r="AE55" s="1854">
        <f t="shared" si="56"/>
        <v>25.788787777183273</v>
      </c>
      <c r="AF55" s="1864">
        <f t="shared" si="57"/>
        <v>0.74343741653741335</v>
      </c>
      <c r="AG55" s="1865">
        <f t="shared" si="58"/>
        <v>0.83555672398073799</v>
      </c>
      <c r="AH55" s="1870">
        <f t="shared" si="59"/>
        <v>932.08649640751594</v>
      </c>
      <c r="AI55" s="1666">
        <f t="shared" si="60"/>
        <v>717.36601812544075</v>
      </c>
      <c r="AJ55" s="1630">
        <f t="shared" si="61"/>
        <v>597.80501510453394</v>
      </c>
      <c r="AK55" s="1630">
        <f t="shared" si="62"/>
        <v>478.24401208362718</v>
      </c>
      <c r="AL55" s="1630">
        <f t="shared" si="63"/>
        <v>4898.3524585980567</v>
      </c>
      <c r="AM55" s="1631">
        <f t="shared" si="64"/>
        <v>3769.9415366952594</v>
      </c>
    </row>
    <row r="56" spans="1:39" s="1843" customFormat="1" ht="12.75" customHeight="1" x14ac:dyDescent="0.2">
      <c r="A56" s="1844">
        <v>4</v>
      </c>
      <c r="B56" s="2355"/>
      <c r="C56" s="2500"/>
      <c r="D56" s="2098">
        <v>4</v>
      </c>
      <c r="E56" s="1866" t="s">
        <v>35</v>
      </c>
      <c r="F56" s="1847" t="s">
        <v>53</v>
      </c>
      <c r="G56" s="1859">
        <v>2.5499999999999998</v>
      </c>
      <c r="H56" s="1863">
        <v>5.42</v>
      </c>
      <c r="I56" s="1857">
        <v>2.95</v>
      </c>
      <c r="J56" s="1629">
        <v>9.75</v>
      </c>
      <c r="K56" s="1853"/>
      <c r="L56" s="1853"/>
      <c r="M56" s="1868"/>
      <c r="N56" s="1628">
        <f t="shared" si="66"/>
        <v>3.35405</v>
      </c>
      <c r="O56" s="1853">
        <f t="shared" si="65"/>
        <v>5.08</v>
      </c>
      <c r="P56" s="1869">
        <f t="shared" si="50"/>
        <v>8.3346596452704649</v>
      </c>
      <c r="Q56" s="1629">
        <f t="shared" si="51"/>
        <v>11.022688029809245</v>
      </c>
      <c r="R56" s="1840">
        <f t="shared" si="52"/>
        <v>2566.0655800300756</v>
      </c>
      <c r="S56" s="1841">
        <f t="shared" si="53"/>
        <v>1678.3564907189118</v>
      </c>
      <c r="T56" s="1852">
        <v>2</v>
      </c>
      <c r="U56" s="1853" t="s">
        <v>50</v>
      </c>
      <c r="V56" s="1853">
        <v>6.3</v>
      </c>
      <c r="W56" s="1853">
        <v>11</v>
      </c>
      <c r="X56" s="1853">
        <v>35</v>
      </c>
      <c r="Y56" s="1853">
        <v>6.3</v>
      </c>
      <c r="Z56" s="1629">
        <v>7.7</v>
      </c>
      <c r="AA56" s="1853" t="s">
        <v>77</v>
      </c>
      <c r="AB56" s="1856">
        <v>10</v>
      </c>
      <c r="AC56" s="1854">
        <f t="shared" si="54"/>
        <v>14.972222222222221</v>
      </c>
      <c r="AD56" s="1855">
        <f t="shared" si="55"/>
        <v>22.849728680779034</v>
      </c>
      <c r="AE56" s="1854">
        <f t="shared" si="56"/>
        <v>25.692095211188434</v>
      </c>
      <c r="AF56" s="1864">
        <f t="shared" si="57"/>
        <v>0.74033120925724061</v>
      </c>
      <c r="AG56" s="1865">
        <f t="shared" si="58"/>
        <v>0.83242388484250518</v>
      </c>
      <c r="AH56" s="1870">
        <f t="shared" si="59"/>
        <v>935.99725124898271</v>
      </c>
      <c r="AI56" s="1666">
        <f t="shared" si="60"/>
        <v>720.06583534470133</v>
      </c>
      <c r="AJ56" s="1630">
        <f t="shared" si="61"/>
        <v>600.05486278725118</v>
      </c>
      <c r="AK56" s="1630">
        <f t="shared" si="62"/>
        <v>480.04389022980087</v>
      </c>
      <c r="AL56" s="1630">
        <f t="shared" si="63"/>
        <v>4918.9044735306907</v>
      </c>
      <c r="AM56" s="1631">
        <f t="shared" si="64"/>
        <v>3784.1297653250072</v>
      </c>
    </row>
    <row r="57" spans="1:39" s="1843" customFormat="1" ht="12.75" customHeight="1" x14ac:dyDescent="0.2">
      <c r="A57" s="1844">
        <v>4</v>
      </c>
      <c r="B57" s="2497" t="s">
        <v>64</v>
      </c>
      <c r="C57" s="2498" t="s">
        <v>345</v>
      </c>
      <c r="D57" s="2098">
        <v>3</v>
      </c>
      <c r="E57" s="1866" t="s">
        <v>35</v>
      </c>
      <c r="F57" s="1821" t="s">
        <v>53</v>
      </c>
      <c r="G57" s="1853">
        <v>2.5499999999999998</v>
      </c>
      <c r="H57" s="1856">
        <v>5.42</v>
      </c>
      <c r="I57" s="1857">
        <v>2.95</v>
      </c>
      <c r="J57" s="1629">
        <v>10.02</v>
      </c>
      <c r="K57" s="1853"/>
      <c r="L57" s="1853"/>
      <c r="M57" s="1860">
        <v>0.34</v>
      </c>
      <c r="N57" s="1628">
        <f t="shared" si="66"/>
        <v>3.4416799999999999</v>
      </c>
      <c r="O57" s="1853">
        <f t="shared" si="65"/>
        <v>5.3239999999999998</v>
      </c>
      <c r="P57" s="1869">
        <f t="shared" si="50"/>
        <v>8.5933135182186859</v>
      </c>
      <c r="Q57" s="1629">
        <f t="shared" si="51"/>
        <v>11.281786082992355</v>
      </c>
      <c r="R57" s="1840">
        <f t="shared" si="52"/>
        <v>2488.8284585045144</v>
      </c>
      <c r="S57" s="1841">
        <f t="shared" si="53"/>
        <v>1639.8112731360266</v>
      </c>
      <c r="T57" s="1852">
        <v>1</v>
      </c>
      <c r="U57" s="1853" t="s">
        <v>66</v>
      </c>
      <c r="V57" s="1853">
        <v>6.3</v>
      </c>
      <c r="W57" s="1853">
        <v>11</v>
      </c>
      <c r="X57" s="1853">
        <v>35</v>
      </c>
      <c r="Y57" s="1853">
        <v>6.3</v>
      </c>
      <c r="Z57" s="1629">
        <v>7.7</v>
      </c>
      <c r="AA57" s="1853" t="s">
        <v>67</v>
      </c>
      <c r="AB57" s="1856">
        <v>10</v>
      </c>
      <c r="AC57" s="1854">
        <f t="shared" si="54"/>
        <v>14.972222222222221</v>
      </c>
      <c r="AD57" s="1855">
        <f t="shared" si="55"/>
        <v>23.104004653946042</v>
      </c>
      <c r="AE57" s="1854">
        <f t="shared" si="56"/>
        <v>25.945505325684369</v>
      </c>
      <c r="AF57" s="1864">
        <f t="shared" si="57"/>
        <v>0.74856975078785171</v>
      </c>
      <c r="AG57" s="1865">
        <f t="shared" si="58"/>
        <v>0.84063437255217355</v>
      </c>
      <c r="AH57" s="2096">
        <f>37000/1.73/SQRT(POWER((G57+O57+AC57),2)+N57*N57)</f>
        <v>925.69593701762801</v>
      </c>
      <c r="AI57" s="2097">
        <f t="shared" si="60"/>
        <v>713.03294222935017</v>
      </c>
      <c r="AJ57" s="2090">
        <f t="shared" si="61"/>
        <v>594.19411852445853</v>
      </c>
      <c r="AK57" s="2090">
        <f t="shared" si="62"/>
        <v>475.35529481956678</v>
      </c>
      <c r="AL57" s="2090">
        <f t="shared" si="63"/>
        <v>4864.7684377803271</v>
      </c>
      <c r="AM57" s="2091">
        <f t="shared" si="64"/>
        <v>3747.1701168209092</v>
      </c>
    </row>
    <row r="58" spans="1:39" s="1843" customFormat="1" ht="12.75" customHeight="1" thickBot="1" x14ac:dyDescent="0.25">
      <c r="A58" s="2110">
        <v>4</v>
      </c>
      <c r="B58" s="2505"/>
      <c r="C58" s="2501"/>
      <c r="D58" s="2111">
        <v>4</v>
      </c>
      <c r="E58" s="2112" t="s">
        <v>35</v>
      </c>
      <c r="F58" s="2113" t="s">
        <v>53</v>
      </c>
      <c r="G58" s="2114">
        <v>2.5499999999999998</v>
      </c>
      <c r="H58" s="2115">
        <v>5.42</v>
      </c>
      <c r="I58" s="2116">
        <v>2.95</v>
      </c>
      <c r="J58" s="1634">
        <v>10.25</v>
      </c>
      <c r="K58" s="2117"/>
      <c r="L58" s="2117"/>
      <c r="M58" s="2118"/>
      <c r="N58" s="1633">
        <f t="shared" si="66"/>
        <v>3.4785499999999998</v>
      </c>
      <c r="O58" s="2117">
        <f t="shared" si="65"/>
        <v>5.28</v>
      </c>
      <c r="P58" s="2119">
        <f t="shared" si="50"/>
        <v>8.5679174892443957</v>
      </c>
      <c r="Q58" s="1634">
        <f t="shared" si="51"/>
        <v>11.251235936664914</v>
      </c>
      <c r="R58" s="2120">
        <f t="shared" si="52"/>
        <v>2496.205555649015</v>
      </c>
      <c r="S58" s="2121">
        <f t="shared" si="53"/>
        <v>1644.2638039180397</v>
      </c>
      <c r="T58" s="2122">
        <v>2</v>
      </c>
      <c r="U58" s="2117" t="s">
        <v>66</v>
      </c>
      <c r="V58" s="2117">
        <v>6.3</v>
      </c>
      <c r="W58" s="2117">
        <v>11</v>
      </c>
      <c r="X58" s="2117">
        <v>35</v>
      </c>
      <c r="Y58" s="2117">
        <v>6.3</v>
      </c>
      <c r="Z58" s="1634">
        <v>7.7</v>
      </c>
      <c r="AA58" s="2117" t="s">
        <v>68</v>
      </c>
      <c r="AB58" s="2123">
        <v>10</v>
      </c>
      <c r="AC58" s="2124">
        <f t="shared" si="54"/>
        <v>14.972222222222221</v>
      </c>
      <c r="AD58" s="2125">
        <f t="shared" si="55"/>
        <v>23.066028014682221</v>
      </c>
      <c r="AE58" s="2124">
        <f t="shared" si="56"/>
        <v>25.906819641354293</v>
      </c>
      <c r="AF58" s="2126">
        <f t="shared" si="57"/>
        <v>0.74733930767570389</v>
      </c>
      <c r="AG58" s="2127">
        <f t="shared" si="58"/>
        <v>0.83938095637987897</v>
      </c>
      <c r="AH58" s="2128">
        <f t="shared" si="59"/>
        <v>927.22003213472965</v>
      </c>
      <c r="AI58" s="2129">
        <f t="shared" si="60"/>
        <v>714.09768764009141</v>
      </c>
      <c r="AJ58" s="2130">
        <f t="shared" si="61"/>
        <v>595.08140636674284</v>
      </c>
      <c r="AK58" s="2130">
        <f t="shared" si="62"/>
        <v>476.06512509339427</v>
      </c>
      <c r="AL58" s="2130">
        <f t="shared" si="63"/>
        <v>4872.7779466539841</v>
      </c>
      <c r="AM58" s="2131">
        <f t="shared" si="64"/>
        <v>3752.765625736216</v>
      </c>
    </row>
    <row r="59" spans="1:39" ht="12.75" customHeight="1" x14ac:dyDescent="0.2">
      <c r="A59" s="409">
        <v>4</v>
      </c>
      <c r="B59" s="2365" t="s">
        <v>64</v>
      </c>
      <c r="C59" s="2504" t="s">
        <v>345</v>
      </c>
      <c r="D59" s="647">
        <v>2.5</v>
      </c>
      <c r="E59" s="197" t="s">
        <v>35</v>
      </c>
      <c r="F59" s="656" t="s">
        <v>49</v>
      </c>
      <c r="G59" s="198">
        <v>4.13</v>
      </c>
      <c r="H59" s="199">
        <v>6.96</v>
      </c>
      <c r="I59" s="200"/>
      <c r="J59" s="201">
        <v>4.0999999999999996</v>
      </c>
      <c r="K59" s="202"/>
      <c r="L59" s="202"/>
      <c r="M59" s="203"/>
      <c r="N59" s="338">
        <f t="shared" si="44"/>
        <v>1.0208999999999999</v>
      </c>
      <c r="O59" s="198">
        <f t="shared" si="45"/>
        <v>1.64</v>
      </c>
      <c r="P59" s="205">
        <f>SQRT(POWER(N59,2)+POWER(O59+G59,2))</f>
        <v>5.8596191693658719</v>
      </c>
      <c r="Q59" s="206">
        <f t="shared" si="46"/>
        <v>8.6603831791670736</v>
      </c>
      <c r="R59" s="207">
        <f t="shared" si="35"/>
        <v>3649.9442402002978</v>
      </c>
      <c r="S59" s="1018">
        <f t="shared" si="36"/>
        <v>2136.1641416170305</v>
      </c>
      <c r="T59" s="1030">
        <v>1</v>
      </c>
      <c r="U59" s="198" t="s">
        <v>66</v>
      </c>
      <c r="V59" s="198">
        <v>6.3</v>
      </c>
      <c r="W59" s="198">
        <v>11</v>
      </c>
      <c r="X59" s="198">
        <v>35</v>
      </c>
      <c r="Y59" s="198">
        <v>6.3</v>
      </c>
      <c r="Z59" s="206">
        <v>7.7</v>
      </c>
      <c r="AA59" s="198" t="s">
        <v>67</v>
      </c>
      <c r="AB59" s="199">
        <v>10</v>
      </c>
      <c r="AC59" s="340">
        <f t="shared" si="47"/>
        <v>14.972222222222221</v>
      </c>
      <c r="AD59" s="204">
        <f t="shared" si="40"/>
        <v>20.767330582577273</v>
      </c>
      <c r="AE59" s="340">
        <f t="shared" si="41"/>
        <v>23.594319174407794</v>
      </c>
      <c r="AF59" s="179">
        <f t="shared" si="28"/>
        <v>0.67286151087550361</v>
      </c>
      <c r="AG59" s="180">
        <f t="shared" si="29"/>
        <v>0.76445594125081251</v>
      </c>
      <c r="AH59" s="259">
        <f t="shared" si="42"/>
        <v>1029.8523034509333</v>
      </c>
      <c r="AI59" s="207">
        <f t="shared" si="43"/>
        <v>784.0870449894785</v>
      </c>
      <c r="AJ59" s="207">
        <f t="shared" si="48"/>
        <v>653.40587082456545</v>
      </c>
      <c r="AK59" s="207">
        <f t="shared" si="49"/>
        <v>522.7246966596523</v>
      </c>
      <c r="AL59" s="207">
        <f t="shared" si="37"/>
        <v>5412.1367298472478</v>
      </c>
      <c r="AM59" s="260">
        <f t="shared" si="38"/>
        <v>4120.5775637585211</v>
      </c>
    </row>
    <row r="60" spans="1:39" ht="12.75" customHeight="1" x14ac:dyDescent="0.2">
      <c r="A60" s="255">
        <v>4</v>
      </c>
      <c r="B60" s="2366"/>
      <c r="C60" s="2368"/>
      <c r="D60" s="675">
        <v>2.5</v>
      </c>
      <c r="E60" s="209" t="s">
        <v>35</v>
      </c>
      <c r="F60" s="210" t="s">
        <v>49</v>
      </c>
      <c r="G60" s="211">
        <v>4.13</v>
      </c>
      <c r="H60" s="212">
        <v>6.96</v>
      </c>
      <c r="I60" s="213"/>
      <c r="J60" s="214">
        <v>4.0999999999999996</v>
      </c>
      <c r="K60" s="215"/>
      <c r="L60" s="215"/>
      <c r="M60" s="216"/>
      <c r="N60" s="305">
        <f t="shared" si="44"/>
        <v>1.0208999999999999</v>
      </c>
      <c r="O60" s="211">
        <f t="shared" si="45"/>
        <v>1.64</v>
      </c>
      <c r="P60" s="218">
        <f>SQRT(POWER(N60,2)+POWER(O60+G60,2))</f>
        <v>5.8596191693658719</v>
      </c>
      <c r="Q60" s="219">
        <f t="shared" si="46"/>
        <v>8.6603831791670736</v>
      </c>
      <c r="R60" s="207">
        <f t="shared" si="35"/>
        <v>3649.9442402002978</v>
      </c>
      <c r="S60" s="1018">
        <f t="shared" si="36"/>
        <v>2136.1641416170305</v>
      </c>
      <c r="T60" s="1031">
        <v>2</v>
      </c>
      <c r="U60" s="211" t="s">
        <v>66</v>
      </c>
      <c r="V60" s="211">
        <v>6.3</v>
      </c>
      <c r="W60" s="211">
        <v>11</v>
      </c>
      <c r="X60" s="211">
        <v>35</v>
      </c>
      <c r="Y60" s="211">
        <v>6.3</v>
      </c>
      <c r="Z60" s="219">
        <v>7.7</v>
      </c>
      <c r="AA60" s="211" t="s">
        <v>68</v>
      </c>
      <c r="AB60" s="212">
        <v>10</v>
      </c>
      <c r="AC60" s="307">
        <f t="shared" si="47"/>
        <v>14.972222222222221</v>
      </c>
      <c r="AD60" s="217">
        <f t="shared" si="40"/>
        <v>20.767330582577273</v>
      </c>
      <c r="AE60" s="307">
        <f t="shared" si="41"/>
        <v>23.594319174407794</v>
      </c>
      <c r="AF60" s="157">
        <f t="shared" si="28"/>
        <v>0.67286151087550361</v>
      </c>
      <c r="AG60" s="158">
        <f t="shared" si="29"/>
        <v>0.76445594125081251</v>
      </c>
      <c r="AH60" s="261">
        <f t="shared" si="42"/>
        <v>1029.8523034509333</v>
      </c>
      <c r="AI60" s="220">
        <f t="shared" si="43"/>
        <v>784.0870449894785</v>
      </c>
      <c r="AJ60" s="220">
        <f t="shared" si="48"/>
        <v>653.40587082456545</v>
      </c>
      <c r="AK60" s="220">
        <f t="shared" si="49"/>
        <v>522.7246966596523</v>
      </c>
      <c r="AL60" s="220">
        <f t="shared" si="37"/>
        <v>5412.1367298472478</v>
      </c>
      <c r="AM60" s="262">
        <f t="shared" si="38"/>
        <v>4120.5775637585211</v>
      </c>
    </row>
    <row r="61" spans="1:39" ht="12.75" customHeight="1" x14ac:dyDescent="0.2">
      <c r="A61" s="256">
        <v>4</v>
      </c>
      <c r="B61" s="2369" t="s">
        <v>71</v>
      </c>
      <c r="C61" s="2370" t="s">
        <v>342</v>
      </c>
      <c r="D61" s="675">
        <v>2.5</v>
      </c>
      <c r="E61" s="209" t="s">
        <v>35</v>
      </c>
      <c r="F61" s="210" t="s">
        <v>49</v>
      </c>
      <c r="G61" s="211">
        <v>4.13</v>
      </c>
      <c r="H61" s="212">
        <v>6.96</v>
      </c>
      <c r="I61" s="213">
        <v>1</v>
      </c>
      <c r="J61" s="214">
        <v>4.0999999999999996</v>
      </c>
      <c r="K61" s="215">
        <v>7.05</v>
      </c>
      <c r="L61" s="215"/>
      <c r="M61" s="216"/>
      <c r="N61" s="305">
        <f t="shared" si="44"/>
        <v>2.7096499999999999</v>
      </c>
      <c r="O61" s="211">
        <f t="shared" si="45"/>
        <v>4.8599999999999994</v>
      </c>
      <c r="P61" s="218">
        <f>SQRT(POWER(N61,2)+POWER(O61+G61,2))</f>
        <v>9.3894783200399345</v>
      </c>
      <c r="Q61" s="219">
        <f t="shared" si="46"/>
        <v>12.126607238733346</v>
      </c>
      <c r="R61" s="220">
        <f t="shared" si="35"/>
        <v>2277.7924936838513</v>
      </c>
      <c r="S61" s="871">
        <f t="shared" si="36"/>
        <v>1525.5709726385408</v>
      </c>
      <c r="T61" s="1031">
        <v>1</v>
      </c>
      <c r="U61" s="211" t="s">
        <v>50</v>
      </c>
      <c r="V61" s="211">
        <v>6.3</v>
      </c>
      <c r="W61" s="211">
        <v>11</v>
      </c>
      <c r="X61" s="211">
        <v>35</v>
      </c>
      <c r="Y61" s="211">
        <v>6.3</v>
      </c>
      <c r="Z61" s="219">
        <v>7.83</v>
      </c>
      <c r="AA61" s="211" t="s">
        <v>51</v>
      </c>
      <c r="AB61" s="212">
        <v>10</v>
      </c>
      <c r="AC61" s="307">
        <f t="shared" si="47"/>
        <v>15.225000000000001</v>
      </c>
      <c r="AD61" s="217">
        <f t="shared" si="40"/>
        <v>24.366132810162963</v>
      </c>
      <c r="AE61" s="307">
        <f t="shared" si="41"/>
        <v>27.180401544541244</v>
      </c>
      <c r="AF61" s="157">
        <f t="shared" si="28"/>
        <v>0.7894627030492799</v>
      </c>
      <c r="AG61" s="158">
        <f t="shared" si="29"/>
        <v>0.88064501004313622</v>
      </c>
      <c r="AH61" s="261">
        <f t="shared" si="42"/>
        <v>877.74631303305205</v>
      </c>
      <c r="AI61" s="220">
        <f t="shared" si="43"/>
        <v>680.63747953405175</v>
      </c>
      <c r="AJ61" s="220">
        <f t="shared" si="48"/>
        <v>567.19789961170977</v>
      </c>
      <c r="AK61" s="220">
        <f t="shared" si="49"/>
        <v>453.75831968936785</v>
      </c>
      <c r="AL61" s="220">
        <f t="shared" si="37"/>
        <v>4612.7809243478714</v>
      </c>
      <c r="AM61" s="262">
        <f t="shared" si="38"/>
        <v>3576.9236912450169</v>
      </c>
    </row>
    <row r="62" spans="1:39" ht="12.75" customHeight="1" x14ac:dyDescent="0.2">
      <c r="A62" s="256">
        <v>4</v>
      </c>
      <c r="B62" s="2366"/>
      <c r="C62" s="2368"/>
      <c r="D62" s="675">
        <v>2.5</v>
      </c>
      <c r="E62" s="209" t="s">
        <v>35</v>
      </c>
      <c r="F62" s="210" t="s">
        <v>49</v>
      </c>
      <c r="G62" s="211">
        <v>4.13</v>
      </c>
      <c r="H62" s="212">
        <v>6.96</v>
      </c>
      <c r="I62" s="213">
        <v>1</v>
      </c>
      <c r="J62" s="214">
        <v>4.0999999999999996</v>
      </c>
      <c r="K62" s="215">
        <v>7.05</v>
      </c>
      <c r="L62" s="215"/>
      <c r="M62" s="216"/>
      <c r="N62" s="305">
        <f t="shared" si="44"/>
        <v>2.7096499999999999</v>
      </c>
      <c r="O62" s="211">
        <f t="shared" si="45"/>
        <v>4.8599999999999994</v>
      </c>
      <c r="P62" s="218">
        <f>SQRT(POWER(N62,2)+POWER(O62+G62,2))</f>
        <v>9.3894783200399345</v>
      </c>
      <c r="Q62" s="219">
        <f t="shared" si="46"/>
        <v>12.126607238733346</v>
      </c>
      <c r="R62" s="207">
        <f t="shared" si="35"/>
        <v>2277.7924936838513</v>
      </c>
      <c r="S62" s="1018">
        <f t="shared" si="36"/>
        <v>1525.5709726385408</v>
      </c>
      <c r="T62" s="1031">
        <v>2</v>
      </c>
      <c r="U62" s="211" t="s">
        <v>50</v>
      </c>
      <c r="V62" s="211">
        <v>6.3</v>
      </c>
      <c r="W62" s="211">
        <v>11</v>
      </c>
      <c r="X62" s="211">
        <v>35</v>
      </c>
      <c r="Y62" s="211">
        <v>6.3</v>
      </c>
      <c r="Z62" s="219">
        <v>7.89</v>
      </c>
      <c r="AA62" s="211" t="s">
        <v>51</v>
      </c>
      <c r="AB62" s="212">
        <v>10</v>
      </c>
      <c r="AC62" s="307">
        <f t="shared" si="47"/>
        <v>15.341666666666665</v>
      </c>
      <c r="AD62" s="217">
        <f t="shared" si="40"/>
        <v>24.482079280573323</v>
      </c>
      <c r="AE62" s="307">
        <f t="shared" si="41"/>
        <v>27.296489503846662</v>
      </c>
      <c r="AF62" s="157">
        <f t="shared" si="28"/>
        <v>0.79321936869057563</v>
      </c>
      <c r="AG62" s="158">
        <f t="shared" si="29"/>
        <v>0.88440625992463173</v>
      </c>
      <c r="AH62" s="261">
        <f t="shared" si="42"/>
        <v>873.58933005192728</v>
      </c>
      <c r="AI62" s="220">
        <f t="shared" si="43"/>
        <v>677.74282833669702</v>
      </c>
      <c r="AJ62" s="220">
        <f t="shared" si="48"/>
        <v>564.78569028058087</v>
      </c>
      <c r="AK62" s="220">
        <f t="shared" si="49"/>
        <v>451.82855222446466</v>
      </c>
      <c r="AL62" s="220">
        <f t="shared" si="37"/>
        <v>4590.9349176903088</v>
      </c>
      <c r="AM62" s="262">
        <f t="shared" si="38"/>
        <v>3561.7115603279876</v>
      </c>
    </row>
    <row r="63" spans="1:39" ht="12.75" customHeight="1" x14ac:dyDescent="0.2">
      <c r="A63" s="256">
        <v>4</v>
      </c>
      <c r="B63" s="2369" t="s">
        <v>72</v>
      </c>
      <c r="C63" s="2370" t="s">
        <v>340</v>
      </c>
      <c r="D63" s="675">
        <v>1.4</v>
      </c>
      <c r="E63" s="209" t="s">
        <v>35</v>
      </c>
      <c r="F63" s="210" t="s">
        <v>65</v>
      </c>
      <c r="G63" s="211">
        <v>4.3529999999999998</v>
      </c>
      <c r="H63" s="212">
        <v>4.79</v>
      </c>
      <c r="I63" s="213">
        <v>1</v>
      </c>
      <c r="J63" s="214">
        <v>4.3</v>
      </c>
      <c r="K63" s="215">
        <v>7.05</v>
      </c>
      <c r="L63" s="215"/>
      <c r="M63" s="216"/>
      <c r="N63" s="305">
        <f t="shared" si="44"/>
        <v>2.7594500000000002</v>
      </c>
      <c r="O63" s="211">
        <f t="shared" si="45"/>
        <v>4.9400000000000004</v>
      </c>
      <c r="P63" s="218">
        <f>SQRT(POWER(N63,2)+POWER(O63+G63,2))</f>
        <v>9.6940400918554062</v>
      </c>
      <c r="Q63" s="219">
        <f t="shared" si="46"/>
        <v>10.113726528955587</v>
      </c>
      <c r="R63" s="207">
        <f t="shared" si="35"/>
        <v>2206.230120191381</v>
      </c>
      <c r="S63" s="1018">
        <f t="shared" si="36"/>
        <v>1829.1971754461149</v>
      </c>
      <c r="T63" s="1031">
        <v>1</v>
      </c>
      <c r="U63" s="211" t="s">
        <v>73</v>
      </c>
      <c r="V63" s="211">
        <v>10</v>
      </c>
      <c r="W63" s="211">
        <v>11</v>
      </c>
      <c r="X63" s="211">
        <v>36.75</v>
      </c>
      <c r="Y63" s="211">
        <v>6.3</v>
      </c>
      <c r="Z63" s="219">
        <v>8.17</v>
      </c>
      <c r="AA63" s="211" t="s">
        <v>74</v>
      </c>
      <c r="AB63" s="212">
        <v>12</v>
      </c>
      <c r="AC63" s="307">
        <f t="shared" si="47"/>
        <v>11.034095625000001</v>
      </c>
      <c r="AD63" s="217">
        <f t="shared" si="40"/>
        <v>20.513541401971384</v>
      </c>
      <c r="AE63" s="307">
        <f t="shared" si="41"/>
        <v>20.946652033836912</v>
      </c>
      <c r="AF63" s="157">
        <f t="shared" si="28"/>
        <v>0.60284693099671016</v>
      </c>
      <c r="AG63" s="158">
        <f t="shared" si="29"/>
        <v>0.61557508017806462</v>
      </c>
      <c r="AH63" s="261">
        <f t="shared" si="42"/>
        <v>1042.5934175821474</v>
      </c>
      <c r="AI63" s="220">
        <f t="shared" si="43"/>
        <v>883.19603391106932</v>
      </c>
      <c r="AJ63" s="220">
        <f t="shared" si="48"/>
        <v>735.99669492589112</v>
      </c>
      <c r="AK63" s="220">
        <f t="shared" si="49"/>
        <v>588.79735594071292</v>
      </c>
      <c r="AL63" s="220">
        <f t="shared" si="37"/>
        <v>6040.7017268695345</v>
      </c>
      <c r="AM63" s="262">
        <f t="shared" si="38"/>
        <v>5117.1662099914993</v>
      </c>
    </row>
    <row r="64" spans="1:39" ht="12.75" customHeight="1" x14ac:dyDescent="0.2">
      <c r="A64" s="256">
        <v>4</v>
      </c>
      <c r="B64" s="2366"/>
      <c r="C64" s="2368"/>
      <c r="D64" s="675">
        <v>1.4</v>
      </c>
      <c r="E64" s="209" t="s">
        <v>35</v>
      </c>
      <c r="F64" s="210" t="s">
        <v>65</v>
      </c>
      <c r="G64" s="211">
        <v>4.3529999999999998</v>
      </c>
      <c r="H64" s="212">
        <v>4.79</v>
      </c>
      <c r="I64" s="213">
        <v>1</v>
      </c>
      <c r="J64" s="214">
        <v>4.3</v>
      </c>
      <c r="K64" s="215">
        <v>7.05</v>
      </c>
      <c r="L64" s="215"/>
      <c r="M64" s="216"/>
      <c r="N64" s="305">
        <f t="shared" si="44"/>
        <v>2.7594500000000002</v>
      </c>
      <c r="O64" s="211">
        <f t="shared" si="45"/>
        <v>4.9400000000000004</v>
      </c>
      <c r="P64" s="218">
        <f t="shared" ref="P64:P76" si="67">SQRT(POWER(N64,2)+POWER(O64+G64,2))</f>
        <v>9.6940400918554062</v>
      </c>
      <c r="Q64" s="219">
        <f t="shared" si="46"/>
        <v>10.113726528955587</v>
      </c>
      <c r="R64" s="207">
        <f t="shared" si="35"/>
        <v>2206.230120191381</v>
      </c>
      <c r="S64" s="1018">
        <f t="shared" si="36"/>
        <v>1829.1971754461149</v>
      </c>
      <c r="T64" s="1031">
        <v>2</v>
      </c>
      <c r="U64" s="211" t="s">
        <v>73</v>
      </c>
      <c r="V64" s="211">
        <v>10</v>
      </c>
      <c r="W64" s="211">
        <v>11</v>
      </c>
      <c r="X64" s="211">
        <v>36.75</v>
      </c>
      <c r="Y64" s="211">
        <v>6.3</v>
      </c>
      <c r="Z64" s="219">
        <v>8.0299999999999994</v>
      </c>
      <c r="AA64" s="211" t="s">
        <v>74</v>
      </c>
      <c r="AB64" s="212">
        <v>12</v>
      </c>
      <c r="AC64" s="307">
        <f t="shared" si="47"/>
        <v>10.845016875000001</v>
      </c>
      <c r="AD64" s="217">
        <f t="shared" si="40"/>
        <v>20.326197085541718</v>
      </c>
      <c r="AE64" s="307">
        <f t="shared" si="41"/>
        <v>20.759236106105512</v>
      </c>
      <c r="AF64" s="157">
        <f t="shared" si="28"/>
        <v>0.59734130210571579</v>
      </c>
      <c r="AG64" s="158">
        <f t="shared" si="29"/>
        <v>0.61006734679167229</v>
      </c>
      <c r="AH64" s="261">
        <f t="shared" si="42"/>
        <v>1052.2028861073704</v>
      </c>
      <c r="AI64" s="220">
        <f t="shared" si="43"/>
        <v>891.16959340131746</v>
      </c>
      <c r="AJ64" s="220">
        <f t="shared" si="48"/>
        <v>742.64132783443119</v>
      </c>
      <c r="AK64" s="220">
        <f t="shared" si="49"/>
        <v>594.11306226754493</v>
      </c>
      <c r="AL64" s="220">
        <f t="shared" si="37"/>
        <v>6096.378208358582</v>
      </c>
      <c r="AM64" s="262">
        <f t="shared" si="38"/>
        <v>5163.3643671731734</v>
      </c>
    </row>
    <row r="65" spans="1:39" ht="12.75" customHeight="1" x14ac:dyDescent="0.2">
      <c r="A65" s="256">
        <v>4</v>
      </c>
      <c r="B65" s="2369" t="s">
        <v>76</v>
      </c>
      <c r="C65" s="2371" t="s">
        <v>43</v>
      </c>
      <c r="D65" s="675">
        <v>1.4</v>
      </c>
      <c r="E65" s="209" t="s">
        <v>35</v>
      </c>
      <c r="F65" s="210" t="s">
        <v>65</v>
      </c>
      <c r="G65" s="211">
        <v>4.3529999999999998</v>
      </c>
      <c r="H65" s="212">
        <v>4.79</v>
      </c>
      <c r="I65" s="213">
        <v>1</v>
      </c>
      <c r="J65" s="214">
        <v>0.5</v>
      </c>
      <c r="K65" s="215">
        <v>7.05</v>
      </c>
      <c r="L65" s="215"/>
      <c r="M65" s="216"/>
      <c r="N65" s="305">
        <f t="shared" si="44"/>
        <v>1.81325</v>
      </c>
      <c r="O65" s="211">
        <f t="shared" si="45"/>
        <v>3.4200000000000004</v>
      </c>
      <c r="P65" s="218">
        <f t="shared" si="67"/>
        <v>7.9816918358515947</v>
      </c>
      <c r="Q65" s="219">
        <f t="shared" si="46"/>
        <v>8.4078520183516563</v>
      </c>
      <c r="R65" s="207">
        <f t="shared" si="35"/>
        <v>2679.5425928282953</v>
      </c>
      <c r="S65" s="1018">
        <f t="shared" si="36"/>
        <v>2200.3241683631454</v>
      </c>
      <c r="T65" s="1031">
        <v>1</v>
      </c>
      <c r="U65" s="211" t="s">
        <v>50</v>
      </c>
      <c r="V65" s="211">
        <v>6.3</v>
      </c>
      <c r="W65" s="211">
        <v>11</v>
      </c>
      <c r="X65" s="211">
        <v>35</v>
      </c>
      <c r="Y65" s="211">
        <v>6.3</v>
      </c>
      <c r="Z65" s="219">
        <v>7.73</v>
      </c>
      <c r="AA65" s="211" t="s">
        <v>63</v>
      </c>
      <c r="AB65" s="212">
        <v>10</v>
      </c>
      <c r="AC65" s="307">
        <f t="shared" si="47"/>
        <v>15.030555555555557</v>
      </c>
      <c r="AD65" s="217">
        <f t="shared" si="40"/>
        <v>22.875533251441563</v>
      </c>
      <c r="AE65" s="307">
        <f t="shared" si="41"/>
        <v>23.311183970218334</v>
      </c>
      <c r="AF65" s="157">
        <f t="shared" si="28"/>
        <v>0.74116727734670662</v>
      </c>
      <c r="AG65" s="158">
        <f t="shared" si="29"/>
        <v>0.75528236063507392</v>
      </c>
      <c r="AH65" s="261">
        <f t="shared" si="42"/>
        <v>934.94140669470255</v>
      </c>
      <c r="AI65" s="220">
        <f t="shared" si="43"/>
        <v>793.61048429093273</v>
      </c>
      <c r="AJ65" s="220">
        <f t="shared" si="48"/>
        <v>661.34207024244392</v>
      </c>
      <c r="AK65" s="220">
        <f t="shared" si="49"/>
        <v>529.07365619395512</v>
      </c>
      <c r="AL65" s="220">
        <f t="shared" si="37"/>
        <v>4913.355740888077</v>
      </c>
      <c r="AM65" s="262">
        <f t="shared" si="38"/>
        <v>4170.6256681955929</v>
      </c>
    </row>
    <row r="66" spans="1:39" ht="12.75" customHeight="1" x14ac:dyDescent="0.2">
      <c r="A66" s="256">
        <v>4</v>
      </c>
      <c r="B66" s="2366"/>
      <c r="C66" s="2372"/>
      <c r="D66" s="675">
        <v>1.4</v>
      </c>
      <c r="E66" s="209" t="s">
        <v>35</v>
      </c>
      <c r="F66" s="210" t="s">
        <v>65</v>
      </c>
      <c r="G66" s="211">
        <v>4.3529999999999998</v>
      </c>
      <c r="H66" s="212">
        <v>4.79</v>
      </c>
      <c r="I66" s="213">
        <v>1</v>
      </c>
      <c r="J66" s="214">
        <v>0.5</v>
      </c>
      <c r="K66" s="215">
        <v>7.05</v>
      </c>
      <c r="L66" s="215"/>
      <c r="M66" s="216"/>
      <c r="N66" s="305">
        <f t="shared" si="44"/>
        <v>1.81325</v>
      </c>
      <c r="O66" s="211">
        <f t="shared" si="45"/>
        <v>3.4200000000000004</v>
      </c>
      <c r="P66" s="218">
        <f t="shared" si="67"/>
        <v>7.9816918358515947</v>
      </c>
      <c r="Q66" s="219">
        <f t="shared" si="46"/>
        <v>8.4078520183516563</v>
      </c>
      <c r="R66" s="207">
        <f t="shared" si="35"/>
        <v>2679.5425928282953</v>
      </c>
      <c r="S66" s="1018">
        <f t="shared" si="36"/>
        <v>2200.3241683631454</v>
      </c>
      <c r="T66" s="1031">
        <v>2</v>
      </c>
      <c r="U66" s="211" t="s">
        <v>50</v>
      </c>
      <c r="V66" s="211">
        <v>6.3</v>
      </c>
      <c r="W66" s="211">
        <v>11</v>
      </c>
      <c r="X66" s="211">
        <v>35</v>
      </c>
      <c r="Y66" s="211">
        <v>6.3</v>
      </c>
      <c r="Z66" s="219">
        <v>7.7</v>
      </c>
      <c r="AA66" s="211" t="s">
        <v>77</v>
      </c>
      <c r="AB66" s="212">
        <v>10</v>
      </c>
      <c r="AC66" s="307">
        <f t="shared" si="47"/>
        <v>14.972222222222221</v>
      </c>
      <c r="AD66" s="217">
        <f t="shared" si="40"/>
        <v>22.817383932010515</v>
      </c>
      <c r="AE66" s="307">
        <f t="shared" si="41"/>
        <v>23.253027818393754</v>
      </c>
      <c r="AF66" s="157">
        <f t="shared" si="28"/>
        <v>0.73928323939714058</v>
      </c>
      <c r="AG66" s="158">
        <f t="shared" si="29"/>
        <v>0.75339810131595764</v>
      </c>
      <c r="AH66" s="261">
        <f t="shared" si="42"/>
        <v>937.32407276497611</v>
      </c>
      <c r="AI66" s="220">
        <f t="shared" si="43"/>
        <v>795.595315349256</v>
      </c>
      <c r="AJ66" s="220">
        <f t="shared" si="48"/>
        <v>662.99609612438007</v>
      </c>
      <c r="AK66" s="220">
        <f t="shared" si="49"/>
        <v>530.39687689950404</v>
      </c>
      <c r="AL66" s="220">
        <f t="shared" si="37"/>
        <v>4925.8772592754003</v>
      </c>
      <c r="AM66" s="262">
        <f t="shared" si="38"/>
        <v>4181.0564620456398</v>
      </c>
    </row>
    <row r="67" spans="1:39" ht="12.75" customHeight="1" x14ac:dyDescent="0.2">
      <c r="A67" s="256">
        <v>4</v>
      </c>
      <c r="B67" s="2369" t="s">
        <v>164</v>
      </c>
      <c r="C67" s="2371" t="s">
        <v>43</v>
      </c>
      <c r="D67" s="675">
        <v>2.5</v>
      </c>
      <c r="E67" s="209" t="s">
        <v>35</v>
      </c>
      <c r="F67" s="210" t="s">
        <v>49</v>
      </c>
      <c r="G67" s="211">
        <v>4.13</v>
      </c>
      <c r="H67" s="212">
        <v>6.96</v>
      </c>
      <c r="I67" s="213">
        <v>0.1</v>
      </c>
      <c r="J67" s="214">
        <v>4.0999999999999996</v>
      </c>
      <c r="K67" s="215">
        <v>1.1000000000000001</v>
      </c>
      <c r="L67" s="215"/>
      <c r="M67" s="216"/>
      <c r="N67" s="305">
        <f t="shared" si="44"/>
        <v>1.2667999999999999</v>
      </c>
      <c r="O67" s="211">
        <f t="shared" si="45"/>
        <v>2.1199999999999997</v>
      </c>
      <c r="P67" s="218">
        <f t="shared" si="67"/>
        <v>6.3770904211873924</v>
      </c>
      <c r="Q67" s="219">
        <f t="shared" si="46"/>
        <v>9.1679431848152291</v>
      </c>
      <c r="R67" s="207">
        <f t="shared" si="35"/>
        <v>3353.7682272681309</v>
      </c>
      <c r="S67" s="1018">
        <f t="shared" si="36"/>
        <v>2017.9008123262981</v>
      </c>
      <c r="T67" s="1031">
        <v>1</v>
      </c>
      <c r="U67" s="211" t="s">
        <v>99</v>
      </c>
      <c r="V67" s="211">
        <v>4</v>
      </c>
      <c r="W67" s="211">
        <v>11</v>
      </c>
      <c r="X67" s="211">
        <v>35</v>
      </c>
      <c r="Y67" s="211">
        <v>6.3</v>
      </c>
      <c r="Z67" s="219">
        <v>6.25</v>
      </c>
      <c r="AA67" s="211"/>
      <c r="AB67" s="212">
        <v>5</v>
      </c>
      <c r="AC67" s="307">
        <f t="shared" si="47"/>
        <v>19.140625</v>
      </c>
      <c r="AD67" s="217">
        <f t="shared" ref="AD67:AD76" si="68">SQRT(POWER(N67,2)+POWER(O67+AC67+G67,2))</f>
        <v>25.422207223815658</v>
      </c>
      <c r="AE67" s="307">
        <f t="shared" ref="AE67:AE76" si="69">SQRT(POWER(N67,2)+POWER(O67+AC67+H67,2))</f>
        <v>28.249043481693768</v>
      </c>
      <c r="AF67" s="157">
        <f t="shared" si="28"/>
        <v>0.82367951405162732</v>
      </c>
      <c r="AG67" s="158">
        <f t="shared" si="29"/>
        <v>0.91526900880687789</v>
      </c>
      <c r="AH67" s="261">
        <f t="shared" ref="AH67:AH76" si="70">37000/1.73/SQRT(POWER((G67+O67+AC67),2)+N67*N67)</f>
        <v>841.28349079612963</v>
      </c>
      <c r="AI67" s="220">
        <f t="shared" ref="AI67:AI76" si="71">37000/2/SQRT(POWER((H67+O67+AC67),2)+N67*N67)</f>
        <v>654.88943057447455</v>
      </c>
      <c r="AJ67" s="220">
        <f t="shared" si="48"/>
        <v>545.74119214539553</v>
      </c>
      <c r="AK67" s="220">
        <f t="shared" si="49"/>
        <v>436.59295371631634</v>
      </c>
      <c r="AL67" s="220">
        <f t="shared" si="37"/>
        <v>4421.1594861658459</v>
      </c>
      <c r="AM67" s="262">
        <f t="shared" si="38"/>
        <v>3441.6111216376289</v>
      </c>
    </row>
    <row r="68" spans="1:39" ht="12.75" customHeight="1" x14ac:dyDescent="0.2">
      <c r="A68" s="256">
        <v>4</v>
      </c>
      <c r="B68" s="2365"/>
      <c r="C68" s="2372"/>
      <c r="D68" s="646">
        <v>2.5</v>
      </c>
      <c r="E68" s="222" t="s">
        <v>35</v>
      </c>
      <c r="F68" s="653" t="s">
        <v>49</v>
      </c>
      <c r="G68" s="223">
        <v>4.13</v>
      </c>
      <c r="H68" s="224">
        <v>6.96</v>
      </c>
      <c r="I68" s="225">
        <v>0.1</v>
      </c>
      <c r="J68" s="226">
        <v>4.0999999999999996</v>
      </c>
      <c r="K68" s="926">
        <v>1.1000000000000001</v>
      </c>
      <c r="L68" s="926"/>
      <c r="M68" s="927"/>
      <c r="N68" s="331">
        <f t="shared" si="44"/>
        <v>1.2667999999999999</v>
      </c>
      <c r="O68" s="223">
        <f t="shared" si="45"/>
        <v>2.1199999999999997</v>
      </c>
      <c r="P68" s="227">
        <f t="shared" si="67"/>
        <v>6.3770904211873924</v>
      </c>
      <c r="Q68" s="228">
        <f t="shared" si="46"/>
        <v>9.1679431848152291</v>
      </c>
      <c r="R68" s="332">
        <f t="shared" si="35"/>
        <v>3353.7682272681309</v>
      </c>
      <c r="S68" s="1038">
        <f t="shared" si="36"/>
        <v>2017.9008123262981</v>
      </c>
      <c r="T68" s="1042">
        <v>2</v>
      </c>
      <c r="U68" s="223" t="s">
        <v>99</v>
      </c>
      <c r="V68" s="223">
        <v>4</v>
      </c>
      <c r="W68" s="223">
        <v>11</v>
      </c>
      <c r="X68" s="223">
        <v>35</v>
      </c>
      <c r="Y68" s="223">
        <v>6.3</v>
      </c>
      <c r="Z68" s="228">
        <v>6.25</v>
      </c>
      <c r="AA68" s="223"/>
      <c r="AB68" s="224">
        <v>5</v>
      </c>
      <c r="AC68" s="333">
        <f t="shared" si="47"/>
        <v>19.140625</v>
      </c>
      <c r="AD68" s="946">
        <f t="shared" si="68"/>
        <v>25.422207223815658</v>
      </c>
      <c r="AE68" s="333">
        <f t="shared" si="69"/>
        <v>28.249043481693768</v>
      </c>
      <c r="AF68" s="181">
        <f t="shared" si="28"/>
        <v>0.82367951405162732</v>
      </c>
      <c r="AG68" s="182">
        <f t="shared" si="29"/>
        <v>0.91526900880687789</v>
      </c>
      <c r="AH68" s="263">
        <f t="shared" si="70"/>
        <v>841.28349079612963</v>
      </c>
      <c r="AI68" s="229">
        <f t="shared" si="71"/>
        <v>654.88943057447455</v>
      </c>
      <c r="AJ68" s="229">
        <f t="shared" si="48"/>
        <v>545.74119214539553</v>
      </c>
      <c r="AK68" s="229">
        <f t="shared" si="49"/>
        <v>436.59295371631634</v>
      </c>
      <c r="AL68" s="229">
        <f t="shared" si="37"/>
        <v>4421.1594861658459</v>
      </c>
      <c r="AM68" s="264">
        <f t="shared" si="38"/>
        <v>3441.6111216376289</v>
      </c>
    </row>
    <row r="69" spans="1:39" ht="12.75" hidden="1" customHeight="1" x14ac:dyDescent="0.2">
      <c r="A69" s="418">
        <v>4</v>
      </c>
      <c r="B69" s="2383" t="s">
        <v>89</v>
      </c>
      <c r="C69" s="2492" t="s">
        <v>43</v>
      </c>
      <c r="D69" s="454">
        <v>2.2999999999999998</v>
      </c>
      <c r="E69" s="487" t="s">
        <v>35</v>
      </c>
      <c r="F69" s="420" t="s">
        <v>45</v>
      </c>
      <c r="G69" s="421">
        <v>6.5380000000000003</v>
      </c>
      <c r="H69" s="457">
        <v>7.4059999999999997</v>
      </c>
      <c r="I69" s="423">
        <v>0.6</v>
      </c>
      <c r="J69" s="424">
        <v>14.95</v>
      </c>
      <c r="K69" s="425">
        <v>10.4</v>
      </c>
      <c r="L69" s="425"/>
      <c r="M69" s="774"/>
      <c r="N69" s="533">
        <f t="shared" si="44"/>
        <v>5.9389500000000002</v>
      </c>
      <c r="O69" s="421">
        <f t="shared" si="45"/>
        <v>10.38</v>
      </c>
      <c r="P69" s="458">
        <f t="shared" si="67"/>
        <v>17.930138067022796</v>
      </c>
      <c r="Q69" s="431">
        <f t="shared" si="46"/>
        <v>18.751344567856997</v>
      </c>
      <c r="R69" s="448">
        <f t="shared" si="35"/>
        <v>1192.8119659228851</v>
      </c>
      <c r="S69" s="1039">
        <f t="shared" si="36"/>
        <v>986.59591759153932</v>
      </c>
      <c r="T69" s="1033">
        <v>1</v>
      </c>
      <c r="U69" s="421" t="s">
        <v>85</v>
      </c>
      <c r="V69" s="421">
        <v>4</v>
      </c>
      <c r="W69" s="421">
        <v>11</v>
      </c>
      <c r="X69" s="421">
        <v>35</v>
      </c>
      <c r="Y69" s="421">
        <v>6.3</v>
      </c>
      <c r="Z69" s="431">
        <v>6.35</v>
      </c>
      <c r="AA69" s="421"/>
      <c r="AB69" s="422">
        <v>5</v>
      </c>
      <c r="AC69" s="525">
        <f t="shared" si="47"/>
        <v>19.446875000000002</v>
      </c>
      <c r="AD69" s="902">
        <f t="shared" si="68"/>
        <v>36.846645177928004</v>
      </c>
      <c r="AE69" s="525">
        <f t="shared" si="69"/>
        <v>37.703555639596182</v>
      </c>
      <c r="AF69" s="139">
        <f t="shared" si="28"/>
        <v>1.1938313037648673</v>
      </c>
      <c r="AG69" s="140">
        <f t="shared" si="29"/>
        <v>1.2215952027229164</v>
      </c>
      <c r="AH69" s="447">
        <f t="shared" si="70"/>
        <v>580.44044807112311</v>
      </c>
      <c r="AI69" s="448">
        <f t="shared" si="71"/>
        <v>490.66990330671473</v>
      </c>
      <c r="AJ69" s="448">
        <f t="shared" si="48"/>
        <v>408.89158608892893</v>
      </c>
      <c r="AK69" s="448">
        <f t="shared" si="49"/>
        <v>327.11326887114313</v>
      </c>
      <c r="AL69" s="448">
        <f t="shared" si="37"/>
        <v>3050.3627150884849</v>
      </c>
      <c r="AM69" s="449">
        <f t="shared" si="38"/>
        <v>2578.5955879482008</v>
      </c>
    </row>
    <row r="70" spans="1:39" ht="12.75" hidden="1" customHeight="1" x14ac:dyDescent="0.2">
      <c r="A70" s="412">
        <v>4</v>
      </c>
      <c r="B70" s="2480"/>
      <c r="C70" s="2495"/>
      <c r="D70" s="460">
        <v>2.2999999999999998</v>
      </c>
      <c r="E70" s="488" t="s">
        <v>35</v>
      </c>
      <c r="F70" s="413" t="s">
        <v>45</v>
      </c>
      <c r="G70" s="416">
        <v>6.5380000000000003</v>
      </c>
      <c r="H70" s="465">
        <v>7.4059999999999997</v>
      </c>
      <c r="I70" s="485">
        <v>0.6</v>
      </c>
      <c r="J70" s="464">
        <v>14.95</v>
      </c>
      <c r="K70" s="781">
        <v>10.4</v>
      </c>
      <c r="L70" s="781"/>
      <c r="M70" s="928"/>
      <c r="N70" s="470">
        <f t="shared" si="44"/>
        <v>5.9389500000000002</v>
      </c>
      <c r="O70" s="416">
        <f t="shared" si="45"/>
        <v>10.38</v>
      </c>
      <c r="P70" s="414">
        <f t="shared" si="67"/>
        <v>17.930138067022796</v>
      </c>
      <c r="Q70" s="417">
        <f t="shared" si="46"/>
        <v>18.751344567856997</v>
      </c>
      <c r="R70" s="446">
        <f t="shared" si="35"/>
        <v>1192.8119659228851</v>
      </c>
      <c r="S70" s="1040">
        <f t="shared" si="36"/>
        <v>986.59591759153932</v>
      </c>
      <c r="T70" s="1043">
        <v>2</v>
      </c>
      <c r="U70" s="416" t="s">
        <v>85</v>
      </c>
      <c r="V70" s="416">
        <v>4</v>
      </c>
      <c r="W70" s="416">
        <v>11</v>
      </c>
      <c r="X70" s="416">
        <v>35</v>
      </c>
      <c r="Y70" s="416">
        <v>6.3</v>
      </c>
      <c r="Z70" s="417">
        <v>6.35</v>
      </c>
      <c r="AA70" s="416"/>
      <c r="AB70" s="462">
        <v>5</v>
      </c>
      <c r="AC70" s="526">
        <f t="shared" si="47"/>
        <v>19.446875000000002</v>
      </c>
      <c r="AD70" s="897">
        <f t="shared" si="68"/>
        <v>36.846645177928004</v>
      </c>
      <c r="AE70" s="526">
        <f t="shared" si="69"/>
        <v>37.703555639596182</v>
      </c>
      <c r="AF70" s="157">
        <f t="shared" si="28"/>
        <v>1.1938313037648673</v>
      </c>
      <c r="AG70" s="158">
        <f t="shared" si="29"/>
        <v>1.2215952027229164</v>
      </c>
      <c r="AH70" s="479">
        <f t="shared" si="70"/>
        <v>580.44044807112311</v>
      </c>
      <c r="AI70" s="415">
        <f t="shared" si="71"/>
        <v>490.66990330671473</v>
      </c>
      <c r="AJ70" s="415">
        <f t="shared" si="48"/>
        <v>408.89158608892893</v>
      </c>
      <c r="AK70" s="415">
        <f t="shared" si="49"/>
        <v>327.11326887114313</v>
      </c>
      <c r="AL70" s="415">
        <f t="shared" si="37"/>
        <v>3050.3627150884849</v>
      </c>
      <c r="AM70" s="481">
        <f t="shared" si="38"/>
        <v>2578.5955879482008</v>
      </c>
    </row>
    <row r="71" spans="1:39" ht="12.75" hidden="1" customHeight="1" x14ac:dyDescent="0.2">
      <c r="A71" s="412">
        <v>4</v>
      </c>
      <c r="B71" s="2481" t="s">
        <v>90</v>
      </c>
      <c r="C71" s="2494" t="s">
        <v>43</v>
      </c>
      <c r="D71" s="460">
        <v>2.2999999999999998</v>
      </c>
      <c r="E71" s="488" t="s">
        <v>35</v>
      </c>
      <c r="F71" s="413" t="s">
        <v>45</v>
      </c>
      <c r="G71" s="416">
        <v>6.5380000000000003</v>
      </c>
      <c r="H71" s="465">
        <v>7.4059999999999997</v>
      </c>
      <c r="I71" s="485">
        <v>1</v>
      </c>
      <c r="J71" s="464">
        <v>14.95</v>
      </c>
      <c r="K71" s="781">
        <v>9.1</v>
      </c>
      <c r="L71" s="781"/>
      <c r="M71" s="928"/>
      <c r="N71" s="470">
        <f t="shared" si="44"/>
        <v>5.8110499999999998</v>
      </c>
      <c r="O71" s="416">
        <f t="shared" si="45"/>
        <v>10.02</v>
      </c>
      <c r="P71" s="414">
        <f t="shared" si="67"/>
        <v>17.548095797051598</v>
      </c>
      <c r="Q71" s="417">
        <f t="shared" si="46"/>
        <v>18.369370650691874</v>
      </c>
      <c r="R71" s="446">
        <f t="shared" si="35"/>
        <v>1218.7808571564599</v>
      </c>
      <c r="S71" s="1040">
        <f t="shared" si="36"/>
        <v>1007.1112588336392</v>
      </c>
      <c r="T71" s="1043">
        <v>1</v>
      </c>
      <c r="U71" s="416" t="s">
        <v>85</v>
      </c>
      <c r="V71" s="416">
        <v>4</v>
      </c>
      <c r="W71" s="416">
        <v>11</v>
      </c>
      <c r="X71" s="416">
        <v>35</v>
      </c>
      <c r="Y71" s="416">
        <v>6.3</v>
      </c>
      <c r="Z71" s="417">
        <v>6.18</v>
      </c>
      <c r="AA71" s="416"/>
      <c r="AB71" s="462">
        <v>5</v>
      </c>
      <c r="AC71" s="526">
        <f t="shared" si="47"/>
        <v>18.92625</v>
      </c>
      <c r="AD71" s="897">
        <f t="shared" si="68"/>
        <v>35.956922840601926</v>
      </c>
      <c r="AE71" s="526">
        <f t="shared" si="69"/>
        <v>36.813779786446815</v>
      </c>
      <c r="AF71" s="157">
        <f t="shared" si="28"/>
        <v>1.1650043000355024</v>
      </c>
      <c r="AG71" s="158">
        <f t="shared" si="29"/>
        <v>1.1927664650808767</v>
      </c>
      <c r="AH71" s="479">
        <f t="shared" si="70"/>
        <v>594.8029349398073</v>
      </c>
      <c r="AI71" s="415">
        <f t="shared" si="71"/>
        <v>502.52921887718986</v>
      </c>
      <c r="AJ71" s="415">
        <f t="shared" si="48"/>
        <v>418.77434906432489</v>
      </c>
      <c r="AK71" s="415">
        <f t="shared" si="49"/>
        <v>335.01947925145993</v>
      </c>
      <c r="AL71" s="415">
        <f t="shared" si="37"/>
        <v>3125.8412496836718</v>
      </c>
      <c r="AM71" s="481">
        <f t="shared" si="38"/>
        <v>2640.9193184236706</v>
      </c>
    </row>
    <row r="72" spans="1:39" ht="12.75" hidden="1" customHeight="1" x14ac:dyDescent="0.2">
      <c r="A72" s="412">
        <v>4</v>
      </c>
      <c r="B72" s="2480"/>
      <c r="C72" s="2495"/>
      <c r="D72" s="460">
        <v>2.2999999999999998</v>
      </c>
      <c r="E72" s="488" t="s">
        <v>35</v>
      </c>
      <c r="F72" s="413" t="s">
        <v>45</v>
      </c>
      <c r="G72" s="416">
        <v>6.5380000000000003</v>
      </c>
      <c r="H72" s="465">
        <v>7.4059999999999997</v>
      </c>
      <c r="I72" s="485">
        <v>1</v>
      </c>
      <c r="J72" s="464">
        <v>14.95</v>
      </c>
      <c r="K72" s="781">
        <v>9.1</v>
      </c>
      <c r="L72" s="781"/>
      <c r="M72" s="928"/>
      <c r="N72" s="470">
        <f t="shared" si="44"/>
        <v>5.8110499999999998</v>
      </c>
      <c r="O72" s="416">
        <f t="shared" si="45"/>
        <v>10.02</v>
      </c>
      <c r="P72" s="414">
        <f t="shared" si="67"/>
        <v>17.548095797051598</v>
      </c>
      <c r="Q72" s="417">
        <f t="shared" si="46"/>
        <v>18.369370650691874</v>
      </c>
      <c r="R72" s="446">
        <f t="shared" si="35"/>
        <v>1218.7808571564599</v>
      </c>
      <c r="S72" s="1040">
        <f t="shared" si="36"/>
        <v>1007.1112588336392</v>
      </c>
      <c r="T72" s="1043">
        <v>2</v>
      </c>
      <c r="U72" s="416" t="s">
        <v>85</v>
      </c>
      <c r="V72" s="416">
        <v>4</v>
      </c>
      <c r="W72" s="416">
        <v>11</v>
      </c>
      <c r="X72" s="416">
        <v>35</v>
      </c>
      <c r="Y72" s="416">
        <v>6.3</v>
      </c>
      <c r="Z72" s="417">
        <v>6.15</v>
      </c>
      <c r="AA72" s="416"/>
      <c r="AB72" s="462">
        <v>5</v>
      </c>
      <c r="AC72" s="526">
        <f t="shared" si="47"/>
        <v>18.834375000000001</v>
      </c>
      <c r="AD72" s="897">
        <f t="shared" si="68"/>
        <v>35.86625865968076</v>
      </c>
      <c r="AE72" s="526">
        <f t="shared" si="69"/>
        <v>36.723059475527435</v>
      </c>
      <c r="AF72" s="157">
        <f t="shared" si="28"/>
        <v>1.1620667805736566</v>
      </c>
      <c r="AG72" s="158">
        <f t="shared" si="29"/>
        <v>1.1898271270070886</v>
      </c>
      <c r="AH72" s="479">
        <f t="shared" si="70"/>
        <v>596.30650188325455</v>
      </c>
      <c r="AI72" s="415">
        <f t="shared" si="71"/>
        <v>503.77066247240549</v>
      </c>
      <c r="AJ72" s="415">
        <f t="shared" si="48"/>
        <v>419.80888539367123</v>
      </c>
      <c r="AK72" s="415">
        <f t="shared" si="49"/>
        <v>335.84710831493697</v>
      </c>
      <c r="AL72" s="415">
        <f t="shared" si="37"/>
        <v>3133.7428777648515</v>
      </c>
      <c r="AM72" s="481">
        <f t="shared" si="38"/>
        <v>2647.4434214015305</v>
      </c>
    </row>
    <row r="73" spans="1:39" ht="12.75" hidden="1" customHeight="1" x14ac:dyDescent="0.2">
      <c r="A73" s="412">
        <v>4</v>
      </c>
      <c r="B73" s="2481" t="s">
        <v>71</v>
      </c>
      <c r="C73" s="2502" t="s">
        <v>342</v>
      </c>
      <c r="D73" s="460">
        <v>2.2999999999999998</v>
      </c>
      <c r="E73" s="488" t="s">
        <v>35</v>
      </c>
      <c r="F73" s="413" t="s">
        <v>45</v>
      </c>
      <c r="G73" s="416">
        <v>6.5380000000000003</v>
      </c>
      <c r="H73" s="465">
        <v>7.4059999999999997</v>
      </c>
      <c r="I73" s="485"/>
      <c r="J73" s="464">
        <v>14.75</v>
      </c>
      <c r="K73" s="781">
        <v>5.5</v>
      </c>
      <c r="L73" s="781"/>
      <c r="M73" s="928"/>
      <c r="N73" s="470">
        <f t="shared" si="44"/>
        <v>4.7452500000000004</v>
      </c>
      <c r="O73" s="416">
        <f t="shared" si="45"/>
        <v>8.1</v>
      </c>
      <c r="P73" s="414">
        <f t="shared" si="67"/>
        <v>15.387931685658732</v>
      </c>
      <c r="Q73" s="417">
        <f t="shared" si="46"/>
        <v>16.215838971897199</v>
      </c>
      <c r="R73" s="446">
        <f t="shared" si="35"/>
        <v>1389.8738098068613</v>
      </c>
      <c r="S73" s="1040">
        <f t="shared" si="36"/>
        <v>1140.8598736125439</v>
      </c>
      <c r="T73" s="1043">
        <v>1</v>
      </c>
      <c r="U73" s="416" t="s">
        <v>50</v>
      </c>
      <c r="V73" s="416">
        <v>6.3</v>
      </c>
      <c r="W73" s="416">
        <v>11</v>
      </c>
      <c r="X73" s="416">
        <v>35</v>
      </c>
      <c r="Y73" s="416">
        <v>6.3</v>
      </c>
      <c r="Z73" s="417">
        <v>7.83</v>
      </c>
      <c r="AA73" s="416" t="s">
        <v>51</v>
      </c>
      <c r="AB73" s="462">
        <v>10</v>
      </c>
      <c r="AC73" s="526">
        <f t="shared" si="47"/>
        <v>15.225000000000001</v>
      </c>
      <c r="AD73" s="897">
        <f t="shared" si="68"/>
        <v>30.237661393740428</v>
      </c>
      <c r="AE73" s="526">
        <f t="shared" si="69"/>
        <v>31.095204751898645</v>
      </c>
      <c r="AF73" s="157">
        <f t="shared" si="28"/>
        <v>0.97970022915718979</v>
      </c>
      <c r="AG73" s="158">
        <f t="shared" si="29"/>
        <v>1.007484633961516</v>
      </c>
      <c r="AH73" s="479">
        <f t="shared" si="70"/>
        <v>707.30612921744193</v>
      </c>
      <c r="AI73" s="415">
        <f t="shared" si="71"/>
        <v>594.94703918521088</v>
      </c>
      <c r="AJ73" s="415">
        <f t="shared" si="48"/>
        <v>495.78919932100911</v>
      </c>
      <c r="AK73" s="415">
        <f t="shared" si="49"/>
        <v>396.63135945680727</v>
      </c>
      <c r="AL73" s="415">
        <f t="shared" si="37"/>
        <v>3717.0742526442145</v>
      </c>
      <c r="AM73" s="481">
        <f t="shared" si="38"/>
        <v>3126.5985542766343</v>
      </c>
    </row>
    <row r="74" spans="1:39" ht="12.75" hidden="1" customHeight="1" x14ac:dyDescent="0.2">
      <c r="A74" s="412">
        <v>4</v>
      </c>
      <c r="B74" s="2480"/>
      <c r="C74" s="2503"/>
      <c r="D74" s="460">
        <v>2.2999999999999998</v>
      </c>
      <c r="E74" s="488" t="s">
        <v>35</v>
      </c>
      <c r="F74" s="413" t="s">
        <v>45</v>
      </c>
      <c r="G74" s="416">
        <v>6.5380000000000003</v>
      </c>
      <c r="H74" s="465">
        <v>7.4059999999999997</v>
      </c>
      <c r="I74" s="485"/>
      <c r="J74" s="464">
        <v>14.75</v>
      </c>
      <c r="K74" s="781">
        <v>5.5</v>
      </c>
      <c r="L74" s="781"/>
      <c r="M74" s="928"/>
      <c r="N74" s="470">
        <f t="shared" si="44"/>
        <v>4.7452500000000004</v>
      </c>
      <c r="O74" s="416">
        <f t="shared" si="45"/>
        <v>8.1</v>
      </c>
      <c r="P74" s="414">
        <f t="shared" si="67"/>
        <v>15.387931685658732</v>
      </c>
      <c r="Q74" s="417">
        <f t="shared" si="46"/>
        <v>16.215838971897199</v>
      </c>
      <c r="R74" s="446">
        <f t="shared" si="35"/>
        <v>1389.8738098068613</v>
      </c>
      <c r="S74" s="1040">
        <f t="shared" si="36"/>
        <v>1140.8598736125439</v>
      </c>
      <c r="T74" s="1043">
        <v>2</v>
      </c>
      <c r="U74" s="416" t="s">
        <v>50</v>
      </c>
      <c r="V74" s="416">
        <v>6.3</v>
      </c>
      <c r="W74" s="416">
        <v>11</v>
      </c>
      <c r="X74" s="416">
        <v>35</v>
      </c>
      <c r="Y74" s="416">
        <v>6.3</v>
      </c>
      <c r="Z74" s="417">
        <v>7.89</v>
      </c>
      <c r="AA74" s="416" t="s">
        <v>51</v>
      </c>
      <c r="AB74" s="462">
        <v>10</v>
      </c>
      <c r="AC74" s="526">
        <f t="shared" si="47"/>
        <v>15.341666666666665</v>
      </c>
      <c r="AD74" s="897">
        <f t="shared" si="68"/>
        <v>30.352888017566702</v>
      </c>
      <c r="AE74" s="526">
        <f t="shared" si="69"/>
        <v>31.210510030120904</v>
      </c>
      <c r="AF74" s="157">
        <f t="shared" si="28"/>
        <v>0.98343357176916113</v>
      </c>
      <c r="AG74" s="158">
        <f t="shared" si="29"/>
        <v>1.0112205249759174</v>
      </c>
      <c r="AH74" s="479">
        <f t="shared" si="70"/>
        <v>704.6210306121892</v>
      </c>
      <c r="AI74" s="415">
        <f t="shared" si="71"/>
        <v>592.74904454127341</v>
      </c>
      <c r="AJ74" s="415">
        <f t="shared" si="48"/>
        <v>493.95753711772784</v>
      </c>
      <c r="AK74" s="415">
        <f t="shared" si="49"/>
        <v>395.16602969418227</v>
      </c>
      <c r="AL74" s="415">
        <f t="shared" si="37"/>
        <v>3702.9633740880818</v>
      </c>
      <c r="AM74" s="481">
        <f t="shared" si="38"/>
        <v>3115.0475313730585</v>
      </c>
    </row>
    <row r="75" spans="1:39" ht="12.75" hidden="1" customHeight="1" x14ac:dyDescent="0.2">
      <c r="A75" s="412">
        <v>4</v>
      </c>
      <c r="B75" s="2481" t="s">
        <v>163</v>
      </c>
      <c r="C75" s="2494" t="s">
        <v>43</v>
      </c>
      <c r="D75" s="460">
        <v>2.2999999999999998</v>
      </c>
      <c r="E75" s="488" t="s">
        <v>35</v>
      </c>
      <c r="F75" s="413" t="s">
        <v>45</v>
      </c>
      <c r="G75" s="416">
        <v>6.5380000000000003</v>
      </c>
      <c r="H75" s="465">
        <v>7.4059999999999997</v>
      </c>
      <c r="I75" s="485">
        <v>1.1000000000000001</v>
      </c>
      <c r="J75" s="464">
        <v>14.95</v>
      </c>
      <c r="K75" s="781">
        <v>10.65</v>
      </c>
      <c r="L75" s="781"/>
      <c r="M75" s="928"/>
      <c r="N75" s="470">
        <f t="shared" si="44"/>
        <v>6.1447000000000003</v>
      </c>
      <c r="O75" s="416">
        <f t="shared" si="45"/>
        <v>10.680000000000001</v>
      </c>
      <c r="P75" s="414">
        <f t="shared" si="67"/>
        <v>18.281599002548987</v>
      </c>
      <c r="Q75" s="417">
        <f t="shared" si="46"/>
        <v>19.101328071367188</v>
      </c>
      <c r="R75" s="446">
        <f t="shared" si="35"/>
        <v>1169.8803389141294</v>
      </c>
      <c r="S75" s="1040">
        <f t="shared" si="36"/>
        <v>968.51904385284206</v>
      </c>
      <c r="T75" s="1043">
        <v>1</v>
      </c>
      <c r="U75" s="416" t="s">
        <v>99</v>
      </c>
      <c r="V75" s="416">
        <v>4</v>
      </c>
      <c r="W75" s="416">
        <v>11</v>
      </c>
      <c r="X75" s="416">
        <v>35</v>
      </c>
      <c r="Y75" s="416">
        <v>6.3</v>
      </c>
      <c r="Z75" s="417">
        <v>6.25</v>
      </c>
      <c r="AA75" s="416"/>
      <c r="AB75" s="462">
        <v>5</v>
      </c>
      <c r="AC75" s="526">
        <f t="shared" si="47"/>
        <v>19.140625</v>
      </c>
      <c r="AD75" s="897">
        <f t="shared" si="68"/>
        <v>36.874204397934136</v>
      </c>
      <c r="AE75" s="526">
        <f t="shared" si="69"/>
        <v>37.730345174416641</v>
      </c>
      <c r="AF75" s="157">
        <f t="shared" si="28"/>
        <v>1.1947242224930659</v>
      </c>
      <c r="AG75" s="158">
        <f t="shared" si="29"/>
        <v>1.2224631836510991</v>
      </c>
      <c r="AH75" s="479">
        <f t="shared" si="70"/>
        <v>580.00663570093013</v>
      </c>
      <c r="AI75" s="415">
        <f t="shared" si="71"/>
        <v>490.3215148040594</v>
      </c>
      <c r="AJ75" s="415">
        <f t="shared" si="48"/>
        <v>408.60126233671616</v>
      </c>
      <c r="AK75" s="415">
        <f t="shared" si="49"/>
        <v>326.88100986937292</v>
      </c>
      <c r="AL75" s="415">
        <f t="shared" si="37"/>
        <v>3048.0829203502335</v>
      </c>
      <c r="AM75" s="481">
        <f t="shared" si="38"/>
        <v>2576.7647174387507</v>
      </c>
    </row>
    <row r="76" spans="1:39" ht="12.75" hidden="1" customHeight="1" thickBot="1" x14ac:dyDescent="0.25">
      <c r="A76" s="432">
        <v>4</v>
      </c>
      <c r="B76" s="2384"/>
      <c r="C76" s="2496"/>
      <c r="D76" s="433">
        <v>2.2999999999999998</v>
      </c>
      <c r="E76" s="489" t="s">
        <v>35</v>
      </c>
      <c r="F76" s="435" t="s">
        <v>45</v>
      </c>
      <c r="G76" s="436">
        <v>6.5380000000000003</v>
      </c>
      <c r="H76" s="474">
        <v>7.4059999999999997</v>
      </c>
      <c r="I76" s="438">
        <v>1.1000000000000001</v>
      </c>
      <c r="J76" s="439">
        <v>14.95</v>
      </c>
      <c r="K76" s="440">
        <v>10.65</v>
      </c>
      <c r="L76" s="440"/>
      <c r="M76" s="819"/>
      <c r="N76" s="442">
        <f t="shared" si="44"/>
        <v>6.1447000000000003</v>
      </c>
      <c r="O76" s="436">
        <f t="shared" si="45"/>
        <v>10.680000000000001</v>
      </c>
      <c r="P76" s="443">
        <f t="shared" si="67"/>
        <v>18.281599002548987</v>
      </c>
      <c r="Q76" s="444">
        <f t="shared" si="46"/>
        <v>19.101328071367188</v>
      </c>
      <c r="R76" s="486">
        <f t="shared" si="35"/>
        <v>1169.8803389141294</v>
      </c>
      <c r="S76" s="1041">
        <f t="shared" si="36"/>
        <v>968.51904385284206</v>
      </c>
      <c r="T76" s="1034">
        <v>2</v>
      </c>
      <c r="U76" s="436" t="s">
        <v>99</v>
      </c>
      <c r="V76" s="436">
        <v>4</v>
      </c>
      <c r="W76" s="436">
        <v>11</v>
      </c>
      <c r="X76" s="436">
        <v>35</v>
      </c>
      <c r="Y76" s="436">
        <v>6.3</v>
      </c>
      <c r="Z76" s="444">
        <v>6.25</v>
      </c>
      <c r="AA76" s="436"/>
      <c r="AB76" s="437">
        <v>5</v>
      </c>
      <c r="AC76" s="527">
        <f t="shared" si="47"/>
        <v>19.140625</v>
      </c>
      <c r="AD76" s="1023">
        <f t="shared" si="68"/>
        <v>36.874204397934136</v>
      </c>
      <c r="AE76" s="527">
        <f t="shared" si="69"/>
        <v>37.730345174416641</v>
      </c>
      <c r="AF76" s="175">
        <f t="shared" si="28"/>
        <v>1.1947242224930659</v>
      </c>
      <c r="AG76" s="176">
        <f t="shared" si="29"/>
        <v>1.2224631836510991</v>
      </c>
      <c r="AH76" s="450">
        <f t="shared" si="70"/>
        <v>580.00663570093013</v>
      </c>
      <c r="AI76" s="445">
        <f t="shared" si="71"/>
        <v>490.3215148040594</v>
      </c>
      <c r="AJ76" s="445">
        <f t="shared" si="48"/>
        <v>408.60126233671616</v>
      </c>
      <c r="AK76" s="445">
        <f t="shared" si="49"/>
        <v>326.88100986937292</v>
      </c>
      <c r="AL76" s="445">
        <f t="shared" si="37"/>
        <v>3048.0829203502335</v>
      </c>
      <c r="AM76" s="451">
        <f t="shared" si="38"/>
        <v>2576.7647174387507</v>
      </c>
    </row>
    <row r="77" spans="1:39" x14ac:dyDescent="0.2">
      <c r="F77" s="187"/>
      <c r="N77" s="188"/>
    </row>
    <row r="78" spans="1:39" ht="15.75" x14ac:dyDescent="0.2">
      <c r="B78" s="192" t="s">
        <v>158</v>
      </c>
      <c r="E78" s="2378">
        <v>42647</v>
      </c>
      <c r="F78" s="2378"/>
      <c r="G78" s="188" t="s">
        <v>337</v>
      </c>
    </row>
    <row r="79" spans="1:39" ht="15.75" customHeight="1" x14ac:dyDescent="0.2">
      <c r="B79" s="185" t="s">
        <v>328</v>
      </c>
      <c r="E79" s="2380" t="s">
        <v>199</v>
      </c>
      <c r="F79" s="2380"/>
    </row>
    <row r="151" spans="1:1" x14ac:dyDescent="0.2">
      <c r="A151" s="195"/>
    </row>
    <row r="152" spans="1:1" x14ac:dyDescent="0.2">
      <c r="A152" s="195"/>
    </row>
    <row r="153" spans="1:1" x14ac:dyDescent="0.2">
      <c r="A153" s="195"/>
    </row>
    <row r="154" spans="1:1" x14ac:dyDescent="0.2">
      <c r="A154" s="195"/>
    </row>
  </sheetData>
  <mergeCells count="102">
    <mergeCell ref="E78:F78"/>
    <mergeCell ref="E79:F79"/>
    <mergeCell ref="A2:A4"/>
    <mergeCell ref="B2:B4"/>
    <mergeCell ref="D2:D4"/>
    <mergeCell ref="C2:C4"/>
    <mergeCell ref="E2:E4"/>
    <mergeCell ref="F2:F4"/>
    <mergeCell ref="B5:B6"/>
    <mergeCell ref="B7:B8"/>
    <mergeCell ref="A1:AG1"/>
    <mergeCell ref="N2:O3"/>
    <mergeCell ref="T2:T4"/>
    <mergeCell ref="U2:U4"/>
    <mergeCell ref="V2:V3"/>
    <mergeCell ref="W2:W4"/>
    <mergeCell ref="X2:X3"/>
    <mergeCell ref="Z2:Z3"/>
    <mergeCell ref="AA2:AA3"/>
    <mergeCell ref="AC2:AC3"/>
    <mergeCell ref="AL2:AM2"/>
    <mergeCell ref="AJ2:AJ3"/>
    <mergeCell ref="AK2:AK3"/>
    <mergeCell ref="AD2:AE2"/>
    <mergeCell ref="AF2:AG2"/>
    <mergeCell ref="AH2:AI2"/>
    <mergeCell ref="G2:H2"/>
    <mergeCell ref="I2:M2"/>
    <mergeCell ref="AB2:AB3"/>
    <mergeCell ref="Y2:Y3"/>
    <mergeCell ref="R2:S2"/>
    <mergeCell ref="P2:Q2"/>
    <mergeCell ref="B41:B42"/>
    <mergeCell ref="B43:B44"/>
    <mergeCell ref="B21:B22"/>
    <mergeCell ref="B23:B24"/>
    <mergeCell ref="B25:B26"/>
    <mergeCell ref="B27:B28"/>
    <mergeCell ref="B29:B30"/>
    <mergeCell ref="B31:B32"/>
    <mergeCell ref="B9:B10"/>
    <mergeCell ref="B11:B12"/>
    <mergeCell ref="B13:B14"/>
    <mergeCell ref="B15:B16"/>
    <mergeCell ref="B17:B18"/>
    <mergeCell ref="B19:B20"/>
    <mergeCell ref="B69:B70"/>
    <mergeCell ref="B71:B72"/>
    <mergeCell ref="B73:B74"/>
    <mergeCell ref="B75:B76"/>
    <mergeCell ref="C5:C6"/>
    <mergeCell ref="C7:C8"/>
    <mergeCell ref="C9:C10"/>
    <mergeCell ref="C11:C12"/>
    <mergeCell ref="C13:C14"/>
    <mergeCell ref="C15:C16"/>
    <mergeCell ref="B45:B46"/>
    <mergeCell ref="B59:B60"/>
    <mergeCell ref="B61:B62"/>
    <mergeCell ref="B63:B64"/>
    <mergeCell ref="B65:B66"/>
    <mergeCell ref="B67:B68"/>
    <mergeCell ref="B53:B54"/>
    <mergeCell ref="B55:B56"/>
    <mergeCell ref="B57:B58"/>
    <mergeCell ref="B47:B48"/>
    <mergeCell ref="B33:B34"/>
    <mergeCell ref="B35:B36"/>
    <mergeCell ref="B37:B38"/>
    <mergeCell ref="B39:B40"/>
    <mergeCell ref="C29:C30"/>
    <mergeCell ref="C31:C32"/>
    <mergeCell ref="C33:C34"/>
    <mergeCell ref="C35:C36"/>
    <mergeCell ref="C37:C38"/>
    <mergeCell ref="C39:C40"/>
    <mergeCell ref="C17:C18"/>
    <mergeCell ref="C19:C20"/>
    <mergeCell ref="C21:C22"/>
    <mergeCell ref="C23:C24"/>
    <mergeCell ref="C25:C26"/>
    <mergeCell ref="C27:C28"/>
    <mergeCell ref="C69:C70"/>
    <mergeCell ref="C71:C72"/>
    <mergeCell ref="C73:C74"/>
    <mergeCell ref="C75:C76"/>
    <mergeCell ref="C41:C42"/>
    <mergeCell ref="C43:C44"/>
    <mergeCell ref="C45:C46"/>
    <mergeCell ref="C59:C60"/>
    <mergeCell ref="C61:C62"/>
    <mergeCell ref="C63:C64"/>
    <mergeCell ref="C47:C48"/>
    <mergeCell ref="B49:B50"/>
    <mergeCell ref="C49:C50"/>
    <mergeCell ref="B51:B52"/>
    <mergeCell ref="C51:C52"/>
    <mergeCell ref="C65:C66"/>
    <mergeCell ref="C67:C68"/>
    <mergeCell ref="C53:C54"/>
    <mergeCell ref="C55:C56"/>
    <mergeCell ref="C57:C58"/>
  </mergeCells>
  <phoneticPr fontId="0" type="noConversion"/>
  <pageMargins left="0.43307086614173229" right="0.43307086614173229" top="0.39370078740157483" bottom="0.49" header="0.35433070866141736" footer="0.15748031496062992"/>
  <pageSetup paperSize="9" scale="76" orientation="landscape" r:id="rId1"/>
  <headerFooter>
    <oddFooter>&amp;L&amp;Z&amp;F</oddFooter>
  </headerFooter>
  <ignoredErrors>
    <ignoredError sqref="O59:O76 O5:O46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DD07-813B-4D48-AFB6-1B6CDCA01C22}">
  <sheetPr codeName="Лист7"/>
  <dimension ref="A1:AM87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H21" sqref="H21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00" customWidth="1"/>
    <col min="4" max="4" width="5.140625" style="186" customWidth="1"/>
    <col min="5" max="5" width="3.140625" style="186" customWidth="1"/>
    <col min="6" max="6" width="15.7109375" style="100" customWidth="1"/>
    <col min="7" max="8" width="7" style="100" customWidth="1"/>
    <col min="9" max="10" width="5.5703125" style="941" customWidth="1"/>
    <col min="11" max="13" width="5.5703125" style="942" customWidth="1"/>
    <col min="14" max="15" width="5.5703125" style="186" customWidth="1"/>
    <col min="16" max="17" width="6.7109375" style="100" customWidth="1"/>
    <col min="18" max="19" width="6.7109375" style="190" customWidth="1"/>
    <col min="20" max="20" width="3.5703125" style="186" customWidth="1"/>
    <col min="21" max="21" width="15.85546875" style="100" customWidth="1"/>
    <col min="22" max="22" width="5.7109375" style="100" customWidth="1"/>
    <col min="23" max="23" width="7.42578125" style="100" customWidth="1"/>
    <col min="24" max="26" width="5.85546875" style="100" customWidth="1"/>
    <col min="27" max="27" width="11.42578125" style="100" customWidth="1"/>
    <col min="28" max="28" width="6.140625" style="186" customWidth="1"/>
    <col min="29" max="29" width="6.140625" style="100" customWidth="1"/>
    <col min="30" max="33" width="6.7109375" style="100" customWidth="1"/>
    <col min="34" max="35" width="6.7109375" style="190" customWidth="1"/>
    <col min="36" max="36" width="6.7109375" style="191" customWidth="1"/>
    <col min="37" max="37" width="6.7109375" style="190" customWidth="1"/>
    <col min="38" max="39" width="6.7109375" style="100" customWidth="1"/>
    <col min="40" max="16384" width="9.140625" style="100"/>
  </cols>
  <sheetData>
    <row r="1" spans="1:39" ht="36.75" customHeight="1" thickBot="1" x14ac:dyDescent="0.25">
      <c r="A1" s="2302" t="s">
        <v>348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</row>
    <row r="2" spans="1:39" s="101" customFormat="1" ht="69.75" customHeight="1" x14ac:dyDescent="0.2">
      <c r="A2" s="2508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2"/>
      <c r="N2" s="2323" t="s">
        <v>8</v>
      </c>
      <c r="O2" s="2324"/>
      <c r="P2" s="2327" t="s">
        <v>385</v>
      </c>
      <c r="Q2" s="2327"/>
      <c r="R2" s="2328" t="s">
        <v>388</v>
      </c>
      <c r="S2" s="2329"/>
      <c r="T2" s="2330" t="s">
        <v>9</v>
      </c>
      <c r="U2" s="2333" t="s">
        <v>10</v>
      </c>
      <c r="V2" s="2341" t="s">
        <v>12</v>
      </c>
      <c r="W2" s="2338" t="s">
        <v>13</v>
      </c>
      <c r="X2" s="2341" t="s">
        <v>335</v>
      </c>
      <c r="Y2" s="2341" t="s">
        <v>336</v>
      </c>
      <c r="Z2" s="2460" t="s">
        <v>16</v>
      </c>
      <c r="AA2" s="2341" t="s">
        <v>17</v>
      </c>
      <c r="AB2" s="2341" t="s">
        <v>18</v>
      </c>
      <c r="AC2" s="2345" t="s">
        <v>19</v>
      </c>
      <c r="AD2" s="2321" t="s">
        <v>386</v>
      </c>
      <c r="AE2" s="2321"/>
      <c r="AF2" s="2347" t="s">
        <v>387</v>
      </c>
      <c r="AG2" s="2348"/>
      <c r="AH2" s="2511" t="s">
        <v>382</v>
      </c>
      <c r="AI2" s="2350"/>
      <c r="AJ2" s="2351" t="s">
        <v>20</v>
      </c>
      <c r="AK2" s="2351" t="s">
        <v>21</v>
      </c>
      <c r="AL2" s="2349" t="s">
        <v>383</v>
      </c>
      <c r="AM2" s="2353"/>
    </row>
    <row r="3" spans="1:39" s="101" customFormat="1" ht="36" customHeight="1" x14ac:dyDescent="0.2">
      <c r="A3" s="2509"/>
      <c r="B3" s="2307"/>
      <c r="C3" s="2310"/>
      <c r="D3" s="2307"/>
      <c r="E3" s="2313"/>
      <c r="F3" s="2316"/>
      <c r="G3" s="102" t="s">
        <v>220</v>
      </c>
      <c r="H3" s="103" t="s">
        <v>29</v>
      </c>
      <c r="I3" s="400" t="s">
        <v>24</v>
      </c>
      <c r="J3" s="401" t="s">
        <v>25</v>
      </c>
      <c r="K3" s="402" t="s">
        <v>26</v>
      </c>
      <c r="L3" s="402" t="s">
        <v>27</v>
      </c>
      <c r="M3" s="403" t="s">
        <v>28</v>
      </c>
      <c r="N3" s="2325"/>
      <c r="O3" s="2326"/>
      <c r="P3" s="104" t="s">
        <v>216</v>
      </c>
      <c r="Q3" s="104" t="s">
        <v>217</v>
      </c>
      <c r="R3" s="105" t="s">
        <v>218</v>
      </c>
      <c r="S3" s="110" t="s">
        <v>219</v>
      </c>
      <c r="T3" s="2331"/>
      <c r="U3" s="2334"/>
      <c r="V3" s="2342"/>
      <c r="W3" s="2339"/>
      <c r="X3" s="2342"/>
      <c r="Y3" s="2342"/>
      <c r="Z3" s="2461"/>
      <c r="AA3" s="2342"/>
      <c r="AB3" s="2342"/>
      <c r="AC3" s="2346"/>
      <c r="AD3" s="1021" t="s">
        <v>216</v>
      </c>
      <c r="AE3" s="106" t="s">
        <v>217</v>
      </c>
      <c r="AF3" s="107" t="s">
        <v>216</v>
      </c>
      <c r="AG3" s="108" t="s">
        <v>217</v>
      </c>
      <c r="AH3" s="109" t="s">
        <v>218</v>
      </c>
      <c r="AI3" s="110" t="s">
        <v>219</v>
      </c>
      <c r="AJ3" s="2352"/>
      <c r="AK3" s="2352"/>
      <c r="AL3" s="105" t="s">
        <v>218</v>
      </c>
      <c r="AM3" s="111" t="s">
        <v>219</v>
      </c>
    </row>
    <row r="4" spans="1:39" s="101" customFormat="1" ht="13.5" thickBot="1" x14ac:dyDescent="0.25">
      <c r="A4" s="2510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6" t="s">
        <v>31</v>
      </c>
      <c r="M4" s="117" t="s">
        <v>31</v>
      </c>
      <c r="N4" s="118" t="s">
        <v>30</v>
      </c>
      <c r="O4" s="116" t="s">
        <v>30</v>
      </c>
      <c r="P4" s="116" t="s">
        <v>30</v>
      </c>
      <c r="Q4" s="116" t="s">
        <v>30</v>
      </c>
      <c r="R4" s="119" t="s">
        <v>35</v>
      </c>
      <c r="S4" s="1017" t="s">
        <v>35</v>
      </c>
      <c r="T4" s="2332"/>
      <c r="U4" s="2335"/>
      <c r="V4" s="120" t="s">
        <v>32</v>
      </c>
      <c r="W4" s="2340"/>
      <c r="X4" s="120" t="s">
        <v>33</v>
      </c>
      <c r="Y4" s="120" t="s">
        <v>33</v>
      </c>
      <c r="Z4" s="121" t="s">
        <v>34</v>
      </c>
      <c r="AA4" s="120" t="s">
        <v>35</v>
      </c>
      <c r="AB4" s="120" t="s">
        <v>34</v>
      </c>
      <c r="AC4" s="1025" t="s">
        <v>30</v>
      </c>
      <c r="AD4" s="118" t="s">
        <v>30</v>
      </c>
      <c r="AE4" s="122" t="s">
        <v>30</v>
      </c>
      <c r="AF4" s="613" t="s">
        <v>30</v>
      </c>
      <c r="AG4" s="614" t="s">
        <v>30</v>
      </c>
      <c r="AH4" s="125" t="s">
        <v>35</v>
      </c>
      <c r="AI4" s="119" t="s">
        <v>35</v>
      </c>
      <c r="AJ4" s="119" t="s">
        <v>35</v>
      </c>
      <c r="AK4" s="119" t="s">
        <v>35</v>
      </c>
      <c r="AL4" s="119" t="s">
        <v>35</v>
      </c>
      <c r="AM4" s="126" t="s">
        <v>35</v>
      </c>
    </row>
    <row r="5" spans="1:39" ht="12.75" customHeight="1" x14ac:dyDescent="0.2">
      <c r="A5" s="929">
        <v>5</v>
      </c>
      <c r="B5" s="2306" t="s">
        <v>148</v>
      </c>
      <c r="C5" s="2482" t="s">
        <v>43</v>
      </c>
      <c r="D5" s="672">
        <v>2.5</v>
      </c>
      <c r="E5" s="490" t="s">
        <v>39</v>
      </c>
      <c r="F5" s="491" t="s">
        <v>112</v>
      </c>
      <c r="G5" s="799">
        <v>3.9750000000000001</v>
      </c>
      <c r="H5" s="930">
        <v>5.0359999999999996</v>
      </c>
      <c r="I5" s="492"/>
      <c r="J5" s="348"/>
      <c r="K5" s="931">
        <v>0.6</v>
      </c>
      <c r="L5" s="931"/>
      <c r="M5" s="518"/>
      <c r="N5" s="351">
        <f>0.314*I5+0.249*J5+0.195*K5+0.159*L5+0.06*M5</f>
        <v>0.11699999999999999</v>
      </c>
      <c r="O5" s="353">
        <f>0.4*SUM(I5:M5)</f>
        <v>0.24</v>
      </c>
      <c r="P5" s="352">
        <f>SQRT(POWER(N5,2)+POWER(O5+G5,2))</f>
        <v>4.2166235307411544</v>
      </c>
      <c r="Q5" s="353">
        <f>SQRT(POWER(N5,2)+POWER(O5+H5,2))</f>
        <v>5.2772971301604761</v>
      </c>
      <c r="R5" s="354">
        <f t="shared" ref="R5:R12" si="0">37000/1.73/SQRT(POWER((G5+O5),2)+N5*N5)</f>
        <v>5072.1348683540127</v>
      </c>
      <c r="S5" s="357">
        <f>37000/2/SQRT(N5*N5+POWER((H5+O5),2))</f>
        <v>3505.5824115473742</v>
      </c>
      <c r="T5" s="1061">
        <v>1</v>
      </c>
      <c r="U5" s="493" t="s">
        <v>85</v>
      </c>
      <c r="V5" s="493">
        <v>4</v>
      </c>
      <c r="W5" s="493">
        <v>11</v>
      </c>
      <c r="X5" s="493">
        <v>35</v>
      </c>
      <c r="Y5" s="493">
        <v>6.3</v>
      </c>
      <c r="Z5" s="352">
        <v>6.26</v>
      </c>
      <c r="AA5" s="349"/>
      <c r="AB5" s="349">
        <v>5</v>
      </c>
      <c r="AC5" s="528">
        <f>Z5/100*X5*X5/V5</f>
        <v>19.171250000000004</v>
      </c>
      <c r="AD5" s="351">
        <f>SQRT(POWER(N5,2)+POWER(O5+AC5+G5,2))</f>
        <v>23.386542670144728</v>
      </c>
      <c r="AE5" s="355">
        <f>SQRT(POWER(N5,2)+POWER(O5+AC5+H5,2))</f>
        <v>24.447529968536703</v>
      </c>
      <c r="AF5" s="139">
        <f>SQRT(POWER((AC5+O5+G5),2)+POWER(N5,2))*POWER(6.3/X5,2)</f>
        <v>0.75772398251268913</v>
      </c>
      <c r="AG5" s="140">
        <f>SQRT(POWER((H5+O5+AC5),2)+POWER(N5,2))*POWER(6.3/X5,2)</f>
        <v>0.79209997098058915</v>
      </c>
      <c r="AH5" s="519">
        <f>37000/1.73/SQRT(POWER((G5+O5+AC5),2)+N5*N5)</f>
        <v>914.51239880348953</v>
      </c>
      <c r="AI5" s="354">
        <f>37000/2/SQRT(POWER((H5+O5+AC5),2)+N5*N5)</f>
        <v>756.72266375412937</v>
      </c>
      <c r="AJ5" s="354">
        <f>AI5/1.2</f>
        <v>630.60221979510789</v>
      </c>
      <c r="AK5" s="354">
        <f>AI5/1.5</f>
        <v>504.48177583608623</v>
      </c>
      <c r="AL5" s="354">
        <f t="shared" ref="AL5:AL36" si="1">6300/(1.73*AF5)</f>
        <v>4805.996089808129</v>
      </c>
      <c r="AM5" s="358">
        <f t="shared" ref="AM5:AM36" si="2">6300/(2*AG5)</f>
        <v>3976.770755464644</v>
      </c>
    </row>
    <row r="6" spans="1:39" ht="12.75" customHeight="1" x14ac:dyDescent="0.2">
      <c r="A6" s="161">
        <v>5</v>
      </c>
      <c r="B6" s="2359"/>
      <c r="C6" s="2363"/>
      <c r="D6" s="673">
        <v>2.5</v>
      </c>
      <c r="E6" s="145" t="s">
        <v>39</v>
      </c>
      <c r="F6" s="146" t="s">
        <v>112</v>
      </c>
      <c r="G6" s="275">
        <v>3.9750000000000001</v>
      </c>
      <c r="H6" s="162">
        <v>5.0359999999999996</v>
      </c>
      <c r="I6" s="147"/>
      <c r="J6" s="148"/>
      <c r="K6" s="149">
        <v>0.6</v>
      </c>
      <c r="L6" s="149"/>
      <c r="M6" s="496"/>
      <c r="N6" s="151">
        <f>0.314*I6+0.249*J6+0.195*K6+0.159*L6+0.06*M6</f>
        <v>0.11699999999999999</v>
      </c>
      <c r="O6" s="154">
        <f>0.4*SUM(I6:M6)</f>
        <v>0.24</v>
      </c>
      <c r="P6" s="153">
        <f>SQRT(POWER(N6,2)+POWER(O6+G6,2))</f>
        <v>4.2166235307411544</v>
      </c>
      <c r="Q6" s="154">
        <f>SQRT(POWER(N6,2)+POWER(O6+H6,2))</f>
        <v>5.2772971301604761</v>
      </c>
      <c r="R6" s="155">
        <f t="shared" si="0"/>
        <v>5072.1348683540127</v>
      </c>
      <c r="S6" s="361">
        <f>37000/2/SQRT(N6*N6+POWER((H6+O6),2))</f>
        <v>3505.5824115473742</v>
      </c>
      <c r="T6" s="1062">
        <v>2</v>
      </c>
      <c r="U6" s="494" t="s">
        <v>85</v>
      </c>
      <c r="V6" s="494">
        <v>4</v>
      </c>
      <c r="W6" s="494">
        <v>11</v>
      </c>
      <c r="X6" s="494">
        <v>35</v>
      </c>
      <c r="Y6" s="494">
        <v>6.3</v>
      </c>
      <c r="Z6" s="153">
        <v>6.2</v>
      </c>
      <c r="AA6" s="152"/>
      <c r="AB6" s="152">
        <v>5</v>
      </c>
      <c r="AC6" s="274">
        <f>Z6/100*X6*X6/V6</f>
        <v>18.987500000000001</v>
      </c>
      <c r="AD6" s="151">
        <f>SQRT(POWER(N6,2)+POWER(O6+AC6+G6,2))</f>
        <v>23.202794987888854</v>
      </c>
      <c r="AE6" s="156">
        <f>SQRT(POWER(N6,2)+POWER(O6+AC6+H6,2))</f>
        <v>24.263782088742886</v>
      </c>
      <c r="AF6" s="157">
        <f t="shared" ref="AF6:AF71" si="3">SQRT(POWER((AC6+O6+G6),2)+POWER(N6,2))*POWER(6.3/X6,2)</f>
        <v>0.75177055760759881</v>
      </c>
      <c r="AG6" s="158">
        <f t="shared" ref="AG6:AG71" si="4">SQRT(POWER((H6+O6+AC6),2)+POWER(N6,2))*POWER(6.3/X6,2)</f>
        <v>0.78614653967526948</v>
      </c>
      <c r="AH6" s="159">
        <f>37000/1.73/SQRT(POWER((G6+O6+AC6),2)+N6*N6)</f>
        <v>921.7546096561955</v>
      </c>
      <c r="AI6" s="155">
        <f>37000/2/SQRT(POWER((H6+O6+AC6),2)+N6*N6)</f>
        <v>762.45327015951989</v>
      </c>
      <c r="AJ6" s="155">
        <f>AI6/1.2</f>
        <v>635.37772513293328</v>
      </c>
      <c r="AK6" s="155">
        <f>AI6/1.5</f>
        <v>508.30218010634661</v>
      </c>
      <c r="AL6" s="155">
        <f t="shared" si="1"/>
        <v>4844.0557564514784</v>
      </c>
      <c r="AM6" s="143">
        <f t="shared" si="2"/>
        <v>4006.8865548923718</v>
      </c>
    </row>
    <row r="7" spans="1:39" ht="12.75" customHeight="1" x14ac:dyDescent="0.2">
      <c r="A7" s="161">
        <v>5</v>
      </c>
      <c r="B7" s="2358" t="s">
        <v>149</v>
      </c>
      <c r="C7" s="2362" t="s">
        <v>43</v>
      </c>
      <c r="D7" s="673">
        <v>1.3</v>
      </c>
      <c r="E7" s="145" t="s">
        <v>39</v>
      </c>
      <c r="F7" s="146" t="s">
        <v>115</v>
      </c>
      <c r="G7" s="275">
        <v>4.2770000000000001</v>
      </c>
      <c r="H7" s="162">
        <v>6.3559999999999999</v>
      </c>
      <c r="I7" s="147"/>
      <c r="J7" s="148">
        <v>7.0000000000000007E-2</v>
      </c>
      <c r="K7" s="149">
        <v>0.42</v>
      </c>
      <c r="L7" s="149"/>
      <c r="M7" s="150"/>
      <c r="N7" s="151">
        <f>0.314*I7+0.249*J7+0.195*K7+0.159*L7+0.06*M7</f>
        <v>9.9330000000000002E-2</v>
      </c>
      <c r="O7" s="154">
        <f>0.4*SUM(I7:M7)</f>
        <v>0.19600000000000001</v>
      </c>
      <c r="P7" s="153">
        <f>SQRT(POWER(N7,2)+POWER(O7+G7,2))</f>
        <v>4.4741027535026499</v>
      </c>
      <c r="Q7" s="154">
        <f>SQRT(POWER(N7,2)+POWER(O7+H7,2))</f>
        <v>6.5527528908772377</v>
      </c>
      <c r="R7" s="155">
        <f t="shared" si="0"/>
        <v>4780.2396179324924</v>
      </c>
      <c r="S7" s="361">
        <f>37000/2/SQRT(N7*N7+POWER((H7+O7),2))</f>
        <v>2823.2409047128508</v>
      </c>
      <c r="T7" s="1062">
        <v>1</v>
      </c>
      <c r="U7" s="494" t="s">
        <v>85</v>
      </c>
      <c r="V7" s="494">
        <v>4</v>
      </c>
      <c r="W7" s="494">
        <v>11</v>
      </c>
      <c r="X7" s="494">
        <v>35</v>
      </c>
      <c r="Y7" s="494">
        <v>6.3</v>
      </c>
      <c r="Z7" s="153">
        <v>6.35</v>
      </c>
      <c r="AA7" s="152"/>
      <c r="AB7" s="152">
        <v>5</v>
      </c>
      <c r="AC7" s="274">
        <f>Z7/100*X7*X7/V7</f>
        <v>19.446875000000002</v>
      </c>
      <c r="AD7" s="151">
        <f>SQRT(POWER(N7,2)+POWER(O7+AC7+G7,2))</f>
        <v>23.920081238669013</v>
      </c>
      <c r="AE7" s="156">
        <f>SQRT(POWER(N7,2)+POWER(O7+AC7+H7,2))</f>
        <v>25.999064746919746</v>
      </c>
      <c r="AF7" s="157">
        <f t="shared" si="3"/>
        <v>0.77501063213287602</v>
      </c>
      <c r="AG7" s="158">
        <f t="shared" si="4"/>
        <v>0.84236969780019977</v>
      </c>
      <c r="AH7" s="159">
        <f>37000/1.73/SQRT(POWER((G7+O7+AC7),2)+N7*N7)</f>
        <v>894.11415553303857</v>
      </c>
      <c r="AI7" s="155">
        <f>37000/2/SQRT(POWER((H7+O7+AC7),2)+N7*N7)</f>
        <v>711.56405740294167</v>
      </c>
      <c r="AJ7" s="155">
        <f>AI7/1.2</f>
        <v>592.97004783578473</v>
      </c>
      <c r="AK7" s="155">
        <f>AI7/1.5</f>
        <v>474.37603826862778</v>
      </c>
      <c r="AL7" s="155">
        <f t="shared" si="1"/>
        <v>4698.7981146631146</v>
      </c>
      <c r="AM7" s="143">
        <f t="shared" si="2"/>
        <v>3739.4507521175615</v>
      </c>
    </row>
    <row r="8" spans="1:39" ht="12.75" customHeight="1" x14ac:dyDescent="0.2">
      <c r="A8" s="161">
        <v>5</v>
      </c>
      <c r="B8" s="2359"/>
      <c r="C8" s="2363"/>
      <c r="D8" s="673">
        <v>1.3</v>
      </c>
      <c r="E8" s="145" t="s">
        <v>39</v>
      </c>
      <c r="F8" s="146" t="s">
        <v>115</v>
      </c>
      <c r="G8" s="275">
        <v>4.2770000000000001</v>
      </c>
      <c r="H8" s="162">
        <v>6.3559999999999999</v>
      </c>
      <c r="I8" s="147"/>
      <c r="J8" s="148">
        <v>7.0000000000000007E-2</v>
      </c>
      <c r="K8" s="149">
        <v>0.42</v>
      </c>
      <c r="L8" s="149"/>
      <c r="M8" s="150"/>
      <c r="N8" s="151">
        <f>0.314*I8+0.249*J8+0.195*K8+0.159*L8+0.06*M8</f>
        <v>9.9330000000000002E-2</v>
      </c>
      <c r="O8" s="154">
        <f>0.4*SUM(I8:M8)</f>
        <v>0.19600000000000001</v>
      </c>
      <c r="P8" s="153">
        <f>SQRT(POWER(N8,2)+POWER(O8+G8,2))</f>
        <v>4.4741027535026499</v>
      </c>
      <c r="Q8" s="154">
        <f>SQRT(POWER(N8,2)+POWER(O8+H8,2))</f>
        <v>6.5527528908772377</v>
      </c>
      <c r="R8" s="155">
        <f t="shared" si="0"/>
        <v>4780.2396179324924</v>
      </c>
      <c r="S8" s="361">
        <f>37000/2/SQRT(N8*N8+POWER((H8+O8),2))</f>
        <v>2823.2409047128508</v>
      </c>
      <c r="T8" s="1062">
        <v>2</v>
      </c>
      <c r="U8" s="494" t="s">
        <v>85</v>
      </c>
      <c r="V8" s="494">
        <v>4</v>
      </c>
      <c r="W8" s="494">
        <v>11</v>
      </c>
      <c r="X8" s="494">
        <v>35</v>
      </c>
      <c r="Y8" s="494">
        <v>6.3</v>
      </c>
      <c r="Z8" s="153">
        <v>6.35</v>
      </c>
      <c r="AA8" s="152"/>
      <c r="AB8" s="152">
        <v>5</v>
      </c>
      <c r="AC8" s="274">
        <f>Z8/100*X8*X8/V8</f>
        <v>19.446875000000002</v>
      </c>
      <c r="AD8" s="151">
        <f>SQRT(POWER(N8,2)+POWER(O8+AC8+G8,2))</f>
        <v>23.920081238669013</v>
      </c>
      <c r="AE8" s="156">
        <f>SQRT(POWER(N8,2)+POWER(O8+AC8+H8,2))</f>
        <v>25.999064746919746</v>
      </c>
      <c r="AF8" s="157">
        <f t="shared" si="3"/>
        <v>0.77501063213287602</v>
      </c>
      <c r="AG8" s="158">
        <f t="shared" si="4"/>
        <v>0.84236969780019977</v>
      </c>
      <c r="AH8" s="159">
        <f>37000/1.73/SQRT(POWER((G8+O8+AC8),2)+N8*N8)</f>
        <v>894.11415553303857</v>
      </c>
      <c r="AI8" s="155">
        <f>37000/2/SQRT(POWER((H8+O8+AC8),2)+N8*N8)</f>
        <v>711.56405740294167</v>
      </c>
      <c r="AJ8" s="155">
        <f>AI8/1.2</f>
        <v>592.97004783578473</v>
      </c>
      <c r="AK8" s="155">
        <f>AI8/1.5</f>
        <v>474.37603826862778</v>
      </c>
      <c r="AL8" s="155">
        <f t="shared" si="1"/>
        <v>4698.7981146631146</v>
      </c>
      <c r="AM8" s="160">
        <f t="shared" si="2"/>
        <v>3739.4507521175615</v>
      </c>
    </row>
    <row r="9" spans="1:39" ht="12.75" customHeight="1" x14ac:dyDescent="0.2">
      <c r="A9" s="932">
        <v>5</v>
      </c>
      <c r="B9" s="2358" t="s">
        <v>101</v>
      </c>
      <c r="C9" s="2360" t="s">
        <v>340</v>
      </c>
      <c r="D9" s="649">
        <v>2.2999999999999998</v>
      </c>
      <c r="E9" s="128" t="s">
        <v>39</v>
      </c>
      <c r="F9" s="655" t="s">
        <v>45</v>
      </c>
      <c r="G9" s="615">
        <v>6.5380000000000003</v>
      </c>
      <c r="H9" s="130">
        <v>7.4059999999999997</v>
      </c>
      <c r="I9" s="131"/>
      <c r="J9" s="132">
        <v>7.1</v>
      </c>
      <c r="K9" s="133"/>
      <c r="L9" s="133"/>
      <c r="M9" s="134"/>
      <c r="N9" s="878">
        <f t="shared" ref="N9:N22" si="5">0.314*I9+0.249*J9+0.195*K9+0.159*L9+0.06*M9</f>
        <v>1.7678999999999998</v>
      </c>
      <c r="O9" s="136">
        <f t="shared" ref="O9:O22" si="6">0.4*SUM(I9:M9)</f>
        <v>2.84</v>
      </c>
      <c r="P9" s="135">
        <f t="shared" ref="P9:P22" si="7">SQRT(POWER(N9,2)+POWER(O9+G9,2))</f>
        <v>9.5431836621747994</v>
      </c>
      <c r="Q9" s="136">
        <f t="shared" ref="Q9:Q22" si="8">SQRT(POWER(N9,2)+POWER(O9+H9,2))</f>
        <v>10.397402868505191</v>
      </c>
      <c r="R9" s="137">
        <f t="shared" si="0"/>
        <v>2241.1056932462161</v>
      </c>
      <c r="S9" s="142">
        <f t="shared" ref="S9:S46" si="9">37000/2/SQRT(N9*N9+POWER((H9+O9),2))</f>
        <v>1779.2904857075812</v>
      </c>
      <c r="T9" s="1063">
        <v>1</v>
      </c>
      <c r="U9" s="495" t="s">
        <v>50</v>
      </c>
      <c r="V9" s="495">
        <v>6.3</v>
      </c>
      <c r="W9" s="494">
        <v>11</v>
      </c>
      <c r="X9" s="495">
        <v>35</v>
      </c>
      <c r="Y9" s="495">
        <v>6.3</v>
      </c>
      <c r="Z9" s="135">
        <v>7.7</v>
      </c>
      <c r="AA9" s="129"/>
      <c r="AB9" s="129"/>
      <c r="AC9" s="529">
        <f t="shared" ref="AC9:AC22" si="10">Z9/100*X9*X9/V9</f>
        <v>14.972222222222221</v>
      </c>
      <c r="AD9" s="878">
        <f t="shared" ref="AD9:AD46" si="11">SQRT(POWER(N9,2)+POWER(O9+AC9+G9,2))</f>
        <v>24.4143153228102</v>
      </c>
      <c r="AE9" s="138">
        <f t="shared" ref="AE9:AE46" si="12">SQRT(POWER(N9,2)+POWER(O9+AC9+H9,2))</f>
        <v>25.280114763572232</v>
      </c>
      <c r="AF9" s="157">
        <f t="shared" si="3"/>
        <v>0.7910238164590504</v>
      </c>
      <c r="AG9" s="158">
        <f t="shared" si="4"/>
        <v>0.81907571833974024</v>
      </c>
      <c r="AH9" s="141">
        <f t="shared" ref="AH9:AH46" si="13">37000/1.73/SQRT(POWER((G9+O9+AC9),2)+N9*N9)</f>
        <v>876.01404971664977</v>
      </c>
      <c r="AI9" s="137">
        <f t="shared" ref="AI9:AI46" si="14">37000/2/SQRT(POWER((H9+O9+AC9),2)+N9*N9)</f>
        <v>731.80047531500361</v>
      </c>
      <c r="AJ9" s="137">
        <f t="shared" ref="AJ9:AJ22" si="15">AI9/1.2</f>
        <v>609.83372942916969</v>
      </c>
      <c r="AK9" s="137">
        <f t="shared" ref="AK9:AK22" si="16">AI9/1.5</f>
        <v>487.86698354333572</v>
      </c>
      <c r="AL9" s="137">
        <f t="shared" si="1"/>
        <v>4603.6774384508626</v>
      </c>
      <c r="AM9" s="143">
        <f t="shared" si="2"/>
        <v>3845.7982936974668</v>
      </c>
    </row>
    <row r="10" spans="1:39" ht="12.75" customHeight="1" x14ac:dyDescent="0.2">
      <c r="A10" s="161">
        <v>5</v>
      </c>
      <c r="B10" s="2359"/>
      <c r="C10" s="2361"/>
      <c r="D10" s="673">
        <v>2.2999999999999998</v>
      </c>
      <c r="E10" s="145" t="s">
        <v>39</v>
      </c>
      <c r="F10" s="146" t="s">
        <v>45</v>
      </c>
      <c r="G10" s="275">
        <v>6.5380000000000003</v>
      </c>
      <c r="H10" s="162">
        <v>7.4059999999999997</v>
      </c>
      <c r="I10" s="147"/>
      <c r="J10" s="148">
        <v>7.1</v>
      </c>
      <c r="K10" s="149"/>
      <c r="L10" s="149"/>
      <c r="M10" s="150"/>
      <c r="N10" s="151">
        <f t="shared" si="5"/>
        <v>1.7678999999999998</v>
      </c>
      <c r="O10" s="154">
        <f t="shared" si="6"/>
        <v>2.84</v>
      </c>
      <c r="P10" s="153">
        <f t="shared" si="7"/>
        <v>9.5431836621747994</v>
      </c>
      <c r="Q10" s="154">
        <f t="shared" si="8"/>
        <v>10.397402868505191</v>
      </c>
      <c r="R10" s="155">
        <f t="shared" si="0"/>
        <v>2241.1056932462161</v>
      </c>
      <c r="S10" s="361">
        <f t="shared" si="9"/>
        <v>1779.2904857075812</v>
      </c>
      <c r="T10" s="1062">
        <v>2</v>
      </c>
      <c r="U10" s="495" t="s">
        <v>50</v>
      </c>
      <c r="V10" s="494">
        <v>6.3</v>
      </c>
      <c r="W10" s="494">
        <v>11</v>
      </c>
      <c r="X10" s="494">
        <v>35</v>
      </c>
      <c r="Y10" s="494">
        <v>6.3</v>
      </c>
      <c r="Z10" s="153">
        <v>7.69</v>
      </c>
      <c r="AA10" s="152"/>
      <c r="AB10" s="152"/>
      <c r="AC10" s="274">
        <f t="shared" si="10"/>
        <v>14.952777777777781</v>
      </c>
      <c r="AD10" s="151">
        <f t="shared" si="11"/>
        <v>24.394921965064885</v>
      </c>
      <c r="AE10" s="156">
        <f t="shared" si="12"/>
        <v>25.260717960973064</v>
      </c>
      <c r="AF10" s="157">
        <f t="shared" si="3"/>
        <v>0.7903954716681022</v>
      </c>
      <c r="AG10" s="158">
        <f t="shared" si="4"/>
        <v>0.81844726193552719</v>
      </c>
      <c r="AH10" s="159">
        <f t="shared" si="13"/>
        <v>876.71045915302375</v>
      </c>
      <c r="AI10" s="155">
        <f t="shared" si="14"/>
        <v>732.36239874820103</v>
      </c>
      <c r="AJ10" s="155">
        <f t="shared" si="15"/>
        <v>610.30199895683427</v>
      </c>
      <c r="AK10" s="155">
        <f t="shared" si="16"/>
        <v>488.24159916546733</v>
      </c>
      <c r="AL10" s="155">
        <f t="shared" si="1"/>
        <v>4607.3372478011761</v>
      </c>
      <c r="AM10" s="143">
        <f t="shared" si="2"/>
        <v>3848.7513447728288</v>
      </c>
    </row>
    <row r="11" spans="1:39" ht="12.75" customHeight="1" x14ac:dyDescent="0.2">
      <c r="A11" s="161">
        <v>5</v>
      </c>
      <c r="B11" s="2358" t="s">
        <v>142</v>
      </c>
      <c r="C11" s="2362" t="s">
        <v>43</v>
      </c>
      <c r="D11" s="673">
        <v>1.3</v>
      </c>
      <c r="E11" s="145" t="s">
        <v>39</v>
      </c>
      <c r="F11" s="146" t="s">
        <v>115</v>
      </c>
      <c r="G11" s="275">
        <v>4.2770000000000001</v>
      </c>
      <c r="H11" s="162">
        <v>6.3559999999999999</v>
      </c>
      <c r="I11" s="147"/>
      <c r="J11" s="148"/>
      <c r="K11" s="149">
        <v>9.07</v>
      </c>
      <c r="L11" s="149"/>
      <c r="M11" s="150"/>
      <c r="N11" s="151">
        <f>0.314*I11+0.249*J11+0.195*K11+0.159*L11+0.06*M11</f>
        <v>1.7686500000000001</v>
      </c>
      <c r="O11" s="154">
        <f>0.4*SUM(I11:M11)</f>
        <v>3.6280000000000001</v>
      </c>
      <c r="P11" s="153">
        <f>SQRT(POWER(N11,2)+POWER(O11+G11,2))</f>
        <v>8.100441211594589</v>
      </c>
      <c r="Q11" s="154">
        <f>SQRT(POWER(N11,2)+POWER(O11+H11,2))</f>
        <v>10.139446672402789</v>
      </c>
      <c r="R11" s="155">
        <f t="shared" si="0"/>
        <v>2640.2615213578083</v>
      </c>
      <c r="S11" s="361">
        <f>37000/2/SQRT(N11*N11+POWER((H11+O11),2))</f>
        <v>1824.5571575767235</v>
      </c>
      <c r="T11" s="1062">
        <v>1</v>
      </c>
      <c r="U11" s="494" t="s">
        <v>214</v>
      </c>
      <c r="V11" s="494">
        <v>6.3</v>
      </c>
      <c r="W11" s="494">
        <v>11</v>
      </c>
      <c r="X11" s="494">
        <v>35</v>
      </c>
      <c r="Y11" s="494">
        <v>6.3</v>
      </c>
      <c r="Z11" s="153">
        <v>6.63</v>
      </c>
      <c r="AA11" s="152"/>
      <c r="AB11" s="152">
        <v>5</v>
      </c>
      <c r="AC11" s="274">
        <f>Z11/100*X11*X11/V11</f>
        <v>12.891666666666667</v>
      </c>
      <c r="AD11" s="151">
        <f>SQRT(POWER(N11,2)+POWER(O11+AC11+G11,2))</f>
        <v>20.871738482142412</v>
      </c>
      <c r="AE11" s="156">
        <f>SQRT(POWER(N11,2)+POWER(O11+AC11+H11,2))</f>
        <v>22.943937069887209</v>
      </c>
      <c r="AF11" s="157">
        <f t="shared" si="3"/>
        <v>0.67624432682141411</v>
      </c>
      <c r="AG11" s="158">
        <f t="shared" si="4"/>
        <v>0.74338356106434555</v>
      </c>
      <c r="AH11" s="159">
        <f>37000/1.73/SQRT(POWER((G11+O11+AC11),2)+N11*N11)</f>
        <v>1024.700613956662</v>
      </c>
      <c r="AI11" s="155">
        <f>37000/2/SQRT(POWER((H11+O11+AC11),2)+N11*N11)</f>
        <v>806.31322966276537</v>
      </c>
      <c r="AJ11" s="155">
        <f>AI11/1.2</f>
        <v>671.92769138563779</v>
      </c>
      <c r="AK11" s="155">
        <f>AI11/1.5</f>
        <v>537.54215310851021</v>
      </c>
      <c r="AL11" s="155">
        <f t="shared" si="1"/>
        <v>5385.0632865590351</v>
      </c>
      <c r="AM11" s="143">
        <f t="shared" si="2"/>
        <v>4237.3818375670853</v>
      </c>
    </row>
    <row r="12" spans="1:39" ht="12.75" customHeight="1" x14ac:dyDescent="0.2">
      <c r="A12" s="161">
        <v>5</v>
      </c>
      <c r="B12" s="2359"/>
      <c r="C12" s="2363"/>
      <c r="D12" s="673">
        <v>1.3</v>
      </c>
      <c r="E12" s="145" t="s">
        <v>39</v>
      </c>
      <c r="F12" s="146" t="s">
        <v>115</v>
      </c>
      <c r="G12" s="275">
        <v>4.2770000000000001</v>
      </c>
      <c r="H12" s="162">
        <v>6.3559999999999999</v>
      </c>
      <c r="I12" s="147"/>
      <c r="J12" s="148"/>
      <c r="K12" s="149">
        <v>9.07</v>
      </c>
      <c r="L12" s="149"/>
      <c r="M12" s="150"/>
      <c r="N12" s="151">
        <f>0.314*I12+0.249*J12+0.195*K12+0.159*L12+0.06*M12</f>
        <v>1.7686500000000001</v>
      </c>
      <c r="O12" s="154">
        <f>0.4*SUM(I12:M12)</f>
        <v>3.6280000000000001</v>
      </c>
      <c r="P12" s="153">
        <f>SQRT(POWER(N12,2)+POWER(O12+G12,2))</f>
        <v>8.100441211594589</v>
      </c>
      <c r="Q12" s="154">
        <f>SQRT(POWER(N12,2)+POWER(O12+H12,2))</f>
        <v>10.139446672402789</v>
      </c>
      <c r="R12" s="155">
        <f t="shared" si="0"/>
        <v>2640.2615213578083</v>
      </c>
      <c r="S12" s="361">
        <f>37000/2/SQRT(N12*N12+POWER((H12+O12),2))</f>
        <v>1824.5571575767235</v>
      </c>
      <c r="T12" s="1062">
        <v>2</v>
      </c>
      <c r="U12" s="494" t="s">
        <v>214</v>
      </c>
      <c r="V12" s="494">
        <v>6.3</v>
      </c>
      <c r="W12" s="494">
        <v>11</v>
      </c>
      <c r="X12" s="494">
        <v>35</v>
      </c>
      <c r="Y12" s="494">
        <v>6.3</v>
      </c>
      <c r="Z12" s="153">
        <v>6.63</v>
      </c>
      <c r="AA12" s="152"/>
      <c r="AB12" s="152">
        <v>5</v>
      </c>
      <c r="AC12" s="274">
        <f>Z12/100*X12*X12/V12</f>
        <v>12.891666666666667</v>
      </c>
      <c r="AD12" s="151">
        <f>SQRT(POWER(N12,2)+POWER(O12+AC12+G12,2))</f>
        <v>20.871738482142412</v>
      </c>
      <c r="AE12" s="156">
        <f>SQRT(POWER(N12,2)+POWER(O12+AC12+H12,2))</f>
        <v>22.943937069887209</v>
      </c>
      <c r="AF12" s="157">
        <f t="shared" si="3"/>
        <v>0.67624432682141411</v>
      </c>
      <c r="AG12" s="158">
        <f t="shared" si="4"/>
        <v>0.74338356106434555</v>
      </c>
      <c r="AH12" s="159">
        <f>37000/1.73/SQRT(POWER((G12+O12+AC12),2)+N12*N12)</f>
        <v>1024.700613956662</v>
      </c>
      <c r="AI12" s="155">
        <f>37000/2/SQRT(POWER((H12+O12+AC12),2)+N12*N12)</f>
        <v>806.31322966276537</v>
      </c>
      <c r="AJ12" s="155">
        <f>AI12/1.2</f>
        <v>671.92769138563779</v>
      </c>
      <c r="AK12" s="155">
        <f>AI12/1.5</f>
        <v>537.54215310851021</v>
      </c>
      <c r="AL12" s="155">
        <f t="shared" si="1"/>
        <v>5385.0632865590351</v>
      </c>
      <c r="AM12" s="143">
        <f t="shared" si="2"/>
        <v>4237.3818375670853</v>
      </c>
    </row>
    <row r="13" spans="1:39" ht="12.75" customHeight="1" x14ac:dyDescent="0.2">
      <c r="A13" s="161">
        <v>5</v>
      </c>
      <c r="B13" s="2358" t="s">
        <v>105</v>
      </c>
      <c r="C13" s="2360" t="s">
        <v>351</v>
      </c>
      <c r="D13" s="673">
        <v>1.4</v>
      </c>
      <c r="E13" s="145" t="s">
        <v>39</v>
      </c>
      <c r="F13" s="146" t="s">
        <v>45</v>
      </c>
      <c r="G13" s="275">
        <v>6.5380000000000003</v>
      </c>
      <c r="H13" s="162">
        <v>7.4059999999999997</v>
      </c>
      <c r="I13" s="147">
        <v>11.7</v>
      </c>
      <c r="J13" s="148"/>
      <c r="K13" s="149"/>
      <c r="L13" s="149"/>
      <c r="M13" s="150"/>
      <c r="N13" s="151">
        <f t="shared" si="5"/>
        <v>3.6738</v>
      </c>
      <c r="O13" s="154">
        <f t="shared" si="6"/>
        <v>4.68</v>
      </c>
      <c r="P13" s="153">
        <f t="shared" si="7"/>
        <v>11.804250524281498</v>
      </c>
      <c r="Q13" s="154">
        <f t="shared" si="8"/>
        <v>12.632030812185345</v>
      </c>
      <c r="R13" s="155">
        <f t="shared" ref="R13:R46" si="17">37000/1.73/SQRT(POWER((G13+O13),2)+N13*N13)</f>
        <v>1811.8289842290535</v>
      </c>
      <c r="S13" s="361">
        <f t="shared" si="9"/>
        <v>1464.5309432078161</v>
      </c>
      <c r="T13" s="1062">
        <v>1</v>
      </c>
      <c r="U13" s="494" t="s">
        <v>211</v>
      </c>
      <c r="V13" s="494">
        <v>4</v>
      </c>
      <c r="W13" s="494">
        <v>11</v>
      </c>
      <c r="X13" s="494">
        <v>35</v>
      </c>
      <c r="Y13" s="494">
        <v>6.3</v>
      </c>
      <c r="Z13" s="153">
        <v>6.35</v>
      </c>
      <c r="AA13" s="152"/>
      <c r="AB13" s="152">
        <v>5</v>
      </c>
      <c r="AC13" s="274">
        <f t="shared" si="10"/>
        <v>19.446875000000002</v>
      </c>
      <c r="AD13" s="151">
        <f t="shared" si="11"/>
        <v>30.884160425785012</v>
      </c>
      <c r="AE13" s="156">
        <f t="shared" si="12"/>
        <v>31.746165314973478</v>
      </c>
      <c r="AF13" s="157">
        <f t="shared" si="3"/>
        <v>1.0006467977954343</v>
      </c>
      <c r="AG13" s="158">
        <f t="shared" si="4"/>
        <v>1.0285757562051405</v>
      </c>
      <c r="AH13" s="159">
        <f t="shared" si="13"/>
        <v>692.50006936041223</v>
      </c>
      <c r="AI13" s="155">
        <f t="shared" si="14"/>
        <v>582.74754813534105</v>
      </c>
      <c r="AJ13" s="155">
        <f t="shared" si="15"/>
        <v>485.62295677945087</v>
      </c>
      <c r="AK13" s="155">
        <f t="shared" si="16"/>
        <v>388.4983654235607</v>
      </c>
      <c r="AL13" s="155">
        <f t="shared" si="1"/>
        <v>3639.2646287709358</v>
      </c>
      <c r="AM13" s="143">
        <f t="shared" si="2"/>
        <v>3062.487114825366</v>
      </c>
    </row>
    <row r="14" spans="1:39" ht="12.75" customHeight="1" x14ac:dyDescent="0.2">
      <c r="A14" s="161">
        <v>5</v>
      </c>
      <c r="B14" s="2359"/>
      <c r="C14" s="2361"/>
      <c r="D14" s="673">
        <v>1.4</v>
      </c>
      <c r="E14" s="145" t="s">
        <v>39</v>
      </c>
      <c r="F14" s="146" t="s">
        <v>45</v>
      </c>
      <c r="G14" s="275">
        <v>6.5380000000000003</v>
      </c>
      <c r="H14" s="162">
        <v>7.4059999999999997</v>
      </c>
      <c r="I14" s="147">
        <v>11.7</v>
      </c>
      <c r="J14" s="148"/>
      <c r="K14" s="149"/>
      <c r="L14" s="149"/>
      <c r="M14" s="150"/>
      <c r="N14" s="151">
        <f t="shared" si="5"/>
        <v>3.6738</v>
      </c>
      <c r="O14" s="154">
        <f t="shared" si="6"/>
        <v>4.68</v>
      </c>
      <c r="P14" s="153">
        <f t="shared" si="7"/>
        <v>11.804250524281498</v>
      </c>
      <c r="Q14" s="154">
        <f t="shared" si="8"/>
        <v>12.632030812185345</v>
      </c>
      <c r="R14" s="155">
        <f t="shared" si="17"/>
        <v>1811.8289842290535</v>
      </c>
      <c r="S14" s="361">
        <f t="shared" si="9"/>
        <v>1464.5309432078161</v>
      </c>
      <c r="T14" s="1062">
        <v>2</v>
      </c>
      <c r="U14" s="494" t="s">
        <v>211</v>
      </c>
      <c r="V14" s="494">
        <v>4</v>
      </c>
      <c r="W14" s="494">
        <v>11</v>
      </c>
      <c r="X14" s="494">
        <v>35</v>
      </c>
      <c r="Y14" s="494">
        <v>6.3</v>
      </c>
      <c r="Z14" s="153">
        <v>6.35</v>
      </c>
      <c r="AA14" s="152"/>
      <c r="AB14" s="152">
        <v>5</v>
      </c>
      <c r="AC14" s="274">
        <f t="shared" si="10"/>
        <v>19.446875000000002</v>
      </c>
      <c r="AD14" s="151">
        <f t="shared" si="11"/>
        <v>30.884160425785012</v>
      </c>
      <c r="AE14" s="156">
        <f t="shared" si="12"/>
        <v>31.746165314973478</v>
      </c>
      <c r="AF14" s="157">
        <f t="shared" si="3"/>
        <v>1.0006467977954343</v>
      </c>
      <c r="AG14" s="158">
        <f t="shared" si="4"/>
        <v>1.0285757562051405</v>
      </c>
      <c r="AH14" s="159">
        <f t="shared" si="13"/>
        <v>692.50006936041223</v>
      </c>
      <c r="AI14" s="155">
        <f t="shared" si="14"/>
        <v>582.74754813534105</v>
      </c>
      <c r="AJ14" s="155">
        <f t="shared" si="15"/>
        <v>485.62295677945087</v>
      </c>
      <c r="AK14" s="155">
        <f t="shared" si="16"/>
        <v>388.4983654235607</v>
      </c>
      <c r="AL14" s="155">
        <f t="shared" si="1"/>
        <v>3639.2646287709358</v>
      </c>
      <c r="AM14" s="143">
        <f t="shared" si="2"/>
        <v>3062.487114825366</v>
      </c>
    </row>
    <row r="15" spans="1:39" ht="12.75" customHeight="1" x14ac:dyDescent="0.2">
      <c r="A15" s="161">
        <v>5</v>
      </c>
      <c r="B15" s="2358" t="s">
        <v>111</v>
      </c>
      <c r="C15" s="2360" t="s">
        <v>352</v>
      </c>
      <c r="D15" s="673">
        <v>3.4</v>
      </c>
      <c r="E15" s="145" t="s">
        <v>39</v>
      </c>
      <c r="F15" s="146" t="s">
        <v>112</v>
      </c>
      <c r="G15" s="275">
        <v>3.9750000000000001</v>
      </c>
      <c r="H15" s="162">
        <v>5.0359999999999996</v>
      </c>
      <c r="I15" s="147"/>
      <c r="J15" s="148">
        <v>0.08</v>
      </c>
      <c r="K15" s="149"/>
      <c r="L15" s="149"/>
      <c r="M15" s="150"/>
      <c r="N15" s="151">
        <f t="shared" si="5"/>
        <v>1.992E-2</v>
      </c>
      <c r="O15" s="154">
        <f t="shared" si="6"/>
        <v>3.2000000000000001E-2</v>
      </c>
      <c r="P15" s="153">
        <f t="shared" si="7"/>
        <v>4.0070495138443194</v>
      </c>
      <c r="Q15" s="154">
        <f t="shared" si="8"/>
        <v>5.0680391480729501</v>
      </c>
      <c r="R15" s="155">
        <f t="shared" si="17"/>
        <v>5337.4142653095132</v>
      </c>
      <c r="S15" s="361">
        <f t="shared" si="9"/>
        <v>3650.3269725204</v>
      </c>
      <c r="T15" s="1062">
        <v>1</v>
      </c>
      <c r="U15" s="494" t="s">
        <v>191</v>
      </c>
      <c r="V15" s="494">
        <v>10</v>
      </c>
      <c r="W15" s="494">
        <v>11</v>
      </c>
      <c r="X15" s="494">
        <v>35</v>
      </c>
      <c r="Y15" s="494">
        <v>6.3</v>
      </c>
      <c r="Z15" s="153">
        <v>8.1999999999999993</v>
      </c>
      <c r="AA15" s="152"/>
      <c r="AB15" s="152"/>
      <c r="AC15" s="274">
        <f t="shared" si="10"/>
        <v>10.044999999999998</v>
      </c>
      <c r="AD15" s="151">
        <f t="shared" si="11"/>
        <v>14.05201411920725</v>
      </c>
      <c r="AE15" s="156">
        <f t="shared" si="12"/>
        <v>15.113013127976828</v>
      </c>
      <c r="AF15" s="157">
        <f t="shared" si="3"/>
        <v>0.45528525746231485</v>
      </c>
      <c r="AG15" s="158">
        <f t="shared" si="4"/>
        <v>0.48966162534644919</v>
      </c>
      <c r="AH15" s="159">
        <f t="shared" si="13"/>
        <v>1522.0083794080895</v>
      </c>
      <c r="AI15" s="155">
        <f t="shared" si="14"/>
        <v>1224.1106285915459</v>
      </c>
      <c r="AJ15" s="155">
        <f t="shared" si="15"/>
        <v>1020.092190492955</v>
      </c>
      <c r="AK15" s="155">
        <f t="shared" si="16"/>
        <v>816.07375239436396</v>
      </c>
      <c r="AL15" s="155">
        <f t="shared" si="1"/>
        <v>7998.5425344268979</v>
      </c>
      <c r="AM15" s="143">
        <f t="shared" si="2"/>
        <v>6433.013813919536</v>
      </c>
    </row>
    <row r="16" spans="1:39" ht="12.75" customHeight="1" x14ac:dyDescent="0.2">
      <c r="A16" s="161">
        <v>5</v>
      </c>
      <c r="B16" s="2359"/>
      <c r="C16" s="2361"/>
      <c r="D16" s="673">
        <v>3.4</v>
      </c>
      <c r="E16" s="145" t="s">
        <v>39</v>
      </c>
      <c r="F16" s="146" t="s">
        <v>112</v>
      </c>
      <c r="G16" s="275">
        <v>3.9750000000000001</v>
      </c>
      <c r="H16" s="162">
        <v>5.0359999999999996</v>
      </c>
      <c r="I16" s="147"/>
      <c r="J16" s="148">
        <v>0.08</v>
      </c>
      <c r="K16" s="149"/>
      <c r="L16" s="149"/>
      <c r="M16" s="150"/>
      <c r="N16" s="151">
        <f t="shared" si="5"/>
        <v>1.992E-2</v>
      </c>
      <c r="O16" s="154">
        <f t="shared" si="6"/>
        <v>3.2000000000000001E-2</v>
      </c>
      <c r="P16" s="153">
        <f t="shared" si="7"/>
        <v>4.0070495138443194</v>
      </c>
      <c r="Q16" s="154">
        <f t="shared" si="8"/>
        <v>5.0680391480729501</v>
      </c>
      <c r="R16" s="155">
        <f t="shared" si="17"/>
        <v>5337.4142653095132</v>
      </c>
      <c r="S16" s="361">
        <f t="shared" si="9"/>
        <v>3650.3269725204</v>
      </c>
      <c r="T16" s="1062">
        <v>2</v>
      </c>
      <c r="U16" s="494" t="s">
        <v>191</v>
      </c>
      <c r="V16" s="494">
        <v>10</v>
      </c>
      <c r="W16" s="494">
        <v>11</v>
      </c>
      <c r="X16" s="494">
        <v>35</v>
      </c>
      <c r="Y16" s="494">
        <v>6.3</v>
      </c>
      <c r="Z16" s="153">
        <v>8.1300000000000008</v>
      </c>
      <c r="AA16" s="152"/>
      <c r="AB16" s="152"/>
      <c r="AC16" s="274">
        <f t="shared" si="10"/>
        <v>9.9592500000000008</v>
      </c>
      <c r="AD16" s="151">
        <f t="shared" si="11"/>
        <v>13.966264205896293</v>
      </c>
      <c r="AE16" s="156">
        <f t="shared" si="12"/>
        <v>15.027263202888943</v>
      </c>
      <c r="AF16" s="157">
        <f t="shared" si="3"/>
        <v>0.45250696027103987</v>
      </c>
      <c r="AG16" s="158">
        <f t="shared" si="4"/>
        <v>0.48688332777360172</v>
      </c>
      <c r="AH16" s="159">
        <f t="shared" si="13"/>
        <v>1531.3531894924995</v>
      </c>
      <c r="AI16" s="155">
        <f t="shared" si="14"/>
        <v>1231.0957591029239</v>
      </c>
      <c r="AJ16" s="155">
        <f t="shared" si="15"/>
        <v>1025.91313258577</v>
      </c>
      <c r="AK16" s="155">
        <f t="shared" si="16"/>
        <v>820.73050606861591</v>
      </c>
      <c r="AL16" s="155">
        <f t="shared" si="1"/>
        <v>8047.6518967323555</v>
      </c>
      <c r="AM16" s="143">
        <f t="shared" si="2"/>
        <v>6469.7224577480993</v>
      </c>
    </row>
    <row r="17" spans="1:39" ht="12.75" customHeight="1" x14ac:dyDescent="0.2">
      <c r="A17" s="161">
        <v>5</v>
      </c>
      <c r="B17" s="2512" t="s">
        <v>113</v>
      </c>
      <c r="C17" s="2360" t="s">
        <v>353</v>
      </c>
      <c r="D17" s="673">
        <v>3.4</v>
      </c>
      <c r="E17" s="145" t="s">
        <v>39</v>
      </c>
      <c r="F17" s="146" t="s">
        <v>112</v>
      </c>
      <c r="G17" s="275">
        <v>3.9750000000000001</v>
      </c>
      <c r="H17" s="162">
        <v>5.0359999999999996</v>
      </c>
      <c r="I17" s="147"/>
      <c r="J17" s="148">
        <v>0.33</v>
      </c>
      <c r="K17" s="149"/>
      <c r="L17" s="149"/>
      <c r="M17" s="496"/>
      <c r="N17" s="151">
        <f t="shared" si="5"/>
        <v>8.2170000000000007E-2</v>
      </c>
      <c r="O17" s="154">
        <f t="shared" si="6"/>
        <v>0.13200000000000001</v>
      </c>
      <c r="P17" s="153">
        <f t="shared" si="7"/>
        <v>4.1078219178659632</v>
      </c>
      <c r="Q17" s="154">
        <f t="shared" si="8"/>
        <v>5.168653200680037</v>
      </c>
      <c r="R17" s="155">
        <f t="shared" si="17"/>
        <v>5206.4777063424972</v>
      </c>
      <c r="S17" s="361">
        <f t="shared" si="9"/>
        <v>3579.2689665396711</v>
      </c>
      <c r="T17" s="1062">
        <v>1</v>
      </c>
      <c r="U17" s="494" t="s">
        <v>212</v>
      </c>
      <c r="V17" s="494">
        <v>16</v>
      </c>
      <c r="W17" s="494">
        <v>11</v>
      </c>
      <c r="X17" s="494">
        <v>35</v>
      </c>
      <c r="Y17" s="494">
        <v>6.3</v>
      </c>
      <c r="Z17" s="153">
        <v>10.199999999999999</v>
      </c>
      <c r="AA17" s="152"/>
      <c r="AB17" s="152"/>
      <c r="AC17" s="274">
        <f t="shared" si="10"/>
        <v>7.8093749999999993</v>
      </c>
      <c r="AD17" s="151">
        <f t="shared" si="11"/>
        <v>11.916658300443332</v>
      </c>
      <c r="AE17" s="156">
        <f t="shared" si="12"/>
        <v>12.977635138942878</v>
      </c>
      <c r="AF17" s="157">
        <f t="shared" si="3"/>
        <v>0.38609972893436395</v>
      </c>
      <c r="AG17" s="158">
        <f t="shared" si="4"/>
        <v>0.42047537850174921</v>
      </c>
      <c r="AH17" s="159">
        <f t="shared" si="13"/>
        <v>1794.7383148678982</v>
      </c>
      <c r="AI17" s="155">
        <f t="shared" si="14"/>
        <v>1425.5293666321211</v>
      </c>
      <c r="AJ17" s="155">
        <f t="shared" si="15"/>
        <v>1187.9411388601009</v>
      </c>
      <c r="AK17" s="155">
        <f t="shared" si="16"/>
        <v>950.35291108808076</v>
      </c>
      <c r="AL17" s="155">
        <f t="shared" si="1"/>
        <v>9431.8079610174846</v>
      </c>
      <c r="AM17" s="143">
        <f t="shared" si="2"/>
        <v>7491.5206955141502</v>
      </c>
    </row>
    <row r="18" spans="1:39" ht="12.75" customHeight="1" x14ac:dyDescent="0.2">
      <c r="A18" s="161">
        <v>5</v>
      </c>
      <c r="B18" s="2513"/>
      <c r="C18" s="2361"/>
      <c r="D18" s="673">
        <v>3.4</v>
      </c>
      <c r="E18" s="145" t="s">
        <v>39</v>
      </c>
      <c r="F18" s="146" t="s">
        <v>112</v>
      </c>
      <c r="G18" s="275">
        <v>3.9750000000000001</v>
      </c>
      <c r="H18" s="162">
        <v>5.0359999999999996</v>
      </c>
      <c r="I18" s="147"/>
      <c r="J18" s="148">
        <v>0.33</v>
      </c>
      <c r="K18" s="149"/>
      <c r="L18" s="149"/>
      <c r="M18" s="496"/>
      <c r="N18" s="151">
        <f t="shared" si="5"/>
        <v>8.2170000000000007E-2</v>
      </c>
      <c r="O18" s="154">
        <f t="shared" si="6"/>
        <v>0.13200000000000001</v>
      </c>
      <c r="P18" s="153">
        <f t="shared" si="7"/>
        <v>4.1078219178659632</v>
      </c>
      <c r="Q18" s="154">
        <f t="shared" si="8"/>
        <v>5.168653200680037</v>
      </c>
      <c r="R18" s="155">
        <f t="shared" si="17"/>
        <v>5206.4777063424972</v>
      </c>
      <c r="S18" s="361">
        <f t="shared" si="9"/>
        <v>3579.2689665396711</v>
      </c>
      <c r="T18" s="1062">
        <v>2</v>
      </c>
      <c r="U18" s="494" t="s">
        <v>212</v>
      </c>
      <c r="V18" s="494">
        <v>16</v>
      </c>
      <c r="W18" s="494">
        <v>11</v>
      </c>
      <c r="X18" s="494">
        <v>35</v>
      </c>
      <c r="Y18" s="494">
        <v>6.3</v>
      </c>
      <c r="Z18" s="153">
        <v>10.199999999999999</v>
      </c>
      <c r="AA18" s="152"/>
      <c r="AB18" s="152"/>
      <c r="AC18" s="274">
        <f t="shared" si="10"/>
        <v>7.8093749999999993</v>
      </c>
      <c r="AD18" s="151">
        <f t="shared" si="11"/>
        <v>11.916658300443332</v>
      </c>
      <c r="AE18" s="156">
        <f t="shared" si="12"/>
        <v>12.977635138942878</v>
      </c>
      <c r="AF18" s="157">
        <f t="shared" si="3"/>
        <v>0.38609972893436395</v>
      </c>
      <c r="AG18" s="158">
        <f t="shared" si="4"/>
        <v>0.42047537850174921</v>
      </c>
      <c r="AH18" s="159">
        <f t="shared" si="13"/>
        <v>1794.7383148678982</v>
      </c>
      <c r="AI18" s="155">
        <f t="shared" si="14"/>
        <v>1425.5293666321211</v>
      </c>
      <c r="AJ18" s="155">
        <f t="shared" si="15"/>
        <v>1187.9411388601009</v>
      </c>
      <c r="AK18" s="155">
        <f t="shared" si="16"/>
        <v>950.35291108808076</v>
      </c>
      <c r="AL18" s="155">
        <f t="shared" si="1"/>
        <v>9431.8079610174846</v>
      </c>
      <c r="AM18" s="143">
        <f t="shared" si="2"/>
        <v>7491.5206955141502</v>
      </c>
    </row>
    <row r="19" spans="1:39" ht="12.75" customHeight="1" x14ac:dyDescent="0.2">
      <c r="A19" s="161">
        <v>5</v>
      </c>
      <c r="B19" s="2358" t="s">
        <v>114</v>
      </c>
      <c r="C19" s="2360" t="s">
        <v>354</v>
      </c>
      <c r="D19" s="673">
        <v>2.4</v>
      </c>
      <c r="E19" s="145" t="s">
        <v>39</v>
      </c>
      <c r="F19" s="146" t="s">
        <v>115</v>
      </c>
      <c r="G19" s="275">
        <v>4.2770000000000001</v>
      </c>
      <c r="H19" s="162">
        <v>6.3559999999999999</v>
      </c>
      <c r="I19" s="147"/>
      <c r="J19" s="148">
        <v>0.23</v>
      </c>
      <c r="K19" s="149"/>
      <c r="L19" s="149">
        <v>0.1</v>
      </c>
      <c r="M19" s="150"/>
      <c r="N19" s="151">
        <f t="shared" si="5"/>
        <v>7.3169999999999999E-2</v>
      </c>
      <c r="O19" s="154">
        <f t="shared" si="6"/>
        <v>0.13200000000000001</v>
      </c>
      <c r="P19" s="153">
        <f t="shared" si="7"/>
        <v>4.4096071082240416</v>
      </c>
      <c r="Q19" s="154">
        <f t="shared" si="8"/>
        <v>6.48841258312848</v>
      </c>
      <c r="R19" s="155">
        <f t="shared" si="17"/>
        <v>4850.15619579947</v>
      </c>
      <c r="S19" s="361">
        <f t="shared" si="9"/>
        <v>2851.236687399426</v>
      </c>
      <c r="T19" s="1062">
        <v>1</v>
      </c>
      <c r="U19" s="494" t="s">
        <v>212</v>
      </c>
      <c r="V19" s="494">
        <v>16</v>
      </c>
      <c r="W19" s="494">
        <v>11</v>
      </c>
      <c r="X19" s="494">
        <v>35</v>
      </c>
      <c r="Y19" s="494">
        <v>6.3</v>
      </c>
      <c r="Z19" s="153">
        <v>10.199999999999999</v>
      </c>
      <c r="AA19" s="152"/>
      <c r="AB19" s="152"/>
      <c r="AC19" s="274">
        <f t="shared" si="10"/>
        <v>7.8093749999999993</v>
      </c>
      <c r="AD19" s="151">
        <f t="shared" si="11"/>
        <v>12.218594088090697</v>
      </c>
      <c r="AE19" s="156">
        <f t="shared" si="12"/>
        <v>14.297562230657539</v>
      </c>
      <c r="AF19" s="157">
        <f t="shared" si="3"/>
        <v>0.39588244845413856</v>
      </c>
      <c r="AG19" s="158">
        <f t="shared" si="4"/>
        <v>0.46324101627330422</v>
      </c>
      <c r="AH19" s="159">
        <f t="shared" si="13"/>
        <v>1750.3882265669274</v>
      </c>
      <c r="AI19" s="155">
        <f t="shared" si="14"/>
        <v>1293.9268737947079</v>
      </c>
      <c r="AJ19" s="155">
        <f t="shared" si="15"/>
        <v>1078.2723948289233</v>
      </c>
      <c r="AK19" s="155">
        <f t="shared" si="16"/>
        <v>862.61791586313859</v>
      </c>
      <c r="AL19" s="155">
        <f t="shared" si="1"/>
        <v>9198.736926402773</v>
      </c>
      <c r="AM19" s="143">
        <f t="shared" si="2"/>
        <v>6799.9160034256429</v>
      </c>
    </row>
    <row r="20" spans="1:39" ht="12.75" customHeight="1" x14ac:dyDescent="0.2">
      <c r="A20" s="161">
        <v>5</v>
      </c>
      <c r="B20" s="2359"/>
      <c r="C20" s="2361"/>
      <c r="D20" s="673">
        <v>2.4</v>
      </c>
      <c r="E20" s="145" t="s">
        <v>39</v>
      </c>
      <c r="F20" s="146" t="s">
        <v>115</v>
      </c>
      <c r="G20" s="275">
        <v>4.2770000000000001</v>
      </c>
      <c r="H20" s="162">
        <v>6.3559999999999999</v>
      </c>
      <c r="I20" s="147"/>
      <c r="J20" s="148">
        <v>0.23</v>
      </c>
      <c r="K20" s="149"/>
      <c r="L20" s="149">
        <v>0.1</v>
      </c>
      <c r="M20" s="150"/>
      <c r="N20" s="151">
        <f t="shared" si="5"/>
        <v>7.3169999999999999E-2</v>
      </c>
      <c r="O20" s="154">
        <f t="shared" si="6"/>
        <v>0.13200000000000001</v>
      </c>
      <c r="P20" s="153">
        <f t="shared" si="7"/>
        <v>4.4096071082240416</v>
      </c>
      <c r="Q20" s="154">
        <f t="shared" si="8"/>
        <v>6.48841258312848</v>
      </c>
      <c r="R20" s="155">
        <f t="shared" si="17"/>
        <v>4850.15619579947</v>
      </c>
      <c r="S20" s="361">
        <f t="shared" si="9"/>
        <v>2851.236687399426</v>
      </c>
      <c r="T20" s="1062">
        <v>2</v>
      </c>
      <c r="U20" s="494" t="s">
        <v>212</v>
      </c>
      <c r="V20" s="494">
        <v>16</v>
      </c>
      <c r="W20" s="494">
        <v>11</v>
      </c>
      <c r="X20" s="494">
        <v>35</v>
      </c>
      <c r="Y20" s="494">
        <v>6.3</v>
      </c>
      <c r="Z20" s="153">
        <v>10.1</v>
      </c>
      <c r="AA20" s="152"/>
      <c r="AB20" s="152"/>
      <c r="AC20" s="274">
        <f t="shared" si="10"/>
        <v>7.7328124999999996</v>
      </c>
      <c r="AD20" s="151">
        <f t="shared" si="11"/>
        <v>12.142032969567174</v>
      </c>
      <c r="AE20" s="156">
        <f t="shared" si="12"/>
        <v>14.221000738663093</v>
      </c>
      <c r="AF20" s="157">
        <f t="shared" si="3"/>
        <v>0.39340186821397638</v>
      </c>
      <c r="AG20" s="158">
        <f t="shared" si="4"/>
        <v>0.46076042393268418</v>
      </c>
      <c r="AH20" s="159">
        <f t="shared" si="13"/>
        <v>1761.4252317218516</v>
      </c>
      <c r="AI20" s="155">
        <f t="shared" si="14"/>
        <v>1300.8929779254884</v>
      </c>
      <c r="AJ20" s="155">
        <f t="shared" si="15"/>
        <v>1084.0774816045737</v>
      </c>
      <c r="AK20" s="155">
        <f t="shared" si="16"/>
        <v>867.26198528365887</v>
      </c>
      <c r="AL20" s="155">
        <f t="shared" si="1"/>
        <v>9256.7392057454672</v>
      </c>
      <c r="AM20" s="143">
        <f t="shared" si="2"/>
        <v>6836.524658767582</v>
      </c>
    </row>
    <row r="21" spans="1:39" ht="12.75" customHeight="1" x14ac:dyDescent="0.2">
      <c r="A21" s="161">
        <v>5</v>
      </c>
      <c r="B21" s="2358" t="s">
        <v>116</v>
      </c>
      <c r="C21" s="2360" t="s">
        <v>340</v>
      </c>
      <c r="D21" s="933">
        <v>2.2999999999999998</v>
      </c>
      <c r="E21" s="145" t="s">
        <v>39</v>
      </c>
      <c r="F21" s="1659" t="s">
        <v>117</v>
      </c>
      <c r="G21" s="2075">
        <f>120.8/1.73/12.244</f>
        <v>5.7029230313113137</v>
      </c>
      <c r="H21" s="1309">
        <f>120.8/(2*8.484)</f>
        <v>7.1192833569071192</v>
      </c>
      <c r="I21" s="147"/>
      <c r="J21" s="148"/>
      <c r="K21" s="149"/>
      <c r="L21" s="149">
        <v>5</v>
      </c>
      <c r="M21" s="150"/>
      <c r="N21" s="151">
        <f t="shared" si="5"/>
        <v>0.79500000000000004</v>
      </c>
      <c r="O21" s="154">
        <f t="shared" si="6"/>
        <v>2</v>
      </c>
      <c r="P21" s="153">
        <f t="shared" si="7"/>
        <v>7.7438393724499655</v>
      </c>
      <c r="Q21" s="154">
        <f t="shared" si="8"/>
        <v>9.1538709813697476</v>
      </c>
      <c r="R21" s="155">
        <f t="shared" si="17"/>
        <v>2761.8448948054297</v>
      </c>
      <c r="S21" s="361">
        <f t="shared" si="9"/>
        <v>2021.0029218952063</v>
      </c>
      <c r="T21" s="1062">
        <v>1</v>
      </c>
      <c r="U21" s="494" t="s">
        <v>118</v>
      </c>
      <c r="V21" s="494">
        <v>6.3</v>
      </c>
      <c r="W21" s="494">
        <v>11</v>
      </c>
      <c r="X21" s="494">
        <v>35</v>
      </c>
      <c r="Y21" s="494">
        <v>6.3</v>
      </c>
      <c r="Z21" s="153">
        <v>7.64</v>
      </c>
      <c r="AA21" s="152"/>
      <c r="AB21" s="152"/>
      <c r="AC21" s="274">
        <f t="shared" si="10"/>
        <v>14.855555555555556</v>
      </c>
      <c r="AD21" s="151">
        <f t="shared" si="11"/>
        <v>22.572482830963256</v>
      </c>
      <c r="AE21" s="156">
        <f t="shared" si="12"/>
        <v>23.988016297279241</v>
      </c>
      <c r="AF21" s="2132">
        <f t="shared" si="3"/>
        <v>0.73134844372320951</v>
      </c>
      <c r="AG21" s="2133">
        <f t="shared" si="4"/>
        <v>0.77721172803184735</v>
      </c>
      <c r="AH21" s="159">
        <f t="shared" si="13"/>
        <v>947.49360968199437</v>
      </c>
      <c r="AI21" s="155">
        <f t="shared" si="14"/>
        <v>771.21841884434184</v>
      </c>
      <c r="AJ21" s="155">
        <f t="shared" si="15"/>
        <v>642.68201570361828</v>
      </c>
      <c r="AK21" s="155">
        <f t="shared" si="16"/>
        <v>514.1456125628946</v>
      </c>
      <c r="AL21" s="155">
        <f t="shared" si="1"/>
        <v>4979.3207716020725</v>
      </c>
      <c r="AM21" s="143">
        <f t="shared" si="2"/>
        <v>4052.9496485813766</v>
      </c>
    </row>
    <row r="22" spans="1:39" ht="12.75" customHeight="1" x14ac:dyDescent="0.2">
      <c r="A22" s="161">
        <v>5</v>
      </c>
      <c r="B22" s="2359"/>
      <c r="C22" s="2361"/>
      <c r="D22" s="933">
        <v>2.2999999999999998</v>
      </c>
      <c r="E22" s="145" t="s">
        <v>39</v>
      </c>
      <c r="F22" s="1659" t="s">
        <v>117</v>
      </c>
      <c r="G22" s="2075">
        <f>G21</f>
        <v>5.7029230313113137</v>
      </c>
      <c r="H22" s="1309">
        <f>H21</f>
        <v>7.1192833569071192</v>
      </c>
      <c r="I22" s="147"/>
      <c r="J22" s="148"/>
      <c r="K22" s="149"/>
      <c r="L22" s="149">
        <v>5</v>
      </c>
      <c r="M22" s="150"/>
      <c r="N22" s="151">
        <f t="shared" si="5"/>
        <v>0.79500000000000004</v>
      </c>
      <c r="O22" s="154">
        <f t="shared" si="6"/>
        <v>2</v>
      </c>
      <c r="P22" s="153">
        <f t="shared" si="7"/>
        <v>7.7438393724499655</v>
      </c>
      <c r="Q22" s="154">
        <f t="shared" si="8"/>
        <v>9.1538709813697476</v>
      </c>
      <c r="R22" s="155">
        <f t="shared" si="17"/>
        <v>2761.8448948054297</v>
      </c>
      <c r="S22" s="361">
        <f t="shared" si="9"/>
        <v>2021.0029218952063</v>
      </c>
      <c r="T22" s="1062">
        <v>2</v>
      </c>
      <c r="U22" s="494" t="s">
        <v>118</v>
      </c>
      <c r="V22" s="494">
        <v>6.3</v>
      </c>
      <c r="W22" s="494">
        <v>11</v>
      </c>
      <c r="X22" s="494">
        <v>35</v>
      </c>
      <c r="Y22" s="494">
        <v>6.3</v>
      </c>
      <c r="Z22" s="153">
        <v>7.3</v>
      </c>
      <c r="AA22" s="152"/>
      <c r="AB22" s="152"/>
      <c r="AC22" s="274">
        <f t="shared" si="10"/>
        <v>14.194444444444443</v>
      </c>
      <c r="AD22" s="151">
        <f t="shared" si="11"/>
        <v>21.911794252600266</v>
      </c>
      <c r="AE22" s="156">
        <f t="shared" si="12"/>
        <v>23.327278645300925</v>
      </c>
      <c r="AF22" s="2132">
        <f t="shared" si="3"/>
        <v>0.70994213378424864</v>
      </c>
      <c r="AG22" s="2133">
        <f t="shared" si="4"/>
        <v>0.75580382810774993</v>
      </c>
      <c r="AH22" s="159">
        <f t="shared" si="13"/>
        <v>976.06261680082162</v>
      </c>
      <c r="AI22" s="155">
        <f t="shared" si="14"/>
        <v>793.06293208473596</v>
      </c>
      <c r="AJ22" s="155">
        <f t="shared" si="15"/>
        <v>660.88577673728003</v>
      </c>
      <c r="AK22" s="155">
        <f t="shared" si="16"/>
        <v>528.70862138982397</v>
      </c>
      <c r="AL22" s="155">
        <f t="shared" si="1"/>
        <v>5129.4581964007139</v>
      </c>
      <c r="AM22" s="143">
        <f t="shared" si="2"/>
        <v>4167.7481415864504</v>
      </c>
    </row>
    <row r="23" spans="1:39" ht="12.75" customHeight="1" x14ac:dyDescent="0.2">
      <c r="A23" s="161">
        <v>5</v>
      </c>
      <c r="B23" s="2358" t="s">
        <v>349</v>
      </c>
      <c r="C23" s="2362" t="s">
        <v>43</v>
      </c>
      <c r="D23" s="933">
        <v>2.2999999999999998</v>
      </c>
      <c r="E23" s="145" t="s">
        <v>39</v>
      </c>
      <c r="F23" s="146" t="s">
        <v>117</v>
      </c>
      <c r="G23" s="2134">
        <f>G21</f>
        <v>5.7029230313113137</v>
      </c>
      <c r="H23" s="2086">
        <f>H21</f>
        <v>7.1192833569071192</v>
      </c>
      <c r="I23" s="147"/>
      <c r="J23" s="148">
        <v>0.8</v>
      </c>
      <c r="K23" s="149"/>
      <c r="L23" s="149">
        <v>1.85</v>
      </c>
      <c r="M23" s="150"/>
      <c r="N23" s="151">
        <f t="shared" ref="N23:N50" si="18">0.314*I23+0.249*J23+0.195*K23+0.159*L23+0.06*M23</f>
        <v>0.49335000000000007</v>
      </c>
      <c r="O23" s="154">
        <f t="shared" ref="O23:O50" si="19">0.4*SUM(I23:M23)</f>
        <v>1.0600000000000003</v>
      </c>
      <c r="P23" s="153">
        <f t="shared" ref="P23:P50" si="20">SQRT(POWER(N23,2)+POWER(O23+G23,2))</f>
        <v>6.7808939049317836</v>
      </c>
      <c r="Q23" s="154">
        <f t="shared" ref="Q23:Q50" si="21">SQRT(POWER(N23,2)+POWER(O23+H23,2))</f>
        <v>8.1941485497321676</v>
      </c>
      <c r="R23" s="155">
        <f>37000/1.73/SQRT(POWER((G23+O23),2)+N23*N23)</f>
        <v>3154.0507102520987</v>
      </c>
      <c r="S23" s="361">
        <f>37000/2/SQRT(N23*N23+POWER((H23+O23),2))</f>
        <v>2257.7086426636342</v>
      </c>
      <c r="T23" s="1062">
        <v>1</v>
      </c>
      <c r="U23" s="494" t="s">
        <v>50</v>
      </c>
      <c r="V23" s="494">
        <v>6.3</v>
      </c>
      <c r="W23" s="494">
        <v>11</v>
      </c>
      <c r="X23" s="494">
        <v>35</v>
      </c>
      <c r="Y23" s="494">
        <v>6.3</v>
      </c>
      <c r="Z23" s="153">
        <v>7.97</v>
      </c>
      <c r="AA23" s="152"/>
      <c r="AB23" s="152">
        <v>5</v>
      </c>
      <c r="AC23" s="274">
        <f t="shared" ref="AC23:AC50" si="22">Z23/100*X23*X23/V23</f>
        <v>15.497222222222222</v>
      </c>
      <c r="AD23" s="151">
        <f>SQRT(POWER(N23,2)+POWER(O23+AC23+G23,2))</f>
        <v>22.265611622655051</v>
      </c>
      <c r="AE23" s="156">
        <f>SQRT(POWER(N23,2)+POWER(O23+AC23+H23,2))</f>
        <v>23.68164501594099</v>
      </c>
      <c r="AF23" s="2132">
        <f t="shared" si="3"/>
        <v>0.72140581657402358</v>
      </c>
      <c r="AG23" s="2133">
        <f t="shared" si="4"/>
        <v>0.76728529851648808</v>
      </c>
      <c r="AH23" s="159">
        <f>37000/1.73/SQRT(POWER((G23+O23+AC23),2)+N23*N23)</f>
        <v>960.55224529439192</v>
      </c>
      <c r="AI23" s="155">
        <f>37000/2/SQRT(POWER((H23+O23+AC23),2)+N23*N23)</f>
        <v>781.19573144293679</v>
      </c>
      <c r="AJ23" s="155">
        <f t="shared" ref="AJ23:AJ50" si="23">AI23/1.2</f>
        <v>650.99644286911405</v>
      </c>
      <c r="AK23" s="155">
        <f t="shared" ref="AK23:AK50" si="24">AI23/1.5</f>
        <v>520.79715429529119</v>
      </c>
      <c r="AL23" s="155">
        <f t="shared" si="1"/>
        <v>5047.9472350305887</v>
      </c>
      <c r="AM23" s="143">
        <f t="shared" si="2"/>
        <v>4105.3829730484667</v>
      </c>
    </row>
    <row r="24" spans="1:39" ht="12.75" customHeight="1" x14ac:dyDescent="0.2">
      <c r="A24" s="161">
        <v>5</v>
      </c>
      <c r="B24" s="2359"/>
      <c r="C24" s="2363"/>
      <c r="D24" s="933">
        <v>2.2999999999999998</v>
      </c>
      <c r="E24" s="145" t="s">
        <v>39</v>
      </c>
      <c r="F24" s="146" t="s">
        <v>117</v>
      </c>
      <c r="G24" s="2134">
        <f>G22</f>
        <v>5.7029230313113137</v>
      </c>
      <c r="H24" s="2086">
        <f>H22</f>
        <v>7.1192833569071192</v>
      </c>
      <c r="I24" s="147"/>
      <c r="J24" s="148">
        <v>0.8</v>
      </c>
      <c r="K24" s="149"/>
      <c r="L24" s="149">
        <v>1.85</v>
      </c>
      <c r="M24" s="150"/>
      <c r="N24" s="151">
        <f t="shared" si="18"/>
        <v>0.49335000000000007</v>
      </c>
      <c r="O24" s="154">
        <f t="shared" si="19"/>
        <v>1.0600000000000003</v>
      </c>
      <c r="P24" s="153">
        <f t="shared" si="20"/>
        <v>6.7808939049317836</v>
      </c>
      <c r="Q24" s="154">
        <f t="shared" si="21"/>
        <v>8.1941485497321676</v>
      </c>
      <c r="R24" s="155">
        <f>37000/1.73/SQRT(POWER((G24+O24),2)+N24*N24)</f>
        <v>3154.0507102520987</v>
      </c>
      <c r="S24" s="361">
        <f>37000/2/SQRT(N24*N24+POWER((H24+O24),2))</f>
        <v>2257.7086426636342</v>
      </c>
      <c r="T24" s="1062">
        <v>2</v>
      </c>
      <c r="U24" s="494" t="s">
        <v>50</v>
      </c>
      <c r="V24" s="494">
        <v>6.3</v>
      </c>
      <c r="W24" s="494">
        <v>11</v>
      </c>
      <c r="X24" s="494">
        <v>35</v>
      </c>
      <c r="Y24" s="494">
        <v>6.3</v>
      </c>
      <c r="Z24" s="153">
        <v>8.1</v>
      </c>
      <c r="AA24" s="152"/>
      <c r="AB24" s="152">
        <v>5</v>
      </c>
      <c r="AC24" s="274">
        <f t="shared" si="22"/>
        <v>15.75</v>
      </c>
      <c r="AD24" s="151">
        <f>SQRT(POWER(N24,2)+POWER(O24+AC24+G24,2))</f>
        <v>22.518328038205844</v>
      </c>
      <c r="AE24" s="156">
        <f>SQRT(POWER(N24,2)+POWER(O24+AC24+H24,2))</f>
        <v>23.934368514703952</v>
      </c>
      <c r="AF24" s="2132">
        <f t="shared" si="3"/>
        <v>0.72959382843786935</v>
      </c>
      <c r="AG24" s="2133">
        <f t="shared" si="4"/>
        <v>0.77547353987640821</v>
      </c>
      <c r="AH24" s="159">
        <f>37000/1.73/SQRT(POWER((G24+O24+AC24),2)+N24*N24)</f>
        <v>949.77225665721573</v>
      </c>
      <c r="AI24" s="155">
        <f>37000/2/SQRT(POWER((H24+O24+AC24),2)+N24*N24)</f>
        <v>772.94706934234</v>
      </c>
      <c r="AJ24" s="155">
        <f t="shared" si="23"/>
        <v>644.12255778528333</v>
      </c>
      <c r="AK24" s="155">
        <f t="shared" si="24"/>
        <v>515.29804622822667</v>
      </c>
      <c r="AL24" s="155">
        <f t="shared" si="1"/>
        <v>4991.2956430934764</v>
      </c>
      <c r="AM24" s="143">
        <f t="shared" si="2"/>
        <v>4062.0341481954806</v>
      </c>
    </row>
    <row r="25" spans="1:39" ht="12.75" customHeight="1" x14ac:dyDescent="0.2">
      <c r="A25" s="161">
        <v>5</v>
      </c>
      <c r="B25" s="2358" t="s">
        <v>128</v>
      </c>
      <c r="C25" s="2362" t="s">
        <v>43</v>
      </c>
      <c r="D25" s="673">
        <v>2.2999999999999998</v>
      </c>
      <c r="E25" s="145" t="s">
        <v>39</v>
      </c>
      <c r="F25" s="146" t="s">
        <v>45</v>
      </c>
      <c r="G25" s="275">
        <v>6.5380000000000003</v>
      </c>
      <c r="H25" s="162">
        <v>7.4059999999999997</v>
      </c>
      <c r="I25" s="147"/>
      <c r="J25" s="148">
        <v>7.1</v>
      </c>
      <c r="K25" s="149"/>
      <c r="L25" s="149"/>
      <c r="M25" s="150"/>
      <c r="N25" s="151">
        <f t="shared" si="18"/>
        <v>1.7678999999999998</v>
      </c>
      <c r="O25" s="154">
        <f t="shared" si="19"/>
        <v>2.84</v>
      </c>
      <c r="P25" s="153">
        <f t="shared" si="20"/>
        <v>9.5431836621747994</v>
      </c>
      <c r="Q25" s="154">
        <f t="shared" si="21"/>
        <v>10.397402868505191</v>
      </c>
      <c r="R25" s="155">
        <f t="shared" si="17"/>
        <v>2241.1056932462161</v>
      </c>
      <c r="S25" s="361">
        <f t="shared" si="9"/>
        <v>1779.2904857075812</v>
      </c>
      <c r="T25" s="1062">
        <v>1</v>
      </c>
      <c r="U25" s="494" t="s">
        <v>213</v>
      </c>
      <c r="V25" s="494">
        <v>4</v>
      </c>
      <c r="W25" s="494">
        <v>11</v>
      </c>
      <c r="X25" s="494">
        <v>35</v>
      </c>
      <c r="Y25" s="494">
        <v>6.3</v>
      </c>
      <c r="Z25" s="153">
        <v>6.35</v>
      </c>
      <c r="AA25" s="152"/>
      <c r="AB25" s="152">
        <v>5</v>
      </c>
      <c r="AC25" s="274">
        <f t="shared" si="22"/>
        <v>19.446875000000002</v>
      </c>
      <c r="AD25" s="151">
        <f t="shared" si="11"/>
        <v>28.879038924029746</v>
      </c>
      <c r="AE25" s="156">
        <f t="shared" si="12"/>
        <v>29.74545841259847</v>
      </c>
      <c r="AF25" s="157">
        <f t="shared" si="3"/>
        <v>0.93568086113856375</v>
      </c>
      <c r="AG25" s="158">
        <f t="shared" si="4"/>
        <v>0.96375285256819043</v>
      </c>
      <c r="AH25" s="159">
        <f t="shared" si="13"/>
        <v>740.58154404848392</v>
      </c>
      <c r="AI25" s="155">
        <f t="shared" si="14"/>
        <v>621.9436844235845</v>
      </c>
      <c r="AJ25" s="155">
        <f t="shared" si="23"/>
        <v>518.28640368632045</v>
      </c>
      <c r="AK25" s="155">
        <f t="shared" si="24"/>
        <v>414.62912294905635</v>
      </c>
      <c r="AL25" s="155">
        <f t="shared" si="1"/>
        <v>3891.9450513058468</v>
      </c>
      <c r="AM25" s="143">
        <f t="shared" si="2"/>
        <v>3268.4728160398586</v>
      </c>
    </row>
    <row r="26" spans="1:39" ht="12.75" customHeight="1" x14ac:dyDescent="0.2">
      <c r="A26" s="161">
        <v>5</v>
      </c>
      <c r="B26" s="2359"/>
      <c r="C26" s="2363"/>
      <c r="D26" s="673">
        <v>2.2999999999999998</v>
      </c>
      <c r="E26" s="145" t="s">
        <v>39</v>
      </c>
      <c r="F26" s="146" t="s">
        <v>45</v>
      </c>
      <c r="G26" s="275">
        <v>6.5380000000000003</v>
      </c>
      <c r="H26" s="162">
        <v>7.4059999999999997</v>
      </c>
      <c r="I26" s="147"/>
      <c r="J26" s="148">
        <v>7.1</v>
      </c>
      <c r="K26" s="149"/>
      <c r="L26" s="149"/>
      <c r="M26" s="150"/>
      <c r="N26" s="151">
        <f t="shared" si="18"/>
        <v>1.7678999999999998</v>
      </c>
      <c r="O26" s="154">
        <f t="shared" si="19"/>
        <v>2.84</v>
      </c>
      <c r="P26" s="153">
        <f t="shared" si="20"/>
        <v>9.5431836621747994</v>
      </c>
      <c r="Q26" s="154">
        <f t="shared" si="21"/>
        <v>10.397402868505191</v>
      </c>
      <c r="R26" s="155">
        <f t="shared" si="17"/>
        <v>2241.1056932462161</v>
      </c>
      <c r="S26" s="361">
        <f t="shared" si="9"/>
        <v>1779.2904857075812</v>
      </c>
      <c r="T26" s="1062">
        <v>2</v>
      </c>
      <c r="U26" s="494" t="s">
        <v>213</v>
      </c>
      <c r="V26" s="494">
        <v>4</v>
      </c>
      <c r="W26" s="494">
        <v>11</v>
      </c>
      <c r="X26" s="494">
        <v>35</v>
      </c>
      <c r="Y26" s="494">
        <v>6.3</v>
      </c>
      <c r="Z26" s="153">
        <v>6.35</v>
      </c>
      <c r="AA26" s="152"/>
      <c r="AB26" s="152">
        <v>5</v>
      </c>
      <c r="AC26" s="274">
        <f t="shared" si="22"/>
        <v>19.446875000000002</v>
      </c>
      <c r="AD26" s="151">
        <f t="shared" si="11"/>
        <v>28.879038924029746</v>
      </c>
      <c r="AE26" s="156">
        <f t="shared" si="12"/>
        <v>29.74545841259847</v>
      </c>
      <c r="AF26" s="157">
        <f t="shared" si="3"/>
        <v>0.93568086113856375</v>
      </c>
      <c r="AG26" s="158">
        <f t="shared" si="4"/>
        <v>0.96375285256819043</v>
      </c>
      <c r="AH26" s="159">
        <f t="shared" si="13"/>
        <v>740.58154404848392</v>
      </c>
      <c r="AI26" s="155">
        <f t="shared" si="14"/>
        <v>621.9436844235845</v>
      </c>
      <c r="AJ26" s="155">
        <f t="shared" si="23"/>
        <v>518.28640368632045</v>
      </c>
      <c r="AK26" s="155">
        <f t="shared" si="24"/>
        <v>414.62912294905635</v>
      </c>
      <c r="AL26" s="155">
        <f t="shared" si="1"/>
        <v>3891.9450513058468</v>
      </c>
      <c r="AM26" s="143">
        <f t="shared" si="2"/>
        <v>3268.4728160398586</v>
      </c>
    </row>
    <row r="27" spans="1:39" ht="12.75" customHeight="1" x14ac:dyDescent="0.2">
      <c r="A27" s="161">
        <v>5</v>
      </c>
      <c r="B27" s="2358" t="s">
        <v>138</v>
      </c>
      <c r="C27" s="2362" t="s">
        <v>43</v>
      </c>
      <c r="D27" s="673">
        <v>1.3</v>
      </c>
      <c r="E27" s="145" t="s">
        <v>39</v>
      </c>
      <c r="F27" s="146" t="s">
        <v>115</v>
      </c>
      <c r="G27" s="275">
        <v>4.2770000000000001</v>
      </c>
      <c r="H27" s="162">
        <v>6.3559999999999999</v>
      </c>
      <c r="I27" s="147"/>
      <c r="J27" s="148"/>
      <c r="K27" s="149">
        <v>3.94</v>
      </c>
      <c r="L27" s="149"/>
      <c r="M27" s="150"/>
      <c r="N27" s="151">
        <f t="shared" si="18"/>
        <v>0.76829999999999998</v>
      </c>
      <c r="O27" s="154">
        <f t="shared" si="19"/>
        <v>1.5760000000000001</v>
      </c>
      <c r="P27" s="153">
        <f t="shared" si="20"/>
        <v>5.9032104731239254</v>
      </c>
      <c r="Q27" s="154">
        <f t="shared" si="21"/>
        <v>7.9691222157775954</v>
      </c>
      <c r="R27" s="155">
        <f t="shared" ref="R27:R38" si="25">37000/1.73/SQRT(POWER((G27+O27),2)+N27*N27)</f>
        <v>3622.9918168030799</v>
      </c>
      <c r="S27" s="361">
        <f t="shared" ref="S27:S38" si="26">37000/2/SQRT(N27*N27+POWER((H27+O27),2))</f>
        <v>2321.460193366459</v>
      </c>
      <c r="T27" s="1062">
        <v>1</v>
      </c>
      <c r="U27" s="494" t="s">
        <v>85</v>
      </c>
      <c r="V27" s="494">
        <v>4</v>
      </c>
      <c r="W27" s="494">
        <v>11</v>
      </c>
      <c r="X27" s="494">
        <v>35</v>
      </c>
      <c r="Y27" s="494">
        <v>6.3</v>
      </c>
      <c r="Z27" s="153">
        <v>6.27</v>
      </c>
      <c r="AA27" s="152"/>
      <c r="AB27" s="152">
        <v>5</v>
      </c>
      <c r="AC27" s="274">
        <f t="shared" si="22"/>
        <v>19.201874999999998</v>
      </c>
      <c r="AD27" s="151">
        <f t="shared" ref="AD27:AD38" si="27">SQRT(POWER(N27,2)+POWER(O27+AC27+G27,2))</f>
        <v>25.066652073135433</v>
      </c>
      <c r="AE27" s="156">
        <f t="shared" ref="AE27:AE38" si="28">SQRT(POWER(N27,2)+POWER(O27+AC27+H27,2))</f>
        <v>27.144750089209236</v>
      </c>
      <c r="AF27" s="157">
        <f t="shared" si="3"/>
        <v>0.81215952716958795</v>
      </c>
      <c r="AG27" s="158">
        <f t="shared" si="4"/>
        <v>0.8794899028903792</v>
      </c>
      <c r="AH27" s="159">
        <f t="shared" ref="AH27:AH38" si="29">37000/1.73/SQRT(POWER((G27+O27+AC27),2)+N27*N27)</f>
        <v>853.21658331530898</v>
      </c>
      <c r="AI27" s="155">
        <f t="shared" ref="AI27:AI38" si="30">37000/2/SQRT(POWER((H27+O27+AC27),2)+N27*N27)</f>
        <v>681.53141727962509</v>
      </c>
      <c r="AJ27" s="155">
        <f t="shared" si="23"/>
        <v>567.94284773302093</v>
      </c>
      <c r="AK27" s="155">
        <f t="shared" si="24"/>
        <v>454.35427818641671</v>
      </c>
      <c r="AL27" s="155">
        <f t="shared" si="1"/>
        <v>4483.8709333387114</v>
      </c>
      <c r="AM27" s="143">
        <f t="shared" si="2"/>
        <v>3581.621562280312</v>
      </c>
    </row>
    <row r="28" spans="1:39" ht="12.75" customHeight="1" x14ac:dyDescent="0.2">
      <c r="A28" s="161">
        <v>5</v>
      </c>
      <c r="B28" s="2359"/>
      <c r="C28" s="2363"/>
      <c r="D28" s="673">
        <v>1.3</v>
      </c>
      <c r="E28" s="145" t="s">
        <v>39</v>
      </c>
      <c r="F28" s="146" t="s">
        <v>115</v>
      </c>
      <c r="G28" s="275">
        <v>4.2770000000000001</v>
      </c>
      <c r="H28" s="162">
        <v>6.3559999999999999</v>
      </c>
      <c r="I28" s="147"/>
      <c r="J28" s="148"/>
      <c r="K28" s="149">
        <v>3.94</v>
      </c>
      <c r="L28" s="149"/>
      <c r="M28" s="150"/>
      <c r="N28" s="151">
        <f t="shared" si="18"/>
        <v>0.76829999999999998</v>
      </c>
      <c r="O28" s="154">
        <f t="shared" si="19"/>
        <v>1.5760000000000001</v>
      </c>
      <c r="P28" s="153">
        <f t="shared" si="20"/>
        <v>5.9032104731239254</v>
      </c>
      <c r="Q28" s="154">
        <f t="shared" si="21"/>
        <v>7.9691222157775954</v>
      </c>
      <c r="R28" s="155">
        <f t="shared" si="25"/>
        <v>3622.9918168030799</v>
      </c>
      <c r="S28" s="361">
        <f t="shared" si="26"/>
        <v>2321.460193366459</v>
      </c>
      <c r="T28" s="1062">
        <v>2</v>
      </c>
      <c r="U28" s="494" t="s">
        <v>85</v>
      </c>
      <c r="V28" s="494">
        <v>4</v>
      </c>
      <c r="W28" s="494">
        <v>11</v>
      </c>
      <c r="X28" s="494">
        <v>35</v>
      </c>
      <c r="Y28" s="494">
        <v>6.3</v>
      </c>
      <c r="Z28" s="153">
        <v>6.27</v>
      </c>
      <c r="AA28" s="152"/>
      <c r="AB28" s="152">
        <v>5</v>
      </c>
      <c r="AC28" s="274">
        <f t="shared" si="22"/>
        <v>19.201874999999998</v>
      </c>
      <c r="AD28" s="151">
        <f t="shared" si="27"/>
        <v>25.066652073135433</v>
      </c>
      <c r="AE28" s="156">
        <f t="shared" si="28"/>
        <v>27.144750089209236</v>
      </c>
      <c r="AF28" s="157">
        <f t="shared" si="3"/>
        <v>0.81215952716958795</v>
      </c>
      <c r="AG28" s="158">
        <f t="shared" si="4"/>
        <v>0.8794899028903792</v>
      </c>
      <c r="AH28" s="159">
        <f t="shared" si="29"/>
        <v>853.21658331530898</v>
      </c>
      <c r="AI28" s="155">
        <f t="shared" si="30"/>
        <v>681.53141727962509</v>
      </c>
      <c r="AJ28" s="155">
        <f t="shared" si="23"/>
        <v>567.94284773302093</v>
      </c>
      <c r="AK28" s="155">
        <f t="shared" si="24"/>
        <v>454.35427818641671</v>
      </c>
      <c r="AL28" s="155">
        <f t="shared" si="1"/>
        <v>4483.8709333387114</v>
      </c>
      <c r="AM28" s="143">
        <f t="shared" si="2"/>
        <v>3581.621562280312</v>
      </c>
    </row>
    <row r="29" spans="1:39" ht="12.75" customHeight="1" x14ac:dyDescent="0.2">
      <c r="A29" s="161">
        <v>5</v>
      </c>
      <c r="B29" s="2358" t="s">
        <v>139</v>
      </c>
      <c r="C29" s="2362" t="s">
        <v>43</v>
      </c>
      <c r="D29" s="933">
        <v>4.5</v>
      </c>
      <c r="E29" s="145" t="s">
        <v>39</v>
      </c>
      <c r="F29" s="146" t="s">
        <v>117</v>
      </c>
      <c r="G29" s="2134">
        <f>G21</f>
        <v>5.7029230313113137</v>
      </c>
      <c r="H29" s="2086">
        <f>H21</f>
        <v>7.1192833569071192</v>
      </c>
      <c r="I29" s="147"/>
      <c r="J29" s="148">
        <v>5.9</v>
      </c>
      <c r="K29" s="149">
        <v>3.1</v>
      </c>
      <c r="L29" s="149"/>
      <c r="M29" s="150"/>
      <c r="N29" s="151">
        <f t="shared" si="18"/>
        <v>2.0735999999999999</v>
      </c>
      <c r="O29" s="154">
        <f t="shared" si="19"/>
        <v>3.6</v>
      </c>
      <c r="P29" s="153">
        <f t="shared" si="20"/>
        <v>9.5312220563001517</v>
      </c>
      <c r="Q29" s="154">
        <f t="shared" si="21"/>
        <v>10.918005891446752</v>
      </c>
      <c r="R29" s="155">
        <f t="shared" si="25"/>
        <v>2243.9182625964731</v>
      </c>
      <c r="S29" s="361">
        <f t="shared" si="26"/>
        <v>1694.4486185424244</v>
      </c>
      <c r="T29" s="1062">
        <v>1</v>
      </c>
      <c r="U29" s="494" t="s">
        <v>50</v>
      </c>
      <c r="V29" s="494">
        <v>6.3</v>
      </c>
      <c r="W29" s="494">
        <v>11</v>
      </c>
      <c r="X29" s="494">
        <v>35</v>
      </c>
      <c r="Y29" s="494">
        <v>6.3</v>
      </c>
      <c r="Z29" s="153">
        <v>7.4</v>
      </c>
      <c r="AA29" s="152"/>
      <c r="AB29" s="152"/>
      <c r="AC29" s="274">
        <f t="shared" si="22"/>
        <v>14.388888888888891</v>
      </c>
      <c r="AD29" s="151">
        <f t="shared" si="27"/>
        <v>23.78238358580024</v>
      </c>
      <c r="AE29" s="156">
        <f t="shared" si="28"/>
        <v>25.193652583231376</v>
      </c>
      <c r="AF29" s="2132">
        <f t="shared" si="3"/>
        <v>0.77054922817992777</v>
      </c>
      <c r="AG29" s="2133">
        <f t="shared" si="4"/>
        <v>0.81627434369669671</v>
      </c>
      <c r="AH29" s="159">
        <f t="shared" si="29"/>
        <v>899.29098821549303</v>
      </c>
      <c r="AI29" s="155">
        <f t="shared" si="30"/>
        <v>734.3119438073619</v>
      </c>
      <c r="AJ29" s="155">
        <f t="shared" si="23"/>
        <v>611.92661983946823</v>
      </c>
      <c r="AK29" s="155">
        <f t="shared" si="24"/>
        <v>489.54129587157462</v>
      </c>
      <c r="AL29" s="155">
        <f t="shared" si="1"/>
        <v>4726.0036918231617</v>
      </c>
      <c r="AM29" s="143">
        <f t="shared" si="2"/>
        <v>3858.9967016903406</v>
      </c>
    </row>
    <row r="30" spans="1:39" ht="12.75" customHeight="1" x14ac:dyDescent="0.2">
      <c r="A30" s="161">
        <v>5</v>
      </c>
      <c r="B30" s="2359"/>
      <c r="C30" s="2363"/>
      <c r="D30" s="933">
        <v>4.5</v>
      </c>
      <c r="E30" s="145" t="s">
        <v>39</v>
      </c>
      <c r="F30" s="146" t="s">
        <v>117</v>
      </c>
      <c r="G30" s="2134">
        <f>G22</f>
        <v>5.7029230313113137</v>
      </c>
      <c r="H30" s="2086">
        <f>H22</f>
        <v>7.1192833569071192</v>
      </c>
      <c r="I30" s="147"/>
      <c r="J30" s="148">
        <v>5.9</v>
      </c>
      <c r="K30" s="149">
        <v>3.1</v>
      </c>
      <c r="L30" s="149"/>
      <c r="M30" s="150"/>
      <c r="N30" s="151">
        <f t="shared" si="18"/>
        <v>2.0735999999999999</v>
      </c>
      <c r="O30" s="154">
        <f t="shared" si="19"/>
        <v>3.6</v>
      </c>
      <c r="P30" s="153">
        <f t="shared" si="20"/>
        <v>9.5312220563001517</v>
      </c>
      <c r="Q30" s="154">
        <f t="shared" si="21"/>
        <v>10.918005891446752</v>
      </c>
      <c r="R30" s="155">
        <f t="shared" si="25"/>
        <v>2243.9182625964731</v>
      </c>
      <c r="S30" s="361">
        <f t="shared" si="26"/>
        <v>1694.4486185424244</v>
      </c>
      <c r="T30" s="1062">
        <v>2</v>
      </c>
      <c r="U30" s="494" t="s">
        <v>50</v>
      </c>
      <c r="V30" s="494">
        <v>6.3</v>
      </c>
      <c r="W30" s="494">
        <v>11</v>
      </c>
      <c r="X30" s="494">
        <v>35</v>
      </c>
      <c r="Y30" s="494">
        <v>6.3</v>
      </c>
      <c r="Z30" s="153">
        <v>7.4</v>
      </c>
      <c r="AA30" s="152"/>
      <c r="AB30" s="152"/>
      <c r="AC30" s="274">
        <f t="shared" si="22"/>
        <v>14.388888888888891</v>
      </c>
      <c r="AD30" s="151">
        <f t="shared" si="27"/>
        <v>23.78238358580024</v>
      </c>
      <c r="AE30" s="156">
        <f t="shared" si="28"/>
        <v>25.193652583231376</v>
      </c>
      <c r="AF30" s="2132">
        <f t="shared" si="3"/>
        <v>0.77054922817992777</v>
      </c>
      <c r="AG30" s="2133">
        <f t="shared" si="4"/>
        <v>0.81627434369669671</v>
      </c>
      <c r="AH30" s="159">
        <f t="shared" si="29"/>
        <v>899.29098821549303</v>
      </c>
      <c r="AI30" s="155">
        <f t="shared" si="30"/>
        <v>734.3119438073619</v>
      </c>
      <c r="AJ30" s="155">
        <f t="shared" si="23"/>
        <v>611.92661983946823</v>
      </c>
      <c r="AK30" s="155">
        <f t="shared" si="24"/>
        <v>489.54129587157462</v>
      </c>
      <c r="AL30" s="155">
        <f t="shared" si="1"/>
        <v>4726.0036918231617</v>
      </c>
      <c r="AM30" s="143">
        <f t="shared" si="2"/>
        <v>3858.9967016903406</v>
      </c>
    </row>
    <row r="31" spans="1:39" ht="12.75" customHeight="1" x14ac:dyDescent="0.2">
      <c r="A31" s="161">
        <v>5</v>
      </c>
      <c r="B31" s="2358" t="s">
        <v>350</v>
      </c>
      <c r="C31" s="2362" t="s">
        <v>341</v>
      </c>
      <c r="D31" s="933">
        <v>4.5</v>
      </c>
      <c r="E31" s="145" t="s">
        <v>39</v>
      </c>
      <c r="F31" s="146" t="s">
        <v>117</v>
      </c>
      <c r="G31" s="2134">
        <f>G21</f>
        <v>5.7029230313113137</v>
      </c>
      <c r="H31" s="2086">
        <f>H21</f>
        <v>7.1192833569071192</v>
      </c>
      <c r="I31" s="147"/>
      <c r="J31" s="148">
        <v>8.73</v>
      </c>
      <c r="K31" s="149">
        <v>3.1</v>
      </c>
      <c r="L31" s="149"/>
      <c r="M31" s="150"/>
      <c r="N31" s="151">
        <f t="shared" si="18"/>
        <v>2.77827</v>
      </c>
      <c r="O31" s="154">
        <f t="shared" si="19"/>
        <v>4.7320000000000002</v>
      </c>
      <c r="P31" s="153">
        <f t="shared" si="20"/>
        <v>10.798444464935276</v>
      </c>
      <c r="Q31" s="154">
        <f t="shared" si="21"/>
        <v>12.172579899043738</v>
      </c>
      <c r="R31" s="155">
        <f t="shared" si="25"/>
        <v>1980.5892697270458</v>
      </c>
      <c r="S31" s="361">
        <f t="shared" si="26"/>
        <v>1519.8092888635165</v>
      </c>
      <c r="T31" s="1062">
        <v>1</v>
      </c>
      <c r="U31" s="494" t="s">
        <v>50</v>
      </c>
      <c r="V31" s="494">
        <v>6.3</v>
      </c>
      <c r="W31" s="494">
        <v>11</v>
      </c>
      <c r="X31" s="494">
        <v>35</v>
      </c>
      <c r="Y31" s="494">
        <v>6.3</v>
      </c>
      <c r="Z31" s="153">
        <v>7.96</v>
      </c>
      <c r="AA31" s="152"/>
      <c r="AB31" s="152"/>
      <c r="AC31" s="274">
        <f t="shared" si="22"/>
        <v>15.47777777777778</v>
      </c>
      <c r="AD31" s="151">
        <f t="shared" si="27"/>
        <v>26.06121346780051</v>
      </c>
      <c r="AE31" s="156">
        <f t="shared" si="28"/>
        <v>27.469917486156465</v>
      </c>
      <c r="AF31" s="2132">
        <f t="shared" si="3"/>
        <v>0.84438331635673647</v>
      </c>
      <c r="AG31" s="2133">
        <f t="shared" si="4"/>
        <v>0.89002532655146938</v>
      </c>
      <c r="AH31" s="159">
        <f t="shared" si="29"/>
        <v>820.65569446407062</v>
      </c>
      <c r="AI31" s="155">
        <f t="shared" si="30"/>
        <v>673.46398143799024</v>
      </c>
      <c r="AJ31" s="155">
        <f t="shared" si="23"/>
        <v>561.21998453165861</v>
      </c>
      <c r="AK31" s="155">
        <f t="shared" si="24"/>
        <v>448.97598762532681</v>
      </c>
      <c r="AL31" s="155">
        <f t="shared" si="1"/>
        <v>4312.7551510874591</v>
      </c>
      <c r="AM31" s="143">
        <f t="shared" si="2"/>
        <v>3539.2251276771262</v>
      </c>
    </row>
    <row r="32" spans="1:39" ht="12.75" customHeight="1" x14ac:dyDescent="0.2">
      <c r="A32" s="161">
        <v>5</v>
      </c>
      <c r="B32" s="2359"/>
      <c r="C32" s="2363"/>
      <c r="D32" s="933">
        <v>4.5</v>
      </c>
      <c r="E32" s="145" t="s">
        <v>39</v>
      </c>
      <c r="F32" s="146" t="s">
        <v>117</v>
      </c>
      <c r="G32" s="2134">
        <f>G22</f>
        <v>5.7029230313113137</v>
      </c>
      <c r="H32" s="2086">
        <f>H22</f>
        <v>7.1192833569071192</v>
      </c>
      <c r="I32" s="147"/>
      <c r="J32" s="148">
        <v>8.73</v>
      </c>
      <c r="K32" s="149">
        <v>3.1</v>
      </c>
      <c r="L32" s="149"/>
      <c r="M32" s="150"/>
      <c r="N32" s="151">
        <f t="shared" si="18"/>
        <v>2.77827</v>
      </c>
      <c r="O32" s="154">
        <f t="shared" si="19"/>
        <v>4.7320000000000002</v>
      </c>
      <c r="P32" s="153">
        <f t="shared" si="20"/>
        <v>10.798444464935276</v>
      </c>
      <c r="Q32" s="154">
        <f t="shared" si="21"/>
        <v>12.172579899043738</v>
      </c>
      <c r="R32" s="155">
        <f t="shared" si="25"/>
        <v>1980.5892697270458</v>
      </c>
      <c r="S32" s="361">
        <f t="shared" si="26"/>
        <v>1519.8092888635165</v>
      </c>
      <c r="T32" s="1062">
        <v>2</v>
      </c>
      <c r="U32" s="494" t="s">
        <v>50</v>
      </c>
      <c r="V32" s="494">
        <v>6.3</v>
      </c>
      <c r="W32" s="494">
        <v>11</v>
      </c>
      <c r="X32" s="494">
        <v>35</v>
      </c>
      <c r="Y32" s="494">
        <v>6.3</v>
      </c>
      <c r="Z32" s="153">
        <v>8.01</v>
      </c>
      <c r="AA32" s="152"/>
      <c r="AB32" s="152"/>
      <c r="AC32" s="274">
        <f t="shared" si="22"/>
        <v>15.575000000000001</v>
      </c>
      <c r="AD32" s="151">
        <f t="shared" si="27"/>
        <v>26.157883711945026</v>
      </c>
      <c r="AE32" s="156">
        <f t="shared" si="28"/>
        <v>27.56664293972446</v>
      </c>
      <c r="AF32" s="2132">
        <f t="shared" si="3"/>
        <v>0.84751543226701875</v>
      </c>
      <c r="AG32" s="2133">
        <f t="shared" si="4"/>
        <v>0.89315923124707242</v>
      </c>
      <c r="AH32" s="159">
        <f t="shared" si="29"/>
        <v>817.62284260128024</v>
      </c>
      <c r="AI32" s="155">
        <f t="shared" si="30"/>
        <v>671.10094038113277</v>
      </c>
      <c r="AJ32" s="155">
        <f t="shared" si="23"/>
        <v>559.25078365094396</v>
      </c>
      <c r="AK32" s="155">
        <f t="shared" si="24"/>
        <v>447.4006269207552</v>
      </c>
      <c r="AL32" s="155">
        <f t="shared" si="1"/>
        <v>4296.8167403971192</v>
      </c>
      <c r="AM32" s="143">
        <f t="shared" si="2"/>
        <v>3526.8067437446921</v>
      </c>
    </row>
    <row r="33" spans="1:39" s="1261" customFormat="1" ht="12.75" hidden="1" customHeight="1" x14ac:dyDescent="0.2">
      <c r="A33" s="2043">
        <v>5</v>
      </c>
      <c r="B33" s="2514" t="s">
        <v>141</v>
      </c>
      <c r="C33" s="2516" t="s">
        <v>43</v>
      </c>
      <c r="D33" s="2068">
        <v>4.5</v>
      </c>
      <c r="E33" s="2069" t="s">
        <v>39</v>
      </c>
      <c r="F33" s="2046" t="s">
        <v>117</v>
      </c>
      <c r="G33" s="2047">
        <v>4.0049999999999999</v>
      </c>
      <c r="H33" s="2070">
        <v>4.9589999999999996</v>
      </c>
      <c r="I33" s="2049"/>
      <c r="J33" s="2050">
        <v>4.53</v>
      </c>
      <c r="K33" s="2051">
        <v>3.1</v>
      </c>
      <c r="L33" s="2051"/>
      <c r="M33" s="2071"/>
      <c r="N33" s="2062">
        <f t="shared" si="18"/>
        <v>1.7324700000000002</v>
      </c>
      <c r="O33" s="2054">
        <f t="shared" si="19"/>
        <v>3.0520000000000005</v>
      </c>
      <c r="P33" s="2055">
        <f t="shared" si="20"/>
        <v>7.2665467246072257</v>
      </c>
      <c r="Q33" s="2054">
        <f t="shared" si="21"/>
        <v>8.1961926100415656</v>
      </c>
      <c r="R33" s="2056">
        <f t="shared" si="25"/>
        <v>2943.2526958877088</v>
      </c>
      <c r="S33" s="2057">
        <f t="shared" si="26"/>
        <v>2257.1455894453634</v>
      </c>
      <c r="T33" s="2058">
        <v>1</v>
      </c>
      <c r="U33" s="2059" t="s">
        <v>85</v>
      </c>
      <c r="V33" s="2059">
        <v>4</v>
      </c>
      <c r="W33" s="2059">
        <v>11</v>
      </c>
      <c r="X33" s="2059">
        <v>35</v>
      </c>
      <c r="Y33" s="2059">
        <v>6.3</v>
      </c>
      <c r="Z33" s="2055">
        <v>6.44</v>
      </c>
      <c r="AA33" s="2060"/>
      <c r="AB33" s="2060">
        <v>5</v>
      </c>
      <c r="AC33" s="2061">
        <f t="shared" si="22"/>
        <v>19.7225</v>
      </c>
      <c r="AD33" s="2062">
        <f t="shared" si="27"/>
        <v>26.835481597148579</v>
      </c>
      <c r="AE33" s="2063">
        <f t="shared" si="28"/>
        <v>27.787559708454069</v>
      </c>
      <c r="AF33" s="2064">
        <f t="shared" si="3"/>
        <v>0.86946960374761395</v>
      </c>
      <c r="AG33" s="2065">
        <f t="shared" si="4"/>
        <v>0.90031693455391182</v>
      </c>
      <c r="AH33" s="2066">
        <f t="shared" si="29"/>
        <v>796.97780565513449</v>
      </c>
      <c r="AI33" s="2056">
        <f t="shared" si="30"/>
        <v>665.76555099120753</v>
      </c>
      <c r="AJ33" s="2056">
        <f t="shared" si="23"/>
        <v>554.80462582600626</v>
      </c>
      <c r="AK33" s="2056">
        <f t="shared" si="24"/>
        <v>443.84370066080504</v>
      </c>
      <c r="AL33" s="2056">
        <f t="shared" si="1"/>
        <v>4188.3218014909471</v>
      </c>
      <c r="AM33" s="2067">
        <f t="shared" si="2"/>
        <v>3498.7679106144537</v>
      </c>
    </row>
    <row r="34" spans="1:39" s="1261" customFormat="1" ht="12" hidden="1" customHeight="1" x14ac:dyDescent="0.2">
      <c r="A34" s="2043">
        <v>5</v>
      </c>
      <c r="B34" s="2515"/>
      <c r="C34" s="2517"/>
      <c r="D34" s="2068">
        <v>4.5</v>
      </c>
      <c r="E34" s="2069" t="s">
        <v>39</v>
      </c>
      <c r="F34" s="2046" t="s">
        <v>117</v>
      </c>
      <c r="G34" s="2047">
        <v>4.0049999999999999</v>
      </c>
      <c r="H34" s="2070">
        <v>4.9589999999999996</v>
      </c>
      <c r="I34" s="2049"/>
      <c r="J34" s="2050">
        <v>4.53</v>
      </c>
      <c r="K34" s="2051">
        <v>3.1</v>
      </c>
      <c r="L34" s="2051"/>
      <c r="M34" s="2071"/>
      <c r="N34" s="2062">
        <f t="shared" si="18"/>
        <v>1.7324700000000002</v>
      </c>
      <c r="O34" s="2054">
        <f t="shared" si="19"/>
        <v>3.0520000000000005</v>
      </c>
      <c r="P34" s="2055">
        <f t="shared" si="20"/>
        <v>7.2665467246072257</v>
      </c>
      <c r="Q34" s="2054">
        <f t="shared" si="21"/>
        <v>8.1961926100415656</v>
      </c>
      <c r="R34" s="2056">
        <f t="shared" si="25"/>
        <v>2943.2526958877088</v>
      </c>
      <c r="S34" s="2057">
        <f t="shared" si="26"/>
        <v>2257.1455894453634</v>
      </c>
      <c r="T34" s="2058">
        <v>2</v>
      </c>
      <c r="U34" s="2059" t="s">
        <v>85</v>
      </c>
      <c r="V34" s="2059">
        <v>4</v>
      </c>
      <c r="W34" s="2059">
        <v>11</v>
      </c>
      <c r="X34" s="2059">
        <v>35</v>
      </c>
      <c r="Y34" s="2059">
        <v>6.3</v>
      </c>
      <c r="Z34" s="2055">
        <v>6.44</v>
      </c>
      <c r="AA34" s="2060"/>
      <c r="AB34" s="2060">
        <v>5</v>
      </c>
      <c r="AC34" s="2061">
        <f t="shared" si="22"/>
        <v>19.7225</v>
      </c>
      <c r="AD34" s="2062">
        <f t="shared" si="27"/>
        <v>26.835481597148579</v>
      </c>
      <c r="AE34" s="2063">
        <f t="shared" si="28"/>
        <v>27.787559708454069</v>
      </c>
      <c r="AF34" s="2064">
        <f t="shared" si="3"/>
        <v>0.86946960374761395</v>
      </c>
      <c r="AG34" s="2065">
        <f t="shared" si="4"/>
        <v>0.90031693455391182</v>
      </c>
      <c r="AH34" s="2066">
        <f t="shared" si="29"/>
        <v>796.97780565513449</v>
      </c>
      <c r="AI34" s="2056">
        <f t="shared" si="30"/>
        <v>665.76555099120753</v>
      </c>
      <c r="AJ34" s="2056">
        <f t="shared" si="23"/>
        <v>554.80462582600626</v>
      </c>
      <c r="AK34" s="2056">
        <f t="shared" si="24"/>
        <v>443.84370066080504</v>
      </c>
      <c r="AL34" s="2056">
        <f t="shared" si="1"/>
        <v>4188.3218014909471</v>
      </c>
      <c r="AM34" s="2067">
        <f t="shared" si="2"/>
        <v>3498.7679106144537</v>
      </c>
    </row>
    <row r="35" spans="1:39" ht="12.75" customHeight="1" x14ac:dyDescent="0.2">
      <c r="A35" s="161">
        <v>5</v>
      </c>
      <c r="B35" s="2358" t="s">
        <v>124</v>
      </c>
      <c r="C35" s="2360" t="s">
        <v>340</v>
      </c>
      <c r="D35" s="673">
        <v>2.5</v>
      </c>
      <c r="E35" s="145" t="s">
        <v>39</v>
      </c>
      <c r="F35" s="146" t="s">
        <v>112</v>
      </c>
      <c r="G35" s="275">
        <v>3.9750000000000001</v>
      </c>
      <c r="H35" s="162">
        <v>5.0359999999999996</v>
      </c>
      <c r="I35" s="147"/>
      <c r="J35" s="148"/>
      <c r="K35" s="149">
        <v>3.42</v>
      </c>
      <c r="L35" s="149"/>
      <c r="M35" s="496"/>
      <c r="N35" s="151">
        <f t="shared" si="18"/>
        <v>0.66690000000000005</v>
      </c>
      <c r="O35" s="154">
        <f t="shared" si="19"/>
        <v>1.3680000000000001</v>
      </c>
      <c r="P35" s="153">
        <f t="shared" si="20"/>
        <v>5.3844595466954717</v>
      </c>
      <c r="Q35" s="154">
        <f t="shared" si="21"/>
        <v>6.4386311907112681</v>
      </c>
      <c r="R35" s="155">
        <f t="shared" si="25"/>
        <v>3972.0389858105509</v>
      </c>
      <c r="S35" s="361">
        <f t="shared" si="26"/>
        <v>2873.2815177687366</v>
      </c>
      <c r="T35" s="1062">
        <v>1</v>
      </c>
      <c r="U35" s="494" t="s">
        <v>118</v>
      </c>
      <c r="V35" s="494">
        <v>6.3</v>
      </c>
      <c r="W35" s="494">
        <v>11</v>
      </c>
      <c r="X35" s="494">
        <v>35</v>
      </c>
      <c r="Y35" s="494">
        <v>6.3</v>
      </c>
      <c r="Z35" s="153">
        <v>8</v>
      </c>
      <c r="AA35" s="152"/>
      <c r="AB35" s="152"/>
      <c r="AC35" s="274">
        <f t="shared" si="22"/>
        <v>15.555555555555559</v>
      </c>
      <c r="AD35" s="151">
        <f t="shared" si="27"/>
        <v>20.90919366973873</v>
      </c>
      <c r="AE35" s="156">
        <f t="shared" si="28"/>
        <v>21.969679920461544</v>
      </c>
      <c r="AF35" s="157">
        <f t="shared" si="3"/>
        <v>0.6774578748995348</v>
      </c>
      <c r="AG35" s="158">
        <f t="shared" si="4"/>
        <v>0.71181762942295401</v>
      </c>
      <c r="AH35" s="159">
        <f t="shared" si="29"/>
        <v>1022.8650408431299</v>
      </c>
      <c r="AI35" s="155">
        <f t="shared" si="30"/>
        <v>842.06961899203429</v>
      </c>
      <c r="AJ35" s="155">
        <f t="shared" si="23"/>
        <v>701.72468249336191</v>
      </c>
      <c r="AK35" s="155">
        <f t="shared" si="24"/>
        <v>561.37974599468953</v>
      </c>
      <c r="AL35" s="155">
        <f t="shared" si="1"/>
        <v>5375.4168813077404</v>
      </c>
      <c r="AM35" s="143">
        <f t="shared" si="2"/>
        <v>4425.2907904986787</v>
      </c>
    </row>
    <row r="36" spans="1:39" ht="12.75" customHeight="1" x14ac:dyDescent="0.2">
      <c r="A36" s="161">
        <v>5</v>
      </c>
      <c r="B36" s="2359"/>
      <c r="C36" s="2361"/>
      <c r="D36" s="673">
        <v>2.5</v>
      </c>
      <c r="E36" s="145" t="s">
        <v>39</v>
      </c>
      <c r="F36" s="146" t="s">
        <v>112</v>
      </c>
      <c r="G36" s="275">
        <v>3.9750000000000001</v>
      </c>
      <c r="H36" s="162">
        <v>5.0359999999999996</v>
      </c>
      <c r="I36" s="147"/>
      <c r="J36" s="148"/>
      <c r="K36" s="149">
        <v>3.31</v>
      </c>
      <c r="L36" s="149"/>
      <c r="M36" s="496"/>
      <c r="N36" s="151">
        <f t="shared" si="18"/>
        <v>0.64545000000000008</v>
      </c>
      <c r="O36" s="154">
        <f t="shared" si="19"/>
        <v>1.3240000000000001</v>
      </c>
      <c r="P36" s="153">
        <f t="shared" si="20"/>
        <v>5.3381651063356967</v>
      </c>
      <c r="Q36" s="154">
        <f t="shared" si="21"/>
        <v>6.3926681207849345</v>
      </c>
      <c r="R36" s="155">
        <f t="shared" si="25"/>
        <v>4006.4859012341785</v>
      </c>
      <c r="S36" s="361">
        <f t="shared" si="26"/>
        <v>2893.9403157579291</v>
      </c>
      <c r="T36" s="1062">
        <v>2</v>
      </c>
      <c r="U36" s="494" t="s">
        <v>118</v>
      </c>
      <c r="V36" s="494">
        <v>6.3</v>
      </c>
      <c r="W36" s="494">
        <v>11</v>
      </c>
      <c r="X36" s="494">
        <v>35</v>
      </c>
      <c r="Y36" s="494">
        <v>6.3</v>
      </c>
      <c r="Z36" s="153">
        <v>7.2</v>
      </c>
      <c r="AA36" s="152"/>
      <c r="AB36" s="152"/>
      <c r="AC36" s="274">
        <f t="shared" si="22"/>
        <v>14.000000000000004</v>
      </c>
      <c r="AD36" s="151">
        <f t="shared" si="27"/>
        <v>19.309790436524683</v>
      </c>
      <c r="AE36" s="156">
        <f t="shared" si="28"/>
        <v>20.370228415570114</v>
      </c>
      <c r="AF36" s="157">
        <f t="shared" si="3"/>
        <v>0.62563721014339968</v>
      </c>
      <c r="AG36" s="158">
        <f t="shared" si="4"/>
        <v>0.65999540066447171</v>
      </c>
      <c r="AH36" s="159">
        <f t="shared" si="29"/>
        <v>1107.5875373841413</v>
      </c>
      <c r="AI36" s="155">
        <f t="shared" si="30"/>
        <v>908.18814706365333</v>
      </c>
      <c r="AJ36" s="155">
        <f t="shared" si="23"/>
        <v>756.82345588637781</v>
      </c>
      <c r="AK36" s="155">
        <f t="shared" si="24"/>
        <v>605.45876470910218</v>
      </c>
      <c r="AL36" s="155">
        <f t="shared" si="1"/>
        <v>5820.655226493237</v>
      </c>
      <c r="AM36" s="143">
        <f t="shared" si="2"/>
        <v>4772.7605326167968</v>
      </c>
    </row>
    <row r="37" spans="1:39" ht="12.75" customHeight="1" x14ac:dyDescent="0.2">
      <c r="A37" s="161">
        <v>5</v>
      </c>
      <c r="B37" s="2358" t="s">
        <v>125</v>
      </c>
      <c r="C37" s="2360" t="s">
        <v>341</v>
      </c>
      <c r="D37" s="673">
        <v>2.5</v>
      </c>
      <c r="E37" s="145" t="s">
        <v>39</v>
      </c>
      <c r="F37" s="146" t="s">
        <v>112</v>
      </c>
      <c r="G37" s="275">
        <v>3.9750000000000001</v>
      </c>
      <c r="H37" s="162">
        <v>5.0359999999999996</v>
      </c>
      <c r="I37" s="147">
        <v>4.95</v>
      </c>
      <c r="J37" s="148"/>
      <c r="K37" s="149">
        <v>0.6</v>
      </c>
      <c r="L37" s="149"/>
      <c r="M37" s="496"/>
      <c r="N37" s="151">
        <f t="shared" si="18"/>
        <v>1.6713</v>
      </c>
      <c r="O37" s="154">
        <f t="shared" si="19"/>
        <v>2.2200000000000002</v>
      </c>
      <c r="P37" s="153">
        <f t="shared" si="20"/>
        <v>6.4164841377502055</v>
      </c>
      <c r="Q37" s="154">
        <f t="shared" si="21"/>
        <v>7.4459908467577369</v>
      </c>
      <c r="R37" s="155">
        <f t="shared" si="25"/>
        <v>3333.1779176646082</v>
      </c>
      <c r="S37" s="361">
        <f t="shared" si="26"/>
        <v>2484.5585202479256</v>
      </c>
      <c r="T37" s="1062">
        <v>1</v>
      </c>
      <c r="U37" s="494" t="s">
        <v>50</v>
      </c>
      <c r="V37" s="494">
        <v>6.3</v>
      </c>
      <c r="W37" s="494">
        <v>11</v>
      </c>
      <c r="X37" s="494">
        <v>35</v>
      </c>
      <c r="Y37" s="494">
        <v>6.3</v>
      </c>
      <c r="Z37" s="153">
        <v>7.7</v>
      </c>
      <c r="AA37" s="152"/>
      <c r="AB37" s="152">
        <v>9</v>
      </c>
      <c r="AC37" s="274">
        <f t="shared" si="22"/>
        <v>14.972222222222221</v>
      </c>
      <c r="AD37" s="151">
        <f t="shared" si="27"/>
        <v>21.23310011032158</v>
      </c>
      <c r="AE37" s="156">
        <f t="shared" si="28"/>
        <v>22.290964690889755</v>
      </c>
      <c r="AF37" s="157">
        <f t="shared" si="3"/>
        <v>0.68795244357441909</v>
      </c>
      <c r="AG37" s="158">
        <f t="shared" si="4"/>
        <v>0.72222725598482806</v>
      </c>
      <c r="AH37" s="159">
        <f t="shared" si="29"/>
        <v>1007.2614515012666</v>
      </c>
      <c r="AI37" s="155">
        <f t="shared" si="30"/>
        <v>829.93267705281903</v>
      </c>
      <c r="AJ37" s="155">
        <f t="shared" si="23"/>
        <v>691.61056421068258</v>
      </c>
      <c r="AK37" s="155">
        <f t="shared" si="24"/>
        <v>553.28845136854602</v>
      </c>
      <c r="AL37" s="155">
        <f t="shared" ref="AL37:AL70" si="31">6300/(1.73*AF37)</f>
        <v>5293.4160364180689</v>
      </c>
      <c r="AM37" s="143">
        <f t="shared" ref="AM37:AM70" si="32">6300/(2*AG37)</f>
        <v>4361.50806258989</v>
      </c>
    </row>
    <row r="38" spans="1:39" ht="12.75" customHeight="1" x14ac:dyDescent="0.2">
      <c r="A38" s="161">
        <v>5</v>
      </c>
      <c r="B38" s="2359"/>
      <c r="C38" s="2361"/>
      <c r="D38" s="673">
        <v>2.5</v>
      </c>
      <c r="E38" s="145" t="s">
        <v>39</v>
      </c>
      <c r="F38" s="146" t="s">
        <v>112</v>
      </c>
      <c r="G38" s="275">
        <v>3.9750000000000001</v>
      </c>
      <c r="H38" s="162">
        <v>5.0359999999999996</v>
      </c>
      <c r="I38" s="147">
        <v>4.95</v>
      </c>
      <c r="J38" s="148"/>
      <c r="K38" s="149">
        <v>0.6</v>
      </c>
      <c r="L38" s="149"/>
      <c r="M38" s="496"/>
      <c r="N38" s="151">
        <f t="shared" si="18"/>
        <v>1.6713</v>
      </c>
      <c r="O38" s="154">
        <f t="shared" si="19"/>
        <v>2.2200000000000002</v>
      </c>
      <c r="P38" s="153">
        <f t="shared" si="20"/>
        <v>6.4164841377502055</v>
      </c>
      <c r="Q38" s="154">
        <f t="shared" si="21"/>
        <v>7.4459908467577369</v>
      </c>
      <c r="R38" s="155">
        <f t="shared" si="25"/>
        <v>3333.1779176646082</v>
      </c>
      <c r="S38" s="361">
        <f t="shared" si="26"/>
        <v>2484.5585202479256</v>
      </c>
      <c r="T38" s="1062">
        <v>2</v>
      </c>
      <c r="U38" s="494" t="s">
        <v>50</v>
      </c>
      <c r="V38" s="494">
        <v>6.3</v>
      </c>
      <c r="W38" s="494">
        <v>11</v>
      </c>
      <c r="X38" s="494">
        <v>35</v>
      </c>
      <c r="Y38" s="494">
        <v>6.3</v>
      </c>
      <c r="Z38" s="153">
        <v>7.67</v>
      </c>
      <c r="AA38" s="152"/>
      <c r="AB38" s="152"/>
      <c r="AC38" s="274">
        <f t="shared" si="22"/>
        <v>14.913888888888891</v>
      </c>
      <c r="AD38" s="151">
        <f t="shared" si="27"/>
        <v>21.174948259994803</v>
      </c>
      <c r="AE38" s="156">
        <f t="shared" si="28"/>
        <v>22.232795978816501</v>
      </c>
      <c r="AF38" s="157">
        <f t="shared" si="3"/>
        <v>0.68606832362383163</v>
      </c>
      <c r="AG38" s="158">
        <f t="shared" si="4"/>
        <v>0.72034258971365461</v>
      </c>
      <c r="AH38" s="159">
        <f t="shared" si="29"/>
        <v>1010.0276503343611</v>
      </c>
      <c r="AI38" s="155">
        <f t="shared" si="30"/>
        <v>832.10406903508112</v>
      </c>
      <c r="AJ38" s="155">
        <f t="shared" si="23"/>
        <v>693.42005752923433</v>
      </c>
      <c r="AK38" s="155">
        <f t="shared" si="24"/>
        <v>554.73604602338742</v>
      </c>
      <c r="AL38" s="155">
        <f t="shared" si="31"/>
        <v>5307.9531173727682</v>
      </c>
      <c r="AM38" s="143">
        <f t="shared" si="32"/>
        <v>4372.9192817158919</v>
      </c>
    </row>
    <row r="39" spans="1:39" ht="12.75" customHeight="1" x14ac:dyDescent="0.2">
      <c r="A39" s="161">
        <v>5</v>
      </c>
      <c r="B39" s="2358" t="s">
        <v>131</v>
      </c>
      <c r="C39" s="2360" t="s">
        <v>341</v>
      </c>
      <c r="D39" s="673">
        <v>2.4</v>
      </c>
      <c r="E39" s="145" t="s">
        <v>39</v>
      </c>
      <c r="F39" s="146" t="s">
        <v>115</v>
      </c>
      <c r="G39" s="275">
        <v>4.2770000000000001</v>
      </c>
      <c r="H39" s="162">
        <v>6.3559999999999999</v>
      </c>
      <c r="I39" s="147"/>
      <c r="J39" s="148">
        <v>11.3</v>
      </c>
      <c r="K39" s="149"/>
      <c r="L39" s="149">
        <v>3.7</v>
      </c>
      <c r="M39" s="150"/>
      <c r="N39" s="151">
        <f t="shared" si="18"/>
        <v>3.4020000000000001</v>
      </c>
      <c r="O39" s="154">
        <f t="shared" si="19"/>
        <v>6</v>
      </c>
      <c r="P39" s="153">
        <f t="shared" si="20"/>
        <v>10.825448397179676</v>
      </c>
      <c r="Q39" s="154">
        <f t="shared" si="21"/>
        <v>12.815784798442895</v>
      </c>
      <c r="R39" s="155">
        <f t="shared" si="17"/>
        <v>1975.6487170144553</v>
      </c>
      <c r="S39" s="361">
        <f t="shared" si="9"/>
        <v>1443.5323541206569</v>
      </c>
      <c r="T39" s="1062">
        <v>1</v>
      </c>
      <c r="U39" s="494" t="s">
        <v>122</v>
      </c>
      <c r="V39" s="494">
        <v>4</v>
      </c>
      <c r="W39" s="494">
        <v>11</v>
      </c>
      <c r="X39" s="494">
        <v>35</v>
      </c>
      <c r="Y39" s="494">
        <v>6.3</v>
      </c>
      <c r="Z39" s="153">
        <v>6.37</v>
      </c>
      <c r="AA39" s="152"/>
      <c r="AB39" s="152"/>
      <c r="AC39" s="274">
        <f t="shared" si="22"/>
        <v>19.508125000000003</v>
      </c>
      <c r="AD39" s="151">
        <f t="shared" si="11"/>
        <v>29.978780416581746</v>
      </c>
      <c r="AE39" s="156">
        <f t="shared" si="12"/>
        <v>32.045219082035082</v>
      </c>
      <c r="AF39" s="157">
        <f t="shared" si="3"/>
        <v>0.97131248549724847</v>
      </c>
      <c r="AG39" s="158">
        <f t="shared" si="4"/>
        <v>1.0382650982579367</v>
      </c>
      <c r="AH39" s="159">
        <f t="shared" si="13"/>
        <v>713.4140528666926</v>
      </c>
      <c r="AI39" s="155">
        <f t="shared" si="14"/>
        <v>577.30920648850588</v>
      </c>
      <c r="AJ39" s="155">
        <f t="shared" si="23"/>
        <v>481.09100540708823</v>
      </c>
      <c r="AK39" s="155">
        <f t="shared" si="24"/>
        <v>384.87280432567059</v>
      </c>
      <c r="AL39" s="155">
        <f t="shared" si="31"/>
        <v>3749.1729505006374</v>
      </c>
      <c r="AM39" s="143">
        <f t="shared" si="32"/>
        <v>3033.9072413059616</v>
      </c>
    </row>
    <row r="40" spans="1:39" ht="12.75" customHeight="1" x14ac:dyDescent="0.2">
      <c r="A40" s="161">
        <v>5</v>
      </c>
      <c r="B40" s="2359"/>
      <c r="C40" s="2361"/>
      <c r="D40" s="673">
        <v>2.4</v>
      </c>
      <c r="E40" s="145" t="s">
        <v>39</v>
      </c>
      <c r="F40" s="146" t="s">
        <v>115</v>
      </c>
      <c r="G40" s="275">
        <v>4.2770000000000001</v>
      </c>
      <c r="H40" s="162">
        <v>6.3559999999999999</v>
      </c>
      <c r="I40" s="147"/>
      <c r="J40" s="148">
        <v>11.3</v>
      </c>
      <c r="K40" s="149"/>
      <c r="L40" s="149">
        <v>3.7</v>
      </c>
      <c r="M40" s="150"/>
      <c r="N40" s="151">
        <f t="shared" si="18"/>
        <v>3.4020000000000001</v>
      </c>
      <c r="O40" s="154">
        <f t="shared" si="19"/>
        <v>6</v>
      </c>
      <c r="P40" s="153">
        <f t="shared" si="20"/>
        <v>10.825448397179676</v>
      </c>
      <c r="Q40" s="154">
        <f t="shared" si="21"/>
        <v>12.815784798442895</v>
      </c>
      <c r="R40" s="155">
        <f t="shared" si="17"/>
        <v>1975.6487170144553</v>
      </c>
      <c r="S40" s="361">
        <f t="shared" si="9"/>
        <v>1443.5323541206569</v>
      </c>
      <c r="T40" s="1062">
        <v>2</v>
      </c>
      <c r="U40" s="494" t="s">
        <v>201</v>
      </c>
      <c r="V40" s="494">
        <v>4</v>
      </c>
      <c r="W40" s="494">
        <v>11</v>
      </c>
      <c r="X40" s="494">
        <v>35</v>
      </c>
      <c r="Y40" s="494">
        <v>6.3</v>
      </c>
      <c r="Z40" s="153">
        <v>6.28</v>
      </c>
      <c r="AA40" s="152"/>
      <c r="AB40" s="152"/>
      <c r="AC40" s="274">
        <f t="shared" si="22"/>
        <v>19.232500000000002</v>
      </c>
      <c r="AD40" s="151">
        <f t="shared" si="11"/>
        <v>29.704952352259383</v>
      </c>
      <c r="AE40" s="156">
        <f t="shared" si="12"/>
        <v>31.771165169851738</v>
      </c>
      <c r="AF40" s="157">
        <f t="shared" si="3"/>
        <v>0.96244045621320395</v>
      </c>
      <c r="AG40" s="158">
        <f t="shared" si="4"/>
        <v>1.0293857515031963</v>
      </c>
      <c r="AH40" s="159">
        <f t="shared" si="13"/>
        <v>719.99049126121508</v>
      </c>
      <c r="AI40" s="155">
        <f t="shared" si="14"/>
        <v>582.28900013887437</v>
      </c>
      <c r="AJ40" s="155">
        <f t="shared" si="23"/>
        <v>485.24083344906199</v>
      </c>
      <c r="AK40" s="155">
        <f t="shared" si="24"/>
        <v>388.19266675924956</v>
      </c>
      <c r="AL40" s="155">
        <f t="shared" si="31"/>
        <v>3783.7338129343134</v>
      </c>
      <c r="AM40" s="143">
        <f t="shared" si="32"/>
        <v>3060.0773280571475</v>
      </c>
    </row>
    <row r="41" spans="1:39" ht="12.75" customHeight="1" x14ac:dyDescent="0.2">
      <c r="A41" s="161">
        <v>5</v>
      </c>
      <c r="B41" s="2358" t="s">
        <v>446</v>
      </c>
      <c r="C41" s="2360"/>
      <c r="D41" s="673">
        <v>2.4</v>
      </c>
      <c r="E41" s="145" t="s">
        <v>39</v>
      </c>
      <c r="F41" s="146" t="s">
        <v>115</v>
      </c>
      <c r="G41" s="275">
        <v>4.2770000000000001</v>
      </c>
      <c r="H41" s="162">
        <v>6.3559999999999999</v>
      </c>
      <c r="I41" s="147"/>
      <c r="J41" s="148">
        <v>13.91</v>
      </c>
      <c r="K41" s="149"/>
      <c r="L41" s="149">
        <v>3.7</v>
      </c>
      <c r="M41" s="150"/>
      <c r="N41" s="151">
        <f>0.314*I41+0.249*J41+0.195*K41+0.159*L41+0.06*M41</f>
        <v>4.0518900000000002</v>
      </c>
      <c r="O41" s="154">
        <f>0.4*SUM(I41:M41)</f>
        <v>7.0440000000000005</v>
      </c>
      <c r="P41" s="153">
        <f>SQRT(POWER(N41,2)+POWER(O41+G41,2))</f>
        <v>12.024261040583742</v>
      </c>
      <c r="Q41" s="154">
        <f>SQRT(POWER(N41,2)+POWER(O41+H41,2))</f>
        <v>13.999207569434065</v>
      </c>
      <c r="R41" s="155">
        <f>37000/1.73/SQRT(POWER((G41+O41),2)+N41*N41)</f>
        <v>1778.6775557191272</v>
      </c>
      <c r="S41" s="361">
        <f>37000/2/SQRT(N41*N41+POWER((H41+O41),2))</f>
        <v>1321.5033714046062</v>
      </c>
      <c r="T41" s="1062">
        <v>1</v>
      </c>
      <c r="U41" s="504" t="s">
        <v>50</v>
      </c>
      <c r="V41" s="494">
        <v>6.3</v>
      </c>
      <c r="W41" s="494">
        <v>11</v>
      </c>
      <c r="X41" s="494">
        <v>35</v>
      </c>
      <c r="Y41" s="494">
        <v>6.3</v>
      </c>
      <c r="Z41" s="153">
        <v>7.95</v>
      </c>
      <c r="AA41" s="152"/>
      <c r="AB41" s="152"/>
      <c r="AC41" s="274">
        <f t="shared" si="22"/>
        <v>15.458333333333334</v>
      </c>
      <c r="AD41" s="151">
        <f t="shared" si="11"/>
        <v>27.084137541185946</v>
      </c>
      <c r="AE41" s="156">
        <f t="shared" si="12"/>
        <v>29.141400367001545</v>
      </c>
      <c r="AF41" s="157">
        <f t="shared" si="3"/>
        <v>0.8775260563344246</v>
      </c>
      <c r="AG41" s="158">
        <f t="shared" si="4"/>
        <v>0.94418137189085005</v>
      </c>
      <c r="AH41" s="159">
        <f t="shared" si="13"/>
        <v>789.66085608121318</v>
      </c>
      <c r="AI41" s="155">
        <f t="shared" si="14"/>
        <v>634.83565535678906</v>
      </c>
      <c r="AJ41" s="155">
        <f t="shared" si="23"/>
        <v>529.02971279732424</v>
      </c>
      <c r="AK41" s="155">
        <f t="shared" si="24"/>
        <v>423.22377023785936</v>
      </c>
      <c r="AL41" s="155">
        <f t="shared" si="31"/>
        <v>4149.8693637901597</v>
      </c>
      <c r="AM41" s="143">
        <f t="shared" si="32"/>
        <v>3336.2234140371797</v>
      </c>
    </row>
    <row r="42" spans="1:39" ht="12.75" customHeight="1" x14ac:dyDescent="0.2">
      <c r="A42" s="161">
        <v>5</v>
      </c>
      <c r="B42" s="2359"/>
      <c r="C42" s="2361"/>
      <c r="D42" s="673">
        <v>2.4</v>
      </c>
      <c r="E42" s="145" t="s">
        <v>39</v>
      </c>
      <c r="F42" s="146" t="s">
        <v>115</v>
      </c>
      <c r="G42" s="275">
        <v>4.2770000000000001</v>
      </c>
      <c r="H42" s="162">
        <v>6.3559999999999999</v>
      </c>
      <c r="I42" s="147"/>
      <c r="J42" s="148">
        <v>13.91</v>
      </c>
      <c r="K42" s="149"/>
      <c r="L42" s="149">
        <v>3.7</v>
      </c>
      <c r="M42" s="150"/>
      <c r="N42" s="151">
        <f>0.314*I42+0.249*J42+0.195*K42+0.159*L42+0.06*M42</f>
        <v>4.0518900000000002</v>
      </c>
      <c r="O42" s="154">
        <f>0.4*SUM(I42:M42)</f>
        <v>7.0440000000000005</v>
      </c>
      <c r="P42" s="153">
        <f>SQRT(POWER(N42,2)+POWER(O42+G42,2))</f>
        <v>12.024261040583742</v>
      </c>
      <c r="Q42" s="154">
        <f>SQRT(POWER(N42,2)+POWER(O42+H42,2))</f>
        <v>13.999207569434065</v>
      </c>
      <c r="R42" s="155">
        <f>37000/1.73/SQRT(POWER((G42+O42),2)+N42*N42)</f>
        <v>1778.6775557191272</v>
      </c>
      <c r="S42" s="361">
        <f>37000/2/SQRT(N42*N42+POWER((H42+O42),2))</f>
        <v>1321.5033714046062</v>
      </c>
      <c r="T42" s="1062">
        <v>2</v>
      </c>
      <c r="U42" s="504" t="s">
        <v>50</v>
      </c>
      <c r="V42" s="494">
        <v>6.3</v>
      </c>
      <c r="W42" s="494">
        <v>11</v>
      </c>
      <c r="X42" s="494">
        <v>35</v>
      </c>
      <c r="Y42" s="494">
        <v>6.3</v>
      </c>
      <c r="Z42" s="153">
        <v>8</v>
      </c>
      <c r="AA42" s="152"/>
      <c r="AB42" s="152"/>
      <c r="AC42" s="274">
        <f t="shared" si="22"/>
        <v>15.555555555555559</v>
      </c>
      <c r="AD42" s="151">
        <f t="shared" si="11"/>
        <v>27.180269518585806</v>
      </c>
      <c r="AE42" s="156">
        <f t="shared" si="12"/>
        <v>29.237681339377183</v>
      </c>
      <c r="AF42" s="157">
        <f t="shared" si="3"/>
        <v>0.8806407324021801</v>
      </c>
      <c r="AG42" s="158">
        <f t="shared" si="4"/>
        <v>0.94730087539582053</v>
      </c>
      <c r="AH42" s="159">
        <f t="shared" si="13"/>
        <v>786.86796031840834</v>
      </c>
      <c r="AI42" s="155">
        <f t="shared" si="14"/>
        <v>632.74511358341817</v>
      </c>
      <c r="AJ42" s="155">
        <f t="shared" si="23"/>
        <v>527.2875946528485</v>
      </c>
      <c r="AK42" s="155">
        <f t="shared" si="24"/>
        <v>421.83007572227876</v>
      </c>
      <c r="AL42" s="155">
        <f t="shared" si="31"/>
        <v>4135.1919836552997</v>
      </c>
      <c r="AM42" s="143">
        <f t="shared" si="32"/>
        <v>3325.2370833963423</v>
      </c>
    </row>
    <row r="43" spans="1:39" ht="12.75" customHeight="1" x14ac:dyDescent="0.2">
      <c r="A43" s="161">
        <v>5</v>
      </c>
      <c r="B43" s="2358" t="s">
        <v>132</v>
      </c>
      <c r="C43" s="2360" t="s">
        <v>341</v>
      </c>
      <c r="D43" s="673">
        <v>2.4</v>
      </c>
      <c r="E43" s="145" t="s">
        <v>39</v>
      </c>
      <c r="F43" s="146" t="s">
        <v>115</v>
      </c>
      <c r="G43" s="275">
        <v>4.2770000000000001</v>
      </c>
      <c r="H43" s="162">
        <v>6.3559999999999999</v>
      </c>
      <c r="I43" s="147"/>
      <c r="J43" s="148">
        <v>11.6</v>
      </c>
      <c r="K43" s="149"/>
      <c r="L43" s="149">
        <v>3.7</v>
      </c>
      <c r="M43" s="150"/>
      <c r="N43" s="151">
        <f t="shared" si="18"/>
        <v>3.4767000000000001</v>
      </c>
      <c r="O43" s="154">
        <f t="shared" si="19"/>
        <v>6.120000000000001</v>
      </c>
      <c r="P43" s="153">
        <f t="shared" si="20"/>
        <v>10.962894320844294</v>
      </c>
      <c r="Q43" s="154">
        <f t="shared" si="21"/>
        <v>12.951371313108123</v>
      </c>
      <c r="R43" s="155">
        <f t="shared" si="17"/>
        <v>1950.8792670134126</v>
      </c>
      <c r="S43" s="361">
        <f t="shared" si="9"/>
        <v>1428.4201690114539</v>
      </c>
      <c r="T43" s="1062">
        <v>1</v>
      </c>
      <c r="U43" s="504" t="s">
        <v>50</v>
      </c>
      <c r="V43" s="494">
        <v>6.3</v>
      </c>
      <c r="W43" s="494">
        <v>11</v>
      </c>
      <c r="X43" s="494">
        <v>35</v>
      </c>
      <c r="Y43" s="494">
        <v>6.3</v>
      </c>
      <c r="Z43" s="153">
        <v>8.01</v>
      </c>
      <c r="AA43" s="152"/>
      <c r="AB43" s="152"/>
      <c r="AC43" s="274">
        <f t="shared" si="22"/>
        <v>15.575000000000001</v>
      </c>
      <c r="AD43" s="151">
        <f t="shared" si="11"/>
        <v>26.203668195311895</v>
      </c>
      <c r="AE43" s="156">
        <f t="shared" si="12"/>
        <v>28.265633619114222</v>
      </c>
      <c r="AF43" s="157">
        <f t="shared" si="3"/>
        <v>0.84899884952810534</v>
      </c>
      <c r="AG43" s="158">
        <f t="shared" si="4"/>
        <v>0.91580652925930073</v>
      </c>
      <c r="AH43" s="159">
        <f t="shared" si="13"/>
        <v>816.19424721690768</v>
      </c>
      <c r="AI43" s="155">
        <f t="shared" si="14"/>
        <v>654.50505194016398</v>
      </c>
      <c r="AJ43" s="155">
        <f t="shared" si="23"/>
        <v>545.4208766168033</v>
      </c>
      <c r="AK43" s="155">
        <f t="shared" si="24"/>
        <v>436.33670129344267</v>
      </c>
      <c r="AL43" s="155">
        <f t="shared" si="31"/>
        <v>4289.3091069957618</v>
      </c>
      <c r="AM43" s="143">
        <f t="shared" si="32"/>
        <v>3439.5911137996609</v>
      </c>
    </row>
    <row r="44" spans="1:39" ht="12.75" customHeight="1" x14ac:dyDescent="0.2">
      <c r="A44" s="161">
        <v>5</v>
      </c>
      <c r="B44" s="2359"/>
      <c r="C44" s="2361"/>
      <c r="D44" s="673">
        <v>2.4</v>
      </c>
      <c r="E44" s="145" t="s">
        <v>39</v>
      </c>
      <c r="F44" s="146" t="s">
        <v>115</v>
      </c>
      <c r="G44" s="275">
        <v>4.2770000000000001</v>
      </c>
      <c r="H44" s="162">
        <v>6.3559999999999999</v>
      </c>
      <c r="I44" s="147"/>
      <c r="J44" s="148">
        <v>11.6</v>
      </c>
      <c r="K44" s="149"/>
      <c r="L44" s="149">
        <v>3.7</v>
      </c>
      <c r="M44" s="150"/>
      <c r="N44" s="151">
        <f t="shared" si="18"/>
        <v>3.4767000000000001</v>
      </c>
      <c r="O44" s="154">
        <f t="shared" si="19"/>
        <v>6.120000000000001</v>
      </c>
      <c r="P44" s="153">
        <f t="shared" si="20"/>
        <v>10.962894320844294</v>
      </c>
      <c r="Q44" s="154">
        <f t="shared" si="21"/>
        <v>12.951371313108123</v>
      </c>
      <c r="R44" s="155">
        <f t="shared" si="17"/>
        <v>1950.8792670134126</v>
      </c>
      <c r="S44" s="361">
        <f t="shared" si="9"/>
        <v>1428.4201690114539</v>
      </c>
      <c r="T44" s="1062">
        <v>2</v>
      </c>
      <c r="U44" s="504" t="s">
        <v>50</v>
      </c>
      <c r="V44" s="494">
        <v>6.3</v>
      </c>
      <c r="W44" s="494">
        <v>11</v>
      </c>
      <c r="X44" s="494">
        <v>35</v>
      </c>
      <c r="Y44" s="494">
        <v>6.3</v>
      </c>
      <c r="Z44" s="153">
        <v>7.85</v>
      </c>
      <c r="AA44" s="152"/>
      <c r="AB44" s="152"/>
      <c r="AC44" s="274">
        <f t="shared" si="22"/>
        <v>15.263888888888891</v>
      </c>
      <c r="AD44" s="151">
        <f t="shared" si="11"/>
        <v>25.895340535662037</v>
      </c>
      <c r="AE44" s="156">
        <f t="shared" si="12"/>
        <v>27.95691110365917</v>
      </c>
      <c r="AF44" s="157">
        <f t="shared" si="3"/>
        <v>0.83900903335544996</v>
      </c>
      <c r="AG44" s="158">
        <f t="shared" si="4"/>
        <v>0.90580391975855701</v>
      </c>
      <c r="AH44" s="159">
        <f t="shared" si="13"/>
        <v>825.91241492037921</v>
      </c>
      <c r="AI44" s="155">
        <f t="shared" si="14"/>
        <v>661.73261886498642</v>
      </c>
      <c r="AJ44" s="155">
        <f t="shared" si="23"/>
        <v>551.44384905415541</v>
      </c>
      <c r="AK44" s="155">
        <f t="shared" si="24"/>
        <v>441.15507924332428</v>
      </c>
      <c r="AL44" s="155">
        <f t="shared" si="31"/>
        <v>4340.3805588908817</v>
      </c>
      <c r="AM44" s="143">
        <f t="shared" si="32"/>
        <v>3477.573822864043</v>
      </c>
    </row>
    <row r="45" spans="1:39" ht="12.75" customHeight="1" x14ac:dyDescent="0.2">
      <c r="A45" s="161">
        <v>5</v>
      </c>
      <c r="B45" s="2358" t="s">
        <v>133</v>
      </c>
      <c r="C45" s="2360" t="s">
        <v>341</v>
      </c>
      <c r="D45" s="673">
        <v>1.6</v>
      </c>
      <c r="E45" s="145" t="s">
        <v>39</v>
      </c>
      <c r="F45" s="146" t="s">
        <v>112</v>
      </c>
      <c r="G45" s="275">
        <v>3.9750000000000001</v>
      </c>
      <c r="H45" s="162">
        <v>5.0359999999999996</v>
      </c>
      <c r="I45" s="147"/>
      <c r="J45" s="148">
        <v>3.1</v>
      </c>
      <c r="K45" s="149"/>
      <c r="L45" s="149">
        <v>0.71</v>
      </c>
      <c r="M45" s="496"/>
      <c r="N45" s="151">
        <f t="shared" si="18"/>
        <v>0.88478999999999997</v>
      </c>
      <c r="O45" s="154">
        <f t="shared" si="19"/>
        <v>1.524</v>
      </c>
      <c r="P45" s="153">
        <f t="shared" si="20"/>
        <v>5.5697265950942336</v>
      </c>
      <c r="Q45" s="154">
        <f t="shared" si="21"/>
        <v>6.619399772192339</v>
      </c>
      <c r="R45" s="155">
        <f t="shared" si="17"/>
        <v>3839.9161739522278</v>
      </c>
      <c r="S45" s="361">
        <f t="shared" si="9"/>
        <v>2794.8153362359649</v>
      </c>
      <c r="T45" s="1062">
        <v>1</v>
      </c>
      <c r="U45" s="494" t="s">
        <v>50</v>
      </c>
      <c r="V45" s="494">
        <v>6.3</v>
      </c>
      <c r="W45" s="494">
        <v>11</v>
      </c>
      <c r="X45" s="494">
        <v>35</v>
      </c>
      <c r="Y45" s="494">
        <v>6.3</v>
      </c>
      <c r="Z45" s="153">
        <v>8.0299999999999994</v>
      </c>
      <c r="AA45" s="152"/>
      <c r="AB45" s="152"/>
      <c r="AC45" s="274">
        <f t="shared" si="22"/>
        <v>15.613888888888889</v>
      </c>
      <c r="AD45" s="151">
        <f t="shared" si="11"/>
        <v>21.131420458139296</v>
      </c>
      <c r="AE45" s="156">
        <f t="shared" si="12"/>
        <v>22.191534462512728</v>
      </c>
      <c r="AF45" s="157">
        <f t="shared" si="3"/>
        <v>0.68465802284371313</v>
      </c>
      <c r="AG45" s="158">
        <f t="shared" si="4"/>
        <v>0.71900571658541235</v>
      </c>
      <c r="AH45" s="159">
        <f t="shared" si="13"/>
        <v>1012.1081675205781</v>
      </c>
      <c r="AI45" s="155">
        <f t="shared" si="14"/>
        <v>833.65122998823313</v>
      </c>
      <c r="AJ45" s="155">
        <f t="shared" si="23"/>
        <v>694.70935832352768</v>
      </c>
      <c r="AK45" s="155">
        <f t="shared" si="24"/>
        <v>555.76748665882212</v>
      </c>
      <c r="AL45" s="155">
        <f t="shared" si="31"/>
        <v>5318.8867662492848</v>
      </c>
      <c r="AM45" s="143">
        <f t="shared" si="32"/>
        <v>4381.0500074456695</v>
      </c>
    </row>
    <row r="46" spans="1:39" ht="12.75" customHeight="1" thickBot="1" x14ac:dyDescent="0.25">
      <c r="A46" s="196">
        <v>5</v>
      </c>
      <c r="B46" s="2308"/>
      <c r="C46" s="2479"/>
      <c r="D46" s="830">
        <v>1.6</v>
      </c>
      <c r="E46" s="164" t="s">
        <v>39</v>
      </c>
      <c r="F46" s="165" t="s">
        <v>112</v>
      </c>
      <c r="G46" s="805">
        <v>3.9750000000000001</v>
      </c>
      <c r="H46" s="366">
        <v>5.0359999999999996</v>
      </c>
      <c r="I46" s="167"/>
      <c r="J46" s="168">
        <v>3.1</v>
      </c>
      <c r="K46" s="169"/>
      <c r="L46" s="169">
        <v>0.71</v>
      </c>
      <c r="M46" s="520"/>
      <c r="N46" s="171">
        <f t="shared" si="18"/>
        <v>0.88478999999999997</v>
      </c>
      <c r="O46" s="173">
        <f t="shared" si="19"/>
        <v>1.524</v>
      </c>
      <c r="P46" s="172">
        <f t="shared" si="20"/>
        <v>5.5697265950942336</v>
      </c>
      <c r="Q46" s="173">
        <f t="shared" si="21"/>
        <v>6.619399772192339</v>
      </c>
      <c r="R46" s="174">
        <f t="shared" si="17"/>
        <v>3839.9161739522278</v>
      </c>
      <c r="S46" s="372">
        <f t="shared" si="9"/>
        <v>2794.8153362359649</v>
      </c>
      <c r="T46" s="1072">
        <v>2</v>
      </c>
      <c r="U46" s="1073" t="s">
        <v>50</v>
      </c>
      <c r="V46" s="1073">
        <v>6.3</v>
      </c>
      <c r="W46" s="1073">
        <v>11</v>
      </c>
      <c r="X46" s="1073">
        <v>35</v>
      </c>
      <c r="Y46" s="1073">
        <v>6.3</v>
      </c>
      <c r="Z46" s="172">
        <v>7.99</v>
      </c>
      <c r="AA46" s="166"/>
      <c r="AB46" s="166"/>
      <c r="AC46" s="531">
        <f t="shared" si="22"/>
        <v>15.536111111111111</v>
      </c>
      <c r="AD46" s="171">
        <f t="shared" si="11"/>
        <v>21.053711140815299</v>
      </c>
      <c r="AE46" s="1074">
        <f t="shared" si="12"/>
        <v>22.113818747079122</v>
      </c>
      <c r="AF46" s="175">
        <f t="shared" si="3"/>
        <v>0.68214024096241566</v>
      </c>
      <c r="AG46" s="176">
        <f t="shared" si="4"/>
        <v>0.71648772740536337</v>
      </c>
      <c r="AH46" s="177">
        <f t="shared" si="13"/>
        <v>1015.8438621081035</v>
      </c>
      <c r="AI46" s="174">
        <f t="shared" si="14"/>
        <v>836.58097281110952</v>
      </c>
      <c r="AJ46" s="174">
        <f t="shared" si="23"/>
        <v>697.15081067592462</v>
      </c>
      <c r="AK46" s="174">
        <f t="shared" si="24"/>
        <v>557.72064854073972</v>
      </c>
      <c r="AL46" s="174">
        <f t="shared" si="31"/>
        <v>5338.5187948624061</v>
      </c>
      <c r="AM46" s="521">
        <f t="shared" si="32"/>
        <v>4396.4465538121376</v>
      </c>
    </row>
    <row r="47" spans="1:39" ht="12.75" customHeight="1" x14ac:dyDescent="0.2">
      <c r="A47" s="293">
        <v>5</v>
      </c>
      <c r="B47" s="2478" t="s">
        <v>148</v>
      </c>
      <c r="C47" s="2484" t="s">
        <v>43</v>
      </c>
      <c r="D47" s="934">
        <v>4.5</v>
      </c>
      <c r="E47" s="935" t="s">
        <v>35</v>
      </c>
      <c r="F47" s="231" t="s">
        <v>117</v>
      </c>
      <c r="G47" s="2134">
        <f>G21</f>
        <v>5.7029230313113137</v>
      </c>
      <c r="H47" s="2086">
        <f>H21</f>
        <v>7.1192833569071192</v>
      </c>
      <c r="I47" s="234"/>
      <c r="J47" s="235"/>
      <c r="K47" s="236">
        <v>5.99</v>
      </c>
      <c r="L47" s="236"/>
      <c r="M47" s="251"/>
      <c r="N47" s="298">
        <f t="shared" si="18"/>
        <v>1.16805</v>
      </c>
      <c r="O47" s="238">
        <f t="shared" si="19"/>
        <v>2.3960000000000004</v>
      </c>
      <c r="P47" s="252">
        <f t="shared" si="20"/>
        <v>8.1827192955401333</v>
      </c>
      <c r="Q47" s="238">
        <f t="shared" si="21"/>
        <v>9.5867073682643316</v>
      </c>
      <c r="R47" s="253">
        <f t="shared" ref="R47:R78" si="33">37000/1.73/SQRT(POWER((G47+O47),2)+N47*N47)</f>
        <v>2613.7134202625075</v>
      </c>
      <c r="S47" s="870">
        <f t="shared" ref="S47:S78" si="34">37000/2/SQRT(N47*N47+POWER((H47+O47),2))</f>
        <v>1929.7553674415969</v>
      </c>
      <c r="T47" s="1064">
        <v>1</v>
      </c>
      <c r="U47" s="497" t="s">
        <v>85</v>
      </c>
      <c r="V47" s="497">
        <v>4</v>
      </c>
      <c r="W47" s="497">
        <v>11</v>
      </c>
      <c r="X47" s="497">
        <v>35</v>
      </c>
      <c r="Y47" s="497">
        <v>6.3</v>
      </c>
      <c r="Z47" s="252">
        <v>6.26</v>
      </c>
      <c r="AA47" s="232"/>
      <c r="AB47" s="232">
        <v>5</v>
      </c>
      <c r="AC47" s="300">
        <f t="shared" si="22"/>
        <v>19.171250000000004</v>
      </c>
      <c r="AD47" s="879">
        <f t="shared" ref="AD47:AD78" si="35">SQRT(POWER(N47,2)+POWER(O47+AC47+G47,2))</f>
        <v>27.295176825955153</v>
      </c>
      <c r="AE47" s="880">
        <f t="shared" ref="AE47:AE78" si="36">SQRT(POWER(N47,2)+POWER(O47+AC47+H47,2))</f>
        <v>28.710303670275678</v>
      </c>
      <c r="AF47" s="139">
        <f t="shared" si="3"/>
        <v>0.88436372916094685</v>
      </c>
      <c r="AG47" s="140">
        <f t="shared" si="4"/>
        <v>0.93021383891693188</v>
      </c>
      <c r="AH47" s="265">
        <f t="shared" ref="AH47:AH78" si="37">37000/1.73/SQRT(POWER((G47+O47+AC47),2)+N47*N47)</f>
        <v>783.55540150437571</v>
      </c>
      <c r="AI47" s="253">
        <f t="shared" ref="AI47:AI78" si="38">37000/2/SQRT(POWER((H47+O47+AC47),2)+N47*N47)</f>
        <v>644.36796672246282</v>
      </c>
      <c r="AJ47" s="253">
        <f t="shared" si="23"/>
        <v>536.97330560205239</v>
      </c>
      <c r="AK47" s="253">
        <f t="shared" si="24"/>
        <v>429.5786444816419</v>
      </c>
      <c r="AL47" s="253">
        <f t="shared" si="31"/>
        <v>4117.7836415395122</v>
      </c>
      <c r="AM47" s="266">
        <f t="shared" si="32"/>
        <v>3386.3181434363664</v>
      </c>
    </row>
    <row r="48" spans="1:39" ht="12.75" customHeight="1" x14ac:dyDescent="0.2">
      <c r="A48" s="256">
        <v>5</v>
      </c>
      <c r="B48" s="2366"/>
      <c r="C48" s="2373"/>
      <c r="D48" s="925">
        <v>4.5</v>
      </c>
      <c r="E48" s="936" t="s">
        <v>35</v>
      </c>
      <c r="F48" s="653" t="s">
        <v>117</v>
      </c>
      <c r="G48" s="2134">
        <f>G22</f>
        <v>5.7029230313113137</v>
      </c>
      <c r="H48" s="2086">
        <f>H22</f>
        <v>7.1192833569071192</v>
      </c>
      <c r="I48" s="225"/>
      <c r="J48" s="226"/>
      <c r="K48" s="926">
        <v>5.77</v>
      </c>
      <c r="L48" s="926"/>
      <c r="M48" s="927"/>
      <c r="N48" s="331">
        <f t="shared" si="18"/>
        <v>1.1251499999999999</v>
      </c>
      <c r="O48" s="228">
        <f t="shared" si="19"/>
        <v>2.3079999999999998</v>
      </c>
      <c r="P48" s="227">
        <f t="shared" si="20"/>
        <v>8.0895519243091609</v>
      </c>
      <c r="Q48" s="228">
        <f t="shared" si="21"/>
        <v>9.4941894869397849</v>
      </c>
      <c r="R48" s="229">
        <f t="shared" si="33"/>
        <v>2643.8155582789796</v>
      </c>
      <c r="S48" s="388">
        <f t="shared" si="34"/>
        <v>1948.5602246983394</v>
      </c>
      <c r="T48" s="1065">
        <v>2</v>
      </c>
      <c r="U48" s="499" t="s">
        <v>85</v>
      </c>
      <c r="V48" s="499">
        <v>4</v>
      </c>
      <c r="W48" s="498">
        <v>11</v>
      </c>
      <c r="X48" s="499">
        <v>35</v>
      </c>
      <c r="Y48" s="499">
        <v>6.3</v>
      </c>
      <c r="Z48" s="227">
        <v>6.2</v>
      </c>
      <c r="AA48" s="223"/>
      <c r="AB48" s="223">
        <v>5</v>
      </c>
      <c r="AC48" s="333">
        <f t="shared" si="22"/>
        <v>18.987500000000001</v>
      </c>
      <c r="AD48" s="946">
        <f t="shared" si="35"/>
        <v>27.021857980163784</v>
      </c>
      <c r="AE48" s="947">
        <f t="shared" si="36"/>
        <v>28.437051108412522</v>
      </c>
      <c r="AF48" s="157">
        <f t="shared" si="3"/>
        <v>0.87550819855730655</v>
      </c>
      <c r="AG48" s="158">
        <f t="shared" si="4"/>
        <v>0.92136045591256566</v>
      </c>
      <c r="AH48" s="263">
        <f t="shared" si="37"/>
        <v>791.48085422898032</v>
      </c>
      <c r="AI48" s="229">
        <f t="shared" si="38"/>
        <v>650.55971976388059</v>
      </c>
      <c r="AJ48" s="229">
        <f t="shared" si="23"/>
        <v>542.1330998032339</v>
      </c>
      <c r="AK48" s="229">
        <f t="shared" si="24"/>
        <v>433.70647984258704</v>
      </c>
      <c r="AL48" s="229">
        <f t="shared" si="31"/>
        <v>4159.4339186207671</v>
      </c>
      <c r="AM48" s="502">
        <f t="shared" si="32"/>
        <v>3418.8573861465197</v>
      </c>
    </row>
    <row r="49" spans="1:39" ht="12.75" customHeight="1" x14ac:dyDescent="0.2">
      <c r="A49" s="255">
        <v>5</v>
      </c>
      <c r="B49" s="2369" t="s">
        <v>149</v>
      </c>
      <c r="C49" s="2371" t="s">
        <v>43</v>
      </c>
      <c r="D49" s="937">
        <v>4.5</v>
      </c>
      <c r="E49" s="938" t="s">
        <v>35</v>
      </c>
      <c r="F49" s="210" t="s">
        <v>117</v>
      </c>
      <c r="G49" s="2134">
        <f>G21</f>
        <v>5.7029230313113137</v>
      </c>
      <c r="H49" s="2086">
        <f>H21</f>
        <v>7.1192833569071192</v>
      </c>
      <c r="I49" s="213"/>
      <c r="J49" s="214">
        <v>12.24</v>
      </c>
      <c r="K49" s="215">
        <v>11.42</v>
      </c>
      <c r="L49" s="215"/>
      <c r="M49" s="216"/>
      <c r="N49" s="305">
        <f t="shared" si="18"/>
        <v>5.2746600000000008</v>
      </c>
      <c r="O49" s="219">
        <f t="shared" si="19"/>
        <v>9.4640000000000004</v>
      </c>
      <c r="P49" s="218">
        <f t="shared" si="20"/>
        <v>16.057944835916008</v>
      </c>
      <c r="Q49" s="219">
        <f t="shared" si="21"/>
        <v>17.40193451921575</v>
      </c>
      <c r="R49" s="220">
        <f t="shared" si="33"/>
        <v>1331.8817230682189</v>
      </c>
      <c r="S49" s="871">
        <f t="shared" si="34"/>
        <v>1063.100196105883</v>
      </c>
      <c r="T49" s="1066">
        <v>1</v>
      </c>
      <c r="U49" s="498" t="s">
        <v>85</v>
      </c>
      <c r="V49" s="498">
        <v>4</v>
      </c>
      <c r="W49" s="498">
        <v>11</v>
      </c>
      <c r="X49" s="498">
        <v>35</v>
      </c>
      <c r="Y49" s="498">
        <v>6.3</v>
      </c>
      <c r="Z49" s="218">
        <v>6.35</v>
      </c>
      <c r="AA49" s="211"/>
      <c r="AB49" s="211">
        <v>5</v>
      </c>
      <c r="AC49" s="307">
        <f t="shared" si="22"/>
        <v>19.446875000000002</v>
      </c>
      <c r="AD49" s="217">
        <f t="shared" si="35"/>
        <v>35.01338390198827</v>
      </c>
      <c r="AE49" s="221">
        <f t="shared" si="36"/>
        <v>36.414205323464138</v>
      </c>
      <c r="AF49" s="157">
        <f t="shared" si="3"/>
        <v>1.1344336384244198</v>
      </c>
      <c r="AG49" s="158">
        <f t="shared" si="4"/>
        <v>1.1798202524802379</v>
      </c>
      <c r="AH49" s="261">
        <f t="shared" si="37"/>
        <v>610.83165502834242</v>
      </c>
      <c r="AI49" s="220">
        <f t="shared" si="38"/>
        <v>508.04349115039446</v>
      </c>
      <c r="AJ49" s="220">
        <f t="shared" si="23"/>
        <v>423.36957595866204</v>
      </c>
      <c r="AK49" s="220">
        <f t="shared" si="24"/>
        <v>338.69566076692962</v>
      </c>
      <c r="AL49" s="220">
        <f t="shared" si="31"/>
        <v>3210.0762651639625</v>
      </c>
      <c r="AM49" s="262">
        <f t="shared" si="32"/>
        <v>2669.8982267663378</v>
      </c>
    </row>
    <row r="50" spans="1:39" ht="12.75" customHeight="1" x14ac:dyDescent="0.2">
      <c r="A50" s="255">
        <v>5</v>
      </c>
      <c r="B50" s="2366"/>
      <c r="C50" s="2372"/>
      <c r="D50" s="937">
        <v>4.5</v>
      </c>
      <c r="E50" s="938" t="s">
        <v>35</v>
      </c>
      <c r="F50" s="210" t="s">
        <v>117</v>
      </c>
      <c r="G50" s="2134">
        <f>G22</f>
        <v>5.7029230313113137</v>
      </c>
      <c r="H50" s="2086">
        <f>H22</f>
        <v>7.1192833569071192</v>
      </c>
      <c r="I50" s="213"/>
      <c r="J50" s="214">
        <v>12.24</v>
      </c>
      <c r="K50" s="215">
        <v>11.42</v>
      </c>
      <c r="L50" s="215"/>
      <c r="M50" s="216"/>
      <c r="N50" s="305">
        <f t="shared" si="18"/>
        <v>5.2746600000000008</v>
      </c>
      <c r="O50" s="219">
        <f t="shared" si="19"/>
        <v>9.4640000000000004</v>
      </c>
      <c r="P50" s="218">
        <f t="shared" si="20"/>
        <v>16.057944835916008</v>
      </c>
      <c r="Q50" s="219">
        <f t="shared" si="21"/>
        <v>17.40193451921575</v>
      </c>
      <c r="R50" s="220">
        <f t="shared" si="33"/>
        <v>1331.8817230682189</v>
      </c>
      <c r="S50" s="871">
        <f t="shared" si="34"/>
        <v>1063.100196105883</v>
      </c>
      <c r="T50" s="1066">
        <v>2</v>
      </c>
      <c r="U50" s="498" t="s">
        <v>85</v>
      </c>
      <c r="V50" s="498">
        <v>4</v>
      </c>
      <c r="W50" s="498">
        <v>11</v>
      </c>
      <c r="X50" s="498">
        <v>35</v>
      </c>
      <c r="Y50" s="498">
        <v>6.3</v>
      </c>
      <c r="Z50" s="218">
        <v>6.35</v>
      </c>
      <c r="AA50" s="211"/>
      <c r="AB50" s="211">
        <v>5</v>
      </c>
      <c r="AC50" s="307">
        <f t="shared" si="22"/>
        <v>19.446875000000002</v>
      </c>
      <c r="AD50" s="217">
        <f t="shared" si="35"/>
        <v>35.01338390198827</v>
      </c>
      <c r="AE50" s="221">
        <f t="shared" si="36"/>
        <v>36.414205323464138</v>
      </c>
      <c r="AF50" s="157">
        <f t="shared" si="3"/>
        <v>1.1344336384244198</v>
      </c>
      <c r="AG50" s="158">
        <f t="shared" si="4"/>
        <v>1.1798202524802379</v>
      </c>
      <c r="AH50" s="261">
        <f t="shared" si="37"/>
        <v>610.83165502834242</v>
      </c>
      <c r="AI50" s="220">
        <f t="shared" si="38"/>
        <v>508.04349115039446</v>
      </c>
      <c r="AJ50" s="220">
        <f t="shared" si="23"/>
        <v>423.36957595866204</v>
      </c>
      <c r="AK50" s="220">
        <f t="shared" si="24"/>
        <v>338.69566076692962</v>
      </c>
      <c r="AL50" s="220">
        <f t="shared" si="31"/>
        <v>3210.0762651639625</v>
      </c>
      <c r="AM50" s="262">
        <f t="shared" si="32"/>
        <v>2669.8982267663378</v>
      </c>
    </row>
    <row r="51" spans="1:39" ht="12.75" customHeight="1" x14ac:dyDescent="0.2">
      <c r="A51" s="254">
        <v>5</v>
      </c>
      <c r="B51" s="2369" t="s">
        <v>101</v>
      </c>
      <c r="C51" s="2370" t="s">
        <v>340</v>
      </c>
      <c r="D51" s="647">
        <v>2.2999999999999998</v>
      </c>
      <c r="E51" s="197" t="s">
        <v>35</v>
      </c>
      <c r="F51" s="656" t="s">
        <v>65</v>
      </c>
      <c r="G51" s="976">
        <v>4.3529999999999998</v>
      </c>
      <c r="H51" s="636">
        <v>4.79</v>
      </c>
      <c r="I51" s="200"/>
      <c r="J51" s="201">
        <v>14.2</v>
      </c>
      <c r="K51" s="202">
        <v>5.7</v>
      </c>
      <c r="L51" s="202"/>
      <c r="M51" s="203"/>
      <c r="N51" s="338">
        <f t="shared" ref="N51:N56" si="39">0.314*I51+0.249*J51+0.195*K51+0.159*L51+0.06*M51</f>
        <v>4.6472999999999995</v>
      </c>
      <c r="O51" s="206">
        <f t="shared" ref="O51:O56" si="40">0.4*SUM(I51:M51)</f>
        <v>7.96</v>
      </c>
      <c r="P51" s="205">
        <f t="shared" ref="P51:P58" si="41">SQRT(POWER(N51,2)+POWER(O51+G51,2))</f>
        <v>13.160826960719451</v>
      </c>
      <c r="Q51" s="206">
        <f t="shared" ref="Q51:Q56" si="42">SQRT(POWER(N51,2)+POWER(O51+H51,2))</f>
        <v>13.570552578653531</v>
      </c>
      <c r="R51" s="207">
        <f t="shared" si="33"/>
        <v>1625.0713804556442</v>
      </c>
      <c r="S51" s="1018">
        <f t="shared" si="34"/>
        <v>1363.2458879456747</v>
      </c>
      <c r="T51" s="1067">
        <v>1</v>
      </c>
      <c r="U51" s="517" t="s">
        <v>50</v>
      </c>
      <c r="V51" s="517">
        <v>6.3</v>
      </c>
      <c r="W51" s="498">
        <v>11</v>
      </c>
      <c r="X51" s="517">
        <v>35</v>
      </c>
      <c r="Y51" s="517">
        <v>6.3</v>
      </c>
      <c r="Z51" s="205">
        <v>7.7</v>
      </c>
      <c r="AA51" s="198"/>
      <c r="AB51" s="198"/>
      <c r="AC51" s="307">
        <f t="shared" ref="AC51:AC56" si="43">Z51/100*X51*X51/V51</f>
        <v>14.972222222222221</v>
      </c>
      <c r="AD51" s="217">
        <f t="shared" si="35"/>
        <v>27.678163757844366</v>
      </c>
      <c r="AE51" s="221">
        <f t="shared" si="36"/>
        <v>28.109055520032538</v>
      </c>
      <c r="AF51" s="157">
        <f t="shared" si="3"/>
        <v>0.89677250575415746</v>
      </c>
      <c r="AG51" s="158">
        <f t="shared" si="4"/>
        <v>0.91073339884905413</v>
      </c>
      <c r="AH51" s="261">
        <f t="shared" si="37"/>
        <v>772.71322708078048</v>
      </c>
      <c r="AI51" s="220">
        <f t="shared" si="38"/>
        <v>658.15089328830584</v>
      </c>
      <c r="AJ51" s="220">
        <f t="shared" ref="AJ51:AJ56" si="44">AI51/1.2</f>
        <v>548.45907774025488</v>
      </c>
      <c r="AK51" s="220">
        <f t="shared" ref="AK51:AK56" si="45">AI51/1.5</f>
        <v>438.76726219220387</v>
      </c>
      <c r="AL51" s="220">
        <f t="shared" si="31"/>
        <v>4060.8052474215187</v>
      </c>
      <c r="AM51" s="262">
        <f t="shared" si="32"/>
        <v>3458.7509407043103</v>
      </c>
    </row>
    <row r="52" spans="1:39" ht="12.75" customHeight="1" x14ac:dyDescent="0.2">
      <c r="A52" s="255">
        <v>5</v>
      </c>
      <c r="B52" s="2366"/>
      <c r="C52" s="2368"/>
      <c r="D52" s="675">
        <v>2.2999999999999998</v>
      </c>
      <c r="E52" s="209" t="s">
        <v>35</v>
      </c>
      <c r="F52" s="210" t="s">
        <v>65</v>
      </c>
      <c r="G52" s="308">
        <v>4.3529999999999998</v>
      </c>
      <c r="H52" s="634">
        <v>4.79</v>
      </c>
      <c r="I52" s="213"/>
      <c r="J52" s="214">
        <v>14.2</v>
      </c>
      <c r="K52" s="215">
        <v>5.7</v>
      </c>
      <c r="L52" s="215"/>
      <c r="M52" s="216"/>
      <c r="N52" s="305">
        <f t="shared" si="39"/>
        <v>4.6472999999999995</v>
      </c>
      <c r="O52" s="219">
        <f t="shared" si="40"/>
        <v>7.96</v>
      </c>
      <c r="P52" s="218">
        <f t="shared" si="41"/>
        <v>13.160826960719451</v>
      </c>
      <c r="Q52" s="219">
        <f t="shared" si="42"/>
        <v>13.570552578653531</v>
      </c>
      <c r="R52" s="220">
        <f t="shared" si="33"/>
        <v>1625.0713804556442</v>
      </c>
      <c r="S52" s="871">
        <f t="shared" si="34"/>
        <v>1363.2458879456747</v>
      </c>
      <c r="T52" s="1066">
        <v>2</v>
      </c>
      <c r="U52" s="498" t="s">
        <v>50</v>
      </c>
      <c r="V52" s="498">
        <v>6.3</v>
      </c>
      <c r="W52" s="498">
        <v>11</v>
      </c>
      <c r="X52" s="498">
        <v>35</v>
      </c>
      <c r="Y52" s="498">
        <v>6.3</v>
      </c>
      <c r="Z52" s="218">
        <v>7.69</v>
      </c>
      <c r="AA52" s="211"/>
      <c r="AB52" s="211"/>
      <c r="AC52" s="307">
        <f t="shared" si="43"/>
        <v>14.952777777777781</v>
      </c>
      <c r="AD52" s="217">
        <f t="shared" si="35"/>
        <v>27.658995555102152</v>
      </c>
      <c r="AE52" s="221">
        <f t="shared" si="36"/>
        <v>28.089878851553248</v>
      </c>
      <c r="AF52" s="157">
        <f t="shared" si="3"/>
        <v>0.89615145598530965</v>
      </c>
      <c r="AG52" s="158">
        <f t="shared" si="4"/>
        <v>0.9101120747903253</v>
      </c>
      <c r="AH52" s="261">
        <f t="shared" si="37"/>
        <v>773.2487318415649</v>
      </c>
      <c r="AI52" s="220">
        <f t="shared" si="38"/>
        <v>658.60020606593071</v>
      </c>
      <c r="AJ52" s="220">
        <f t="shared" si="44"/>
        <v>548.83350505494229</v>
      </c>
      <c r="AK52" s="220">
        <f t="shared" si="45"/>
        <v>439.06680404395382</v>
      </c>
      <c r="AL52" s="220">
        <f t="shared" si="31"/>
        <v>4063.6194616298458</v>
      </c>
      <c r="AM52" s="260">
        <f t="shared" si="32"/>
        <v>3461.1121940401763</v>
      </c>
    </row>
    <row r="53" spans="1:39" ht="12.75" customHeight="1" x14ac:dyDescent="0.2">
      <c r="A53" s="255">
        <v>5</v>
      </c>
      <c r="B53" s="2369" t="s">
        <v>142</v>
      </c>
      <c r="C53" s="2371" t="s">
        <v>43</v>
      </c>
      <c r="D53" s="675">
        <v>4.5</v>
      </c>
      <c r="E53" s="209" t="s">
        <v>35</v>
      </c>
      <c r="F53" s="210" t="s">
        <v>117</v>
      </c>
      <c r="G53" s="2134">
        <f>G21</f>
        <v>5.7029230313113137</v>
      </c>
      <c r="H53" s="2086">
        <f>H21</f>
        <v>7.1192833569071192</v>
      </c>
      <c r="I53" s="213"/>
      <c r="J53" s="214">
        <v>12.17</v>
      </c>
      <c r="K53" s="215">
        <v>3.43</v>
      </c>
      <c r="L53" s="215"/>
      <c r="M53" s="216"/>
      <c r="N53" s="305">
        <f>0.314*I53+0.249*J53+0.195*K53+0.159*L53+0.06*M53</f>
        <v>3.6991800000000001</v>
      </c>
      <c r="O53" s="219">
        <f>0.4*SUM(I53:M53)</f>
        <v>6.24</v>
      </c>
      <c r="P53" s="218">
        <f>SQRT(POWER(N53,2)+POWER(O53+G53,2))</f>
        <v>12.502693437984721</v>
      </c>
      <c r="Q53" s="219">
        <f>SQRT(POWER(N53,2)+POWER(O53+H53,2))</f>
        <v>13.861976211295978</v>
      </c>
      <c r="R53" s="220">
        <f t="shared" si="33"/>
        <v>1710.6140643276929</v>
      </c>
      <c r="S53" s="871">
        <f t="shared" si="34"/>
        <v>1334.5860444432551</v>
      </c>
      <c r="T53" s="1066">
        <v>1</v>
      </c>
      <c r="U53" s="498" t="s">
        <v>214</v>
      </c>
      <c r="V53" s="498">
        <v>6.3</v>
      </c>
      <c r="W53" s="498">
        <v>11</v>
      </c>
      <c r="X53" s="498">
        <v>35</v>
      </c>
      <c r="Y53" s="498">
        <v>6.3</v>
      </c>
      <c r="Z53" s="218">
        <v>6.63</v>
      </c>
      <c r="AA53" s="211"/>
      <c r="AB53" s="211">
        <v>5</v>
      </c>
      <c r="AC53" s="307">
        <f>Z53/100*X53*X53/V53</f>
        <v>12.891666666666667</v>
      </c>
      <c r="AD53" s="217">
        <f t="shared" si="35"/>
        <v>25.108579771450916</v>
      </c>
      <c r="AE53" s="221">
        <f t="shared" si="36"/>
        <v>26.510305728387376</v>
      </c>
      <c r="AF53" s="157">
        <f t="shared" si="3"/>
        <v>0.81351798459500968</v>
      </c>
      <c r="AG53" s="158">
        <f t="shared" si="4"/>
        <v>0.85893390559975091</v>
      </c>
      <c r="AH53" s="261">
        <f t="shared" si="37"/>
        <v>851.7918349691804</v>
      </c>
      <c r="AI53" s="220">
        <f t="shared" si="38"/>
        <v>697.84182006585092</v>
      </c>
      <c r="AJ53" s="220">
        <f t="shared" si="44"/>
        <v>581.53485005487585</v>
      </c>
      <c r="AK53" s="220">
        <f t="shared" si="45"/>
        <v>465.2278800439006</v>
      </c>
      <c r="AL53" s="220">
        <f t="shared" si="31"/>
        <v>4476.3835171053024</v>
      </c>
      <c r="AM53" s="260">
        <f t="shared" si="32"/>
        <v>3667.3368922379555</v>
      </c>
    </row>
    <row r="54" spans="1:39" ht="12.75" customHeight="1" x14ac:dyDescent="0.2">
      <c r="A54" s="255">
        <v>5</v>
      </c>
      <c r="B54" s="2366"/>
      <c r="C54" s="2372"/>
      <c r="D54" s="675">
        <v>4.5</v>
      </c>
      <c r="E54" s="209" t="s">
        <v>35</v>
      </c>
      <c r="F54" s="210" t="s">
        <v>117</v>
      </c>
      <c r="G54" s="2134">
        <f>G22</f>
        <v>5.7029230313113137</v>
      </c>
      <c r="H54" s="2086">
        <f>H22</f>
        <v>7.1192833569071192</v>
      </c>
      <c r="I54" s="213"/>
      <c r="J54" s="214">
        <v>12.17</v>
      </c>
      <c r="K54" s="215">
        <v>3.43</v>
      </c>
      <c r="L54" s="215"/>
      <c r="M54" s="216"/>
      <c r="N54" s="305">
        <f>0.314*I54+0.249*J54+0.195*K54+0.159*L54+0.06*M54</f>
        <v>3.6991800000000001</v>
      </c>
      <c r="O54" s="219">
        <f>0.4*SUM(I54:M54)</f>
        <v>6.24</v>
      </c>
      <c r="P54" s="218">
        <f>SQRT(POWER(N54,2)+POWER(O54+G54,2))</f>
        <v>12.502693437984721</v>
      </c>
      <c r="Q54" s="219">
        <f>SQRT(POWER(N54,2)+POWER(O54+H54,2))</f>
        <v>13.861976211295978</v>
      </c>
      <c r="R54" s="220">
        <f t="shared" si="33"/>
        <v>1710.6140643276929</v>
      </c>
      <c r="S54" s="871">
        <f t="shared" si="34"/>
        <v>1334.5860444432551</v>
      </c>
      <c r="T54" s="1066">
        <v>2</v>
      </c>
      <c r="U54" s="498" t="s">
        <v>214</v>
      </c>
      <c r="V54" s="498">
        <v>6.3</v>
      </c>
      <c r="W54" s="498">
        <v>11</v>
      </c>
      <c r="X54" s="498">
        <v>35</v>
      </c>
      <c r="Y54" s="498">
        <v>6.3</v>
      </c>
      <c r="Z54" s="218">
        <v>6.63</v>
      </c>
      <c r="AA54" s="211"/>
      <c r="AB54" s="211">
        <v>5</v>
      </c>
      <c r="AC54" s="307">
        <f>Z54/100*X54*X54/V54</f>
        <v>12.891666666666667</v>
      </c>
      <c r="AD54" s="217">
        <f t="shared" si="35"/>
        <v>25.108579771450916</v>
      </c>
      <c r="AE54" s="221">
        <f t="shared" si="36"/>
        <v>26.510305728387376</v>
      </c>
      <c r="AF54" s="157">
        <f t="shared" si="3"/>
        <v>0.81351798459500968</v>
      </c>
      <c r="AG54" s="158">
        <f t="shared" si="4"/>
        <v>0.85893390559975091</v>
      </c>
      <c r="AH54" s="261">
        <f t="shared" si="37"/>
        <v>851.7918349691804</v>
      </c>
      <c r="AI54" s="220">
        <f t="shared" si="38"/>
        <v>697.84182006585092</v>
      </c>
      <c r="AJ54" s="220">
        <f t="shared" si="44"/>
        <v>581.53485005487585</v>
      </c>
      <c r="AK54" s="220">
        <f t="shared" si="45"/>
        <v>465.2278800439006</v>
      </c>
      <c r="AL54" s="220">
        <f t="shared" si="31"/>
        <v>4476.3835171053024</v>
      </c>
      <c r="AM54" s="260">
        <f t="shared" si="32"/>
        <v>3667.3368922379555</v>
      </c>
    </row>
    <row r="55" spans="1:39" ht="12.75" customHeight="1" x14ac:dyDescent="0.2">
      <c r="A55" s="255">
        <v>5</v>
      </c>
      <c r="B55" s="2369" t="s">
        <v>114</v>
      </c>
      <c r="C55" s="2370" t="s">
        <v>354</v>
      </c>
      <c r="D55" s="675">
        <v>2.2999999999999998</v>
      </c>
      <c r="E55" s="209" t="s">
        <v>35</v>
      </c>
      <c r="F55" s="210" t="s">
        <v>117</v>
      </c>
      <c r="G55" s="2134">
        <f>G21</f>
        <v>5.7029230313113137</v>
      </c>
      <c r="H55" s="2086">
        <f>H21</f>
        <v>7.1192833569071192</v>
      </c>
      <c r="I55" s="213"/>
      <c r="J55" s="214">
        <v>0.23</v>
      </c>
      <c r="K55" s="215"/>
      <c r="L55" s="215">
        <v>8.6999999999999993</v>
      </c>
      <c r="M55" s="216"/>
      <c r="N55" s="305">
        <f t="shared" si="39"/>
        <v>1.4405699999999999</v>
      </c>
      <c r="O55" s="219">
        <f t="shared" si="40"/>
        <v>3.5720000000000001</v>
      </c>
      <c r="P55" s="218">
        <f t="shared" si="41"/>
        <v>9.3861301483438346</v>
      </c>
      <c r="Q55" s="219">
        <f t="shared" si="42"/>
        <v>10.787899783673334</v>
      </c>
      <c r="R55" s="220">
        <f t="shared" si="33"/>
        <v>2278.6050160158889</v>
      </c>
      <c r="S55" s="871">
        <f t="shared" si="34"/>
        <v>1714.8843028740723</v>
      </c>
      <c r="T55" s="1066">
        <v>1</v>
      </c>
      <c r="U55" s="498" t="s">
        <v>212</v>
      </c>
      <c r="V55" s="498">
        <v>16</v>
      </c>
      <c r="W55" s="498">
        <v>11</v>
      </c>
      <c r="X55" s="498">
        <v>35</v>
      </c>
      <c r="Y55" s="498">
        <v>6.3</v>
      </c>
      <c r="Z55" s="218">
        <v>10.199999999999999</v>
      </c>
      <c r="AA55" s="211"/>
      <c r="AB55" s="211"/>
      <c r="AC55" s="307">
        <f t="shared" si="43"/>
        <v>7.8093749999999993</v>
      </c>
      <c r="AD55" s="217">
        <f t="shared" si="35"/>
        <v>17.144925813416855</v>
      </c>
      <c r="AE55" s="221">
        <f t="shared" si="36"/>
        <v>18.556659224221828</v>
      </c>
      <c r="AF55" s="157">
        <f t="shared" si="3"/>
        <v>0.55549559635470602</v>
      </c>
      <c r="AG55" s="158">
        <f t="shared" si="4"/>
        <v>0.6012357588647872</v>
      </c>
      <c r="AH55" s="261">
        <f t="shared" si="37"/>
        <v>1247.4409903983069</v>
      </c>
      <c r="AI55" s="220">
        <f t="shared" si="38"/>
        <v>996.94669048252649</v>
      </c>
      <c r="AJ55" s="220">
        <f t="shared" si="44"/>
        <v>830.78890873543878</v>
      </c>
      <c r="AK55" s="220">
        <f t="shared" si="45"/>
        <v>664.63112698835096</v>
      </c>
      <c r="AL55" s="220">
        <f t="shared" si="31"/>
        <v>6555.6208204115237</v>
      </c>
      <c r="AM55" s="260">
        <f t="shared" si="32"/>
        <v>5239.2093343676324</v>
      </c>
    </row>
    <row r="56" spans="1:39" ht="12.75" customHeight="1" x14ac:dyDescent="0.2">
      <c r="A56" s="255">
        <v>5</v>
      </c>
      <c r="B56" s="2366"/>
      <c r="C56" s="2368"/>
      <c r="D56" s="675">
        <v>2.2999999999999998</v>
      </c>
      <c r="E56" s="209" t="s">
        <v>35</v>
      </c>
      <c r="F56" s="210" t="s">
        <v>117</v>
      </c>
      <c r="G56" s="2134">
        <f>G22</f>
        <v>5.7029230313113137</v>
      </c>
      <c r="H56" s="2086">
        <f>H22</f>
        <v>7.1192833569071192</v>
      </c>
      <c r="I56" s="213"/>
      <c r="J56" s="214">
        <v>0.23</v>
      </c>
      <c r="K56" s="215"/>
      <c r="L56" s="215">
        <v>8.6999999999999993</v>
      </c>
      <c r="M56" s="216"/>
      <c r="N56" s="305">
        <f t="shared" si="39"/>
        <v>1.4405699999999999</v>
      </c>
      <c r="O56" s="219">
        <f t="shared" si="40"/>
        <v>3.5720000000000001</v>
      </c>
      <c r="P56" s="218">
        <f t="shared" si="41"/>
        <v>9.3861301483438346</v>
      </c>
      <c r="Q56" s="219">
        <f t="shared" si="42"/>
        <v>10.787899783673334</v>
      </c>
      <c r="R56" s="220">
        <f t="shared" si="33"/>
        <v>2278.6050160158889</v>
      </c>
      <c r="S56" s="871">
        <f t="shared" si="34"/>
        <v>1714.8843028740723</v>
      </c>
      <c r="T56" s="1066">
        <v>2</v>
      </c>
      <c r="U56" s="498" t="s">
        <v>212</v>
      </c>
      <c r="V56" s="498">
        <v>16</v>
      </c>
      <c r="W56" s="498">
        <v>11</v>
      </c>
      <c r="X56" s="498">
        <v>35</v>
      </c>
      <c r="Y56" s="498">
        <v>6.3</v>
      </c>
      <c r="Z56" s="218">
        <v>10.1</v>
      </c>
      <c r="AA56" s="211"/>
      <c r="AB56" s="211"/>
      <c r="AC56" s="307">
        <f t="shared" si="43"/>
        <v>7.7328124999999996</v>
      </c>
      <c r="AD56" s="217">
        <f t="shared" si="35"/>
        <v>17.068635265536884</v>
      </c>
      <c r="AE56" s="221">
        <f t="shared" si="36"/>
        <v>18.480328732720153</v>
      </c>
      <c r="AF56" s="157">
        <f t="shared" si="3"/>
        <v>0.55302378260339502</v>
      </c>
      <c r="AG56" s="158">
        <f t="shared" si="4"/>
        <v>0.59876265094013292</v>
      </c>
      <c r="AH56" s="261">
        <f t="shared" si="37"/>
        <v>1253.0165947231342</v>
      </c>
      <c r="AI56" s="220">
        <f t="shared" si="38"/>
        <v>1001.0644435802171</v>
      </c>
      <c r="AJ56" s="220">
        <f t="shared" si="44"/>
        <v>834.22036965018094</v>
      </c>
      <c r="AK56" s="220">
        <f t="shared" si="45"/>
        <v>667.37629572014475</v>
      </c>
      <c r="AL56" s="220">
        <f t="shared" si="31"/>
        <v>6584.9220443407939</v>
      </c>
      <c r="AM56" s="260">
        <f t="shared" si="32"/>
        <v>5260.8491779741144</v>
      </c>
    </row>
    <row r="57" spans="1:39" ht="12.75" customHeight="1" x14ac:dyDescent="0.2">
      <c r="A57" s="255">
        <v>5</v>
      </c>
      <c r="B57" s="2369" t="s">
        <v>116</v>
      </c>
      <c r="C57" s="2370" t="s">
        <v>340</v>
      </c>
      <c r="D57" s="675">
        <v>2.4</v>
      </c>
      <c r="E57" s="209" t="s">
        <v>35</v>
      </c>
      <c r="F57" s="210" t="s">
        <v>115</v>
      </c>
      <c r="G57" s="308">
        <v>4.2770000000000001</v>
      </c>
      <c r="H57" s="634">
        <v>6.3559999999999999</v>
      </c>
      <c r="I57" s="213"/>
      <c r="J57" s="214"/>
      <c r="K57" s="215"/>
      <c r="L57" s="215">
        <v>3.8</v>
      </c>
      <c r="M57" s="216"/>
      <c r="N57" s="305">
        <f t="shared" ref="N57:N78" si="46">0.314*I57+0.249*J57+0.195*K57+0.159*L57+0.06*M57</f>
        <v>0.60419999999999996</v>
      </c>
      <c r="O57" s="219">
        <f t="shared" ref="O57:O78" si="47">0.4*SUM(I57:M57)</f>
        <v>1.52</v>
      </c>
      <c r="P57" s="218">
        <f t="shared" si="41"/>
        <v>5.8284017225994305</v>
      </c>
      <c r="Q57" s="219">
        <f t="shared" ref="Q57:Q78" si="48">SQRT(POWER(N57,2)+POWER(O57+H57,2))</f>
        <v>7.8991413229540335</v>
      </c>
      <c r="R57" s="220">
        <f t="shared" si="33"/>
        <v>3669.4936716640091</v>
      </c>
      <c r="S57" s="871">
        <f t="shared" si="34"/>
        <v>2342.026714503897</v>
      </c>
      <c r="T57" s="1066">
        <v>1</v>
      </c>
      <c r="U57" s="498" t="s">
        <v>118</v>
      </c>
      <c r="V57" s="498">
        <v>6.3</v>
      </c>
      <c r="W57" s="498">
        <v>11</v>
      </c>
      <c r="X57" s="498">
        <v>35</v>
      </c>
      <c r="Y57" s="498">
        <v>6.3</v>
      </c>
      <c r="Z57" s="218">
        <v>7.64</v>
      </c>
      <c r="AA57" s="211"/>
      <c r="AB57" s="211"/>
      <c r="AC57" s="307">
        <f t="shared" ref="AC57:AC78" si="49">Z57/100*X57*X57/V57</f>
        <v>14.855555555555556</v>
      </c>
      <c r="AD57" s="217">
        <f t="shared" si="35"/>
        <v>20.661391739553963</v>
      </c>
      <c r="AE57" s="221">
        <f t="shared" si="36"/>
        <v>22.73958389274766</v>
      </c>
      <c r="AF57" s="2132">
        <f t="shared" si="3"/>
        <v>0.66942909236154835</v>
      </c>
      <c r="AG57" s="2133">
        <f t="shared" si="4"/>
        <v>0.73676251812502402</v>
      </c>
      <c r="AH57" s="261">
        <f t="shared" si="37"/>
        <v>1035.1327493612455</v>
      </c>
      <c r="AI57" s="220">
        <f t="shared" si="38"/>
        <v>813.55930201960336</v>
      </c>
      <c r="AJ57" s="220">
        <f t="shared" ref="AJ57:AJ78" si="50">AI57/1.2</f>
        <v>677.96608501633614</v>
      </c>
      <c r="AK57" s="220">
        <f t="shared" ref="AK57:AK78" si="51">AI57/1.5</f>
        <v>542.37286801306891</v>
      </c>
      <c r="AL57" s="220">
        <f t="shared" si="31"/>
        <v>5439.8868209675065</v>
      </c>
      <c r="AM57" s="260">
        <f t="shared" si="32"/>
        <v>4275.4617974003186</v>
      </c>
    </row>
    <row r="58" spans="1:39" ht="12.75" customHeight="1" x14ac:dyDescent="0.2">
      <c r="A58" s="255">
        <v>5</v>
      </c>
      <c r="B58" s="2366"/>
      <c r="C58" s="2368"/>
      <c r="D58" s="675">
        <v>2.4</v>
      </c>
      <c r="E58" s="209" t="s">
        <v>35</v>
      </c>
      <c r="F58" s="210" t="s">
        <v>115</v>
      </c>
      <c r="G58" s="308">
        <v>4.2770000000000001</v>
      </c>
      <c r="H58" s="634">
        <v>6.3559999999999999</v>
      </c>
      <c r="I58" s="213"/>
      <c r="J58" s="214"/>
      <c r="K58" s="215"/>
      <c r="L58" s="215">
        <v>3.8</v>
      </c>
      <c r="M58" s="216"/>
      <c r="N58" s="305">
        <f t="shared" si="46"/>
        <v>0.60419999999999996</v>
      </c>
      <c r="O58" s="219">
        <f t="shared" si="47"/>
        <v>1.52</v>
      </c>
      <c r="P58" s="218">
        <f t="shared" si="41"/>
        <v>5.8284017225994305</v>
      </c>
      <c r="Q58" s="219">
        <f t="shared" si="48"/>
        <v>7.8991413229540335</v>
      </c>
      <c r="R58" s="220">
        <f t="shared" si="33"/>
        <v>3669.4936716640091</v>
      </c>
      <c r="S58" s="871">
        <f t="shared" si="34"/>
        <v>2342.026714503897</v>
      </c>
      <c r="T58" s="1065">
        <v>2</v>
      </c>
      <c r="U58" s="499" t="s">
        <v>118</v>
      </c>
      <c r="V58" s="499">
        <v>6.3</v>
      </c>
      <c r="W58" s="498">
        <v>11</v>
      </c>
      <c r="X58" s="499">
        <v>35</v>
      </c>
      <c r="Y58" s="499">
        <v>6.3</v>
      </c>
      <c r="Z58" s="227">
        <v>7.3</v>
      </c>
      <c r="AA58" s="211"/>
      <c r="AB58" s="211"/>
      <c r="AC58" s="307">
        <f t="shared" si="49"/>
        <v>14.194444444444443</v>
      </c>
      <c r="AD58" s="217">
        <f t="shared" si="35"/>
        <v>20.000572707182876</v>
      </c>
      <c r="AE58" s="221">
        <f t="shared" si="36"/>
        <v>22.078713178428412</v>
      </c>
      <c r="AF58" s="2132">
        <f t="shared" si="3"/>
        <v>0.64801855571272515</v>
      </c>
      <c r="AG58" s="2133">
        <f t="shared" si="4"/>
        <v>0.71535030698108049</v>
      </c>
      <c r="AH58" s="261">
        <f t="shared" si="37"/>
        <v>1069.333541099717</v>
      </c>
      <c r="AI58" s="220">
        <f t="shared" si="38"/>
        <v>837.91115227109674</v>
      </c>
      <c r="AJ58" s="220">
        <f t="shared" si="50"/>
        <v>698.25929355924734</v>
      </c>
      <c r="AK58" s="220">
        <f t="shared" si="51"/>
        <v>558.60743484739783</v>
      </c>
      <c r="AL58" s="220">
        <f t="shared" si="31"/>
        <v>5619.6207114850004</v>
      </c>
      <c r="AM58" s="260">
        <f t="shared" si="32"/>
        <v>4403.436986409668</v>
      </c>
    </row>
    <row r="59" spans="1:39" ht="12.75" customHeight="1" x14ac:dyDescent="0.2">
      <c r="A59" s="255">
        <v>5</v>
      </c>
      <c r="B59" s="2369" t="s">
        <v>349</v>
      </c>
      <c r="C59" s="2371" t="s">
        <v>43</v>
      </c>
      <c r="D59" s="675">
        <v>2.4</v>
      </c>
      <c r="E59" s="209" t="s">
        <v>35</v>
      </c>
      <c r="F59" s="210" t="s">
        <v>115</v>
      </c>
      <c r="G59" s="308">
        <v>4.2770000000000001</v>
      </c>
      <c r="H59" s="634">
        <v>6.3559999999999999</v>
      </c>
      <c r="I59" s="213"/>
      <c r="J59" s="214">
        <v>0.8</v>
      </c>
      <c r="K59" s="215"/>
      <c r="L59" s="215">
        <v>6.95</v>
      </c>
      <c r="M59" s="216"/>
      <c r="N59" s="305">
        <f t="shared" si="46"/>
        <v>1.3042500000000001</v>
      </c>
      <c r="O59" s="219">
        <f t="shared" si="47"/>
        <v>3.1</v>
      </c>
      <c r="P59" s="218">
        <f t="shared" ref="P59:P84" si="52">SQRT(POWER(N59,2)+POWER(O59+G59,2))</f>
        <v>7.4914082162501341</v>
      </c>
      <c r="Q59" s="219">
        <f t="shared" si="48"/>
        <v>9.5455227233766511</v>
      </c>
      <c r="R59" s="220">
        <f t="shared" si="33"/>
        <v>2854.9082655249754</v>
      </c>
      <c r="S59" s="871">
        <f t="shared" si="34"/>
        <v>1938.0813954477471</v>
      </c>
      <c r="T59" s="1066">
        <v>1</v>
      </c>
      <c r="U59" s="498" t="s">
        <v>50</v>
      </c>
      <c r="V59" s="498">
        <v>6.3</v>
      </c>
      <c r="W59" s="498">
        <v>11</v>
      </c>
      <c r="X59" s="498">
        <v>35</v>
      </c>
      <c r="Y59" s="498">
        <v>6.3</v>
      </c>
      <c r="Z59" s="218">
        <v>7.97</v>
      </c>
      <c r="AA59" s="211"/>
      <c r="AB59" s="211">
        <v>5</v>
      </c>
      <c r="AC59" s="307">
        <f t="shared" si="49"/>
        <v>15.497222222222222</v>
      </c>
      <c r="AD59" s="217">
        <f t="shared" si="35"/>
        <v>22.911375129705874</v>
      </c>
      <c r="AE59" s="221">
        <f t="shared" si="36"/>
        <v>24.987284112806357</v>
      </c>
      <c r="AF59" s="2132">
        <f t="shared" si="3"/>
        <v>0.74232855420247024</v>
      </c>
      <c r="AG59" s="2133">
        <f t="shared" si="4"/>
        <v>0.80958800525492591</v>
      </c>
      <c r="AH59" s="261">
        <f t="shared" si="37"/>
        <v>933.47881198385232</v>
      </c>
      <c r="AI59" s="220">
        <f t="shared" si="38"/>
        <v>740.37658180380129</v>
      </c>
      <c r="AJ59" s="220">
        <f t="shared" si="50"/>
        <v>616.98048483650109</v>
      </c>
      <c r="AK59" s="220">
        <f t="shared" si="51"/>
        <v>493.58438786920084</v>
      </c>
      <c r="AL59" s="220">
        <f t="shared" si="31"/>
        <v>4905.6694323475731</v>
      </c>
      <c r="AM59" s="260">
        <f t="shared" si="32"/>
        <v>3890.8679223923496</v>
      </c>
    </row>
    <row r="60" spans="1:39" ht="12.75" customHeight="1" x14ac:dyDescent="0.2">
      <c r="A60" s="255">
        <v>5</v>
      </c>
      <c r="B60" s="2366"/>
      <c r="C60" s="2372"/>
      <c r="D60" s="675">
        <v>2.4</v>
      </c>
      <c r="E60" s="209" t="s">
        <v>35</v>
      </c>
      <c r="F60" s="210" t="s">
        <v>115</v>
      </c>
      <c r="G60" s="308">
        <v>4.2770000000000001</v>
      </c>
      <c r="H60" s="634">
        <v>6.3559999999999999</v>
      </c>
      <c r="I60" s="213"/>
      <c r="J60" s="214">
        <v>0.8</v>
      </c>
      <c r="K60" s="215"/>
      <c r="L60" s="215">
        <v>6.95</v>
      </c>
      <c r="M60" s="216"/>
      <c r="N60" s="305">
        <f t="shared" si="46"/>
        <v>1.3042500000000001</v>
      </c>
      <c r="O60" s="219">
        <f t="shared" si="47"/>
        <v>3.1</v>
      </c>
      <c r="P60" s="218">
        <f t="shared" si="52"/>
        <v>7.4914082162501341</v>
      </c>
      <c r="Q60" s="219">
        <f t="shared" si="48"/>
        <v>9.5455227233766511</v>
      </c>
      <c r="R60" s="220">
        <f t="shared" si="33"/>
        <v>2854.9082655249754</v>
      </c>
      <c r="S60" s="871">
        <f t="shared" si="34"/>
        <v>1938.0813954477471</v>
      </c>
      <c r="T60" s="1066">
        <v>2</v>
      </c>
      <c r="U60" s="498" t="s">
        <v>50</v>
      </c>
      <c r="V60" s="498">
        <v>6.3</v>
      </c>
      <c r="W60" s="498">
        <v>11</v>
      </c>
      <c r="X60" s="498">
        <v>35</v>
      </c>
      <c r="Y60" s="498">
        <v>6.3</v>
      </c>
      <c r="Z60" s="218">
        <v>8.1</v>
      </c>
      <c r="AA60" s="211"/>
      <c r="AB60" s="211">
        <v>5</v>
      </c>
      <c r="AC60" s="307">
        <f t="shared" si="49"/>
        <v>15.75</v>
      </c>
      <c r="AD60" s="217">
        <f t="shared" si="35"/>
        <v>23.163747474502049</v>
      </c>
      <c r="AE60" s="221">
        <f t="shared" si="36"/>
        <v>25.239720760390757</v>
      </c>
      <c r="AF60" s="2132">
        <f t="shared" si="3"/>
        <v>0.7505054181738664</v>
      </c>
      <c r="AG60" s="2133">
        <f t="shared" si="4"/>
        <v>0.81776695263666033</v>
      </c>
      <c r="AH60" s="261">
        <f t="shared" si="37"/>
        <v>923.30842669290416</v>
      </c>
      <c r="AI60" s="220">
        <f t="shared" si="38"/>
        <v>732.97165906179339</v>
      </c>
      <c r="AJ60" s="220">
        <f t="shared" si="50"/>
        <v>610.80971588482782</v>
      </c>
      <c r="AK60" s="220">
        <f t="shared" si="51"/>
        <v>488.64777270786226</v>
      </c>
      <c r="AL60" s="220">
        <f t="shared" si="31"/>
        <v>4852.2214615993462</v>
      </c>
      <c r="AM60" s="260">
        <f t="shared" si="32"/>
        <v>3851.9531632376534</v>
      </c>
    </row>
    <row r="61" spans="1:39" ht="12.75" customHeight="1" x14ac:dyDescent="0.2">
      <c r="A61" s="255">
        <v>5</v>
      </c>
      <c r="B61" s="2369" t="s">
        <v>128</v>
      </c>
      <c r="C61" s="2371" t="s">
        <v>43</v>
      </c>
      <c r="D61" s="675">
        <v>2.2999999999999998</v>
      </c>
      <c r="E61" s="209" t="s">
        <v>35</v>
      </c>
      <c r="F61" s="210" t="s">
        <v>65</v>
      </c>
      <c r="G61" s="308">
        <v>4.3529999999999998</v>
      </c>
      <c r="H61" s="634">
        <v>4.79</v>
      </c>
      <c r="I61" s="213"/>
      <c r="J61" s="214">
        <v>14.2</v>
      </c>
      <c r="K61" s="215">
        <v>5.7</v>
      </c>
      <c r="L61" s="215"/>
      <c r="M61" s="216"/>
      <c r="N61" s="305">
        <f t="shared" si="46"/>
        <v>4.6472999999999995</v>
      </c>
      <c r="O61" s="219">
        <f t="shared" si="47"/>
        <v>7.96</v>
      </c>
      <c r="P61" s="218">
        <f t="shared" si="52"/>
        <v>13.160826960719451</v>
      </c>
      <c r="Q61" s="219">
        <f t="shared" si="48"/>
        <v>13.570552578653531</v>
      </c>
      <c r="R61" s="220">
        <f t="shared" si="33"/>
        <v>1625.0713804556442</v>
      </c>
      <c r="S61" s="871">
        <f t="shared" si="34"/>
        <v>1363.2458879456747</v>
      </c>
      <c r="T61" s="1066">
        <v>1</v>
      </c>
      <c r="U61" s="498" t="s">
        <v>213</v>
      </c>
      <c r="V61" s="498">
        <v>4</v>
      </c>
      <c r="W61" s="498">
        <v>11</v>
      </c>
      <c r="X61" s="498">
        <v>35</v>
      </c>
      <c r="Y61" s="498">
        <v>6.3</v>
      </c>
      <c r="Z61" s="218">
        <v>6.35</v>
      </c>
      <c r="AA61" s="211"/>
      <c r="AB61" s="211">
        <v>5</v>
      </c>
      <c r="AC61" s="307">
        <f t="shared" si="49"/>
        <v>19.446875000000002</v>
      </c>
      <c r="AD61" s="217">
        <f t="shared" si="35"/>
        <v>32.098084947635506</v>
      </c>
      <c r="AE61" s="221">
        <f t="shared" si="36"/>
        <v>32.530541911496421</v>
      </c>
      <c r="AF61" s="157">
        <f t="shared" si="3"/>
        <v>1.0399779523033903</v>
      </c>
      <c r="AG61" s="158">
        <f t="shared" si="4"/>
        <v>1.0539895579324841</v>
      </c>
      <c r="AH61" s="261">
        <f t="shared" si="37"/>
        <v>666.31025719712625</v>
      </c>
      <c r="AI61" s="220">
        <f t="shared" si="38"/>
        <v>568.69633621018863</v>
      </c>
      <c r="AJ61" s="220">
        <f t="shared" si="50"/>
        <v>473.91361350849053</v>
      </c>
      <c r="AK61" s="220">
        <f t="shared" si="51"/>
        <v>379.13089080679242</v>
      </c>
      <c r="AL61" s="220">
        <f t="shared" si="31"/>
        <v>3501.6304807656788</v>
      </c>
      <c r="AM61" s="260">
        <f t="shared" si="32"/>
        <v>2988.6444095130032</v>
      </c>
    </row>
    <row r="62" spans="1:39" ht="12.75" customHeight="1" x14ac:dyDescent="0.2">
      <c r="A62" s="255">
        <v>5</v>
      </c>
      <c r="B62" s="2366"/>
      <c r="C62" s="2372"/>
      <c r="D62" s="675">
        <v>2.2999999999999998</v>
      </c>
      <c r="E62" s="209" t="s">
        <v>35</v>
      </c>
      <c r="F62" s="210" t="s">
        <v>65</v>
      </c>
      <c r="G62" s="308">
        <v>4.3529999999999998</v>
      </c>
      <c r="H62" s="634">
        <v>4.79</v>
      </c>
      <c r="I62" s="213"/>
      <c r="J62" s="214">
        <v>14.2</v>
      </c>
      <c r="K62" s="215">
        <v>5.7</v>
      </c>
      <c r="L62" s="215"/>
      <c r="M62" s="216"/>
      <c r="N62" s="305">
        <f t="shared" si="46"/>
        <v>4.6472999999999995</v>
      </c>
      <c r="O62" s="219">
        <f t="shared" si="47"/>
        <v>7.96</v>
      </c>
      <c r="P62" s="218">
        <f t="shared" si="52"/>
        <v>13.160826960719451</v>
      </c>
      <c r="Q62" s="219">
        <f t="shared" si="48"/>
        <v>13.570552578653531</v>
      </c>
      <c r="R62" s="220">
        <f t="shared" si="33"/>
        <v>1625.0713804556442</v>
      </c>
      <c r="S62" s="871">
        <f t="shared" si="34"/>
        <v>1363.2458879456747</v>
      </c>
      <c r="T62" s="1066">
        <v>2</v>
      </c>
      <c r="U62" s="498" t="s">
        <v>213</v>
      </c>
      <c r="V62" s="498">
        <v>4</v>
      </c>
      <c r="W62" s="498">
        <v>11</v>
      </c>
      <c r="X62" s="498">
        <v>35</v>
      </c>
      <c r="Y62" s="498">
        <v>6.3</v>
      </c>
      <c r="Z62" s="218">
        <v>6.35</v>
      </c>
      <c r="AA62" s="211"/>
      <c r="AB62" s="211">
        <v>5</v>
      </c>
      <c r="AC62" s="307">
        <f t="shared" si="49"/>
        <v>19.446875000000002</v>
      </c>
      <c r="AD62" s="217">
        <f t="shared" si="35"/>
        <v>32.098084947635506</v>
      </c>
      <c r="AE62" s="221">
        <f t="shared" si="36"/>
        <v>32.530541911496421</v>
      </c>
      <c r="AF62" s="157">
        <f t="shared" si="3"/>
        <v>1.0399779523033903</v>
      </c>
      <c r="AG62" s="158">
        <f t="shared" si="4"/>
        <v>1.0539895579324841</v>
      </c>
      <c r="AH62" s="261">
        <f t="shared" si="37"/>
        <v>666.31025719712625</v>
      </c>
      <c r="AI62" s="220">
        <f t="shared" si="38"/>
        <v>568.69633621018863</v>
      </c>
      <c r="AJ62" s="220">
        <f t="shared" si="50"/>
        <v>473.91361350849053</v>
      </c>
      <c r="AK62" s="220">
        <f t="shared" si="51"/>
        <v>379.13089080679242</v>
      </c>
      <c r="AL62" s="220">
        <f t="shared" si="31"/>
        <v>3501.6304807656788</v>
      </c>
      <c r="AM62" s="260">
        <f t="shared" si="32"/>
        <v>2988.6444095130032</v>
      </c>
    </row>
    <row r="63" spans="1:39" ht="12.75" customHeight="1" x14ac:dyDescent="0.2">
      <c r="A63" s="255">
        <v>5</v>
      </c>
      <c r="B63" s="2369" t="s">
        <v>138</v>
      </c>
      <c r="C63" s="2371" t="s">
        <v>43</v>
      </c>
      <c r="D63" s="675">
        <v>4.5</v>
      </c>
      <c r="E63" s="500" t="s">
        <v>35</v>
      </c>
      <c r="F63" s="210" t="s">
        <v>117</v>
      </c>
      <c r="G63" s="2134">
        <f>G21</f>
        <v>5.7029230313113137</v>
      </c>
      <c r="H63" s="2086">
        <f>H21</f>
        <v>7.1192833569071192</v>
      </c>
      <c r="I63" s="213"/>
      <c r="J63" s="214">
        <v>12.17</v>
      </c>
      <c r="K63" s="215">
        <v>14.3</v>
      </c>
      <c r="L63" s="215"/>
      <c r="M63" s="216"/>
      <c r="N63" s="305">
        <f t="shared" si="46"/>
        <v>5.8188300000000002</v>
      </c>
      <c r="O63" s="219">
        <f t="shared" si="47"/>
        <v>10.588000000000001</v>
      </c>
      <c r="P63" s="218">
        <f t="shared" si="52"/>
        <v>17.298929324701266</v>
      </c>
      <c r="Q63" s="219">
        <f t="shared" si="48"/>
        <v>18.638848313420542</v>
      </c>
      <c r="R63" s="220">
        <f t="shared" si="33"/>
        <v>1236.3356619103104</v>
      </c>
      <c r="S63" s="871">
        <f t="shared" si="34"/>
        <v>992.55059587986625</v>
      </c>
      <c r="T63" s="1066">
        <v>1</v>
      </c>
      <c r="U63" s="498" t="s">
        <v>85</v>
      </c>
      <c r="V63" s="498">
        <v>4</v>
      </c>
      <c r="W63" s="498">
        <v>11</v>
      </c>
      <c r="X63" s="498">
        <v>35</v>
      </c>
      <c r="Y63" s="498">
        <v>6.3</v>
      </c>
      <c r="Z63" s="218">
        <v>6.27</v>
      </c>
      <c r="AA63" s="211"/>
      <c r="AB63" s="211">
        <v>5</v>
      </c>
      <c r="AC63" s="307">
        <f t="shared" si="49"/>
        <v>19.201874999999998</v>
      </c>
      <c r="AD63" s="217">
        <f t="shared" si="35"/>
        <v>35.96661639159786</v>
      </c>
      <c r="AE63" s="221">
        <f t="shared" si="36"/>
        <v>37.365020449400895</v>
      </c>
      <c r="AF63" s="157">
        <f t="shared" si="3"/>
        <v>1.1653183710877706</v>
      </c>
      <c r="AG63" s="158">
        <f t="shared" si="4"/>
        <v>1.2106266625605886</v>
      </c>
      <c r="AH63" s="261">
        <f t="shared" si="37"/>
        <v>594.64262648822557</v>
      </c>
      <c r="AI63" s="220">
        <f t="shared" si="38"/>
        <v>495.1154790628953</v>
      </c>
      <c r="AJ63" s="220">
        <f t="shared" si="50"/>
        <v>412.59623255241274</v>
      </c>
      <c r="AK63" s="220">
        <f t="shared" si="51"/>
        <v>330.07698604193018</v>
      </c>
      <c r="AL63" s="220">
        <f t="shared" si="31"/>
        <v>3124.9987878510356</v>
      </c>
      <c r="AM63" s="260">
        <f t="shared" si="32"/>
        <v>2601.9582233035044</v>
      </c>
    </row>
    <row r="64" spans="1:39" ht="12.75" customHeight="1" x14ac:dyDescent="0.2">
      <c r="A64" s="255">
        <v>5</v>
      </c>
      <c r="B64" s="2366"/>
      <c r="C64" s="2372"/>
      <c r="D64" s="675">
        <v>4.5</v>
      </c>
      <c r="E64" s="500" t="s">
        <v>35</v>
      </c>
      <c r="F64" s="210" t="s">
        <v>117</v>
      </c>
      <c r="G64" s="2134">
        <f>G22</f>
        <v>5.7029230313113137</v>
      </c>
      <c r="H64" s="2086">
        <f>H22</f>
        <v>7.1192833569071192</v>
      </c>
      <c r="I64" s="213"/>
      <c r="J64" s="214">
        <v>12.17</v>
      </c>
      <c r="K64" s="215">
        <v>14.3</v>
      </c>
      <c r="L64" s="215"/>
      <c r="M64" s="216"/>
      <c r="N64" s="305">
        <f t="shared" si="46"/>
        <v>5.8188300000000002</v>
      </c>
      <c r="O64" s="219">
        <f t="shared" si="47"/>
        <v>10.588000000000001</v>
      </c>
      <c r="P64" s="218">
        <f t="shared" si="52"/>
        <v>17.298929324701266</v>
      </c>
      <c r="Q64" s="219">
        <f t="shared" si="48"/>
        <v>18.638848313420542</v>
      </c>
      <c r="R64" s="220">
        <f t="shared" si="33"/>
        <v>1236.3356619103104</v>
      </c>
      <c r="S64" s="871">
        <f t="shared" si="34"/>
        <v>992.55059587986625</v>
      </c>
      <c r="T64" s="1066">
        <v>2</v>
      </c>
      <c r="U64" s="498" t="s">
        <v>85</v>
      </c>
      <c r="V64" s="498">
        <v>4</v>
      </c>
      <c r="W64" s="498">
        <v>11</v>
      </c>
      <c r="X64" s="498">
        <v>35</v>
      </c>
      <c r="Y64" s="498">
        <v>6.3</v>
      </c>
      <c r="Z64" s="218">
        <v>6.27</v>
      </c>
      <c r="AA64" s="211"/>
      <c r="AB64" s="211">
        <v>5</v>
      </c>
      <c r="AC64" s="307">
        <f t="shared" si="49"/>
        <v>19.201874999999998</v>
      </c>
      <c r="AD64" s="217">
        <f t="shared" si="35"/>
        <v>35.96661639159786</v>
      </c>
      <c r="AE64" s="221">
        <f t="shared" si="36"/>
        <v>37.365020449400895</v>
      </c>
      <c r="AF64" s="157">
        <f t="shared" si="3"/>
        <v>1.1653183710877706</v>
      </c>
      <c r="AG64" s="158">
        <f t="shared" si="4"/>
        <v>1.2106266625605886</v>
      </c>
      <c r="AH64" s="261">
        <f t="shared" si="37"/>
        <v>594.64262648822557</v>
      </c>
      <c r="AI64" s="220">
        <f t="shared" si="38"/>
        <v>495.1154790628953</v>
      </c>
      <c r="AJ64" s="220">
        <f t="shared" si="50"/>
        <v>412.59623255241274</v>
      </c>
      <c r="AK64" s="220">
        <f t="shared" si="51"/>
        <v>330.07698604193018</v>
      </c>
      <c r="AL64" s="220">
        <f t="shared" si="31"/>
        <v>3124.9987878510356</v>
      </c>
      <c r="AM64" s="260">
        <f t="shared" si="32"/>
        <v>2601.9582233035044</v>
      </c>
    </row>
    <row r="65" spans="1:39" ht="12.75" customHeight="1" x14ac:dyDescent="0.2">
      <c r="A65" s="255">
        <v>5</v>
      </c>
      <c r="B65" s="2369" t="s">
        <v>139</v>
      </c>
      <c r="C65" s="2371" t="s">
        <v>43</v>
      </c>
      <c r="D65" s="675">
        <v>2.5</v>
      </c>
      <c r="E65" s="209" t="s">
        <v>35</v>
      </c>
      <c r="F65" s="210" t="s">
        <v>112</v>
      </c>
      <c r="G65" s="308">
        <v>3.9750000000000001</v>
      </c>
      <c r="H65" s="634">
        <v>5.0359999999999996</v>
      </c>
      <c r="I65" s="213"/>
      <c r="J65" s="214">
        <v>5.9</v>
      </c>
      <c r="K65" s="215">
        <v>5.49</v>
      </c>
      <c r="L65" s="215"/>
      <c r="M65" s="501"/>
      <c r="N65" s="305">
        <f t="shared" si="46"/>
        <v>2.53965</v>
      </c>
      <c r="O65" s="219">
        <f t="shared" si="47"/>
        <v>4.556</v>
      </c>
      <c r="P65" s="218">
        <f t="shared" si="52"/>
        <v>8.9009989957588473</v>
      </c>
      <c r="Q65" s="219">
        <f t="shared" si="48"/>
        <v>9.9225141029126274</v>
      </c>
      <c r="R65" s="220">
        <f t="shared" si="33"/>
        <v>2402.7958263094788</v>
      </c>
      <c r="S65" s="871">
        <f t="shared" si="34"/>
        <v>1864.4468335469094</v>
      </c>
      <c r="T65" s="1066">
        <v>1</v>
      </c>
      <c r="U65" s="498" t="s">
        <v>50</v>
      </c>
      <c r="V65" s="498">
        <v>6.3</v>
      </c>
      <c r="W65" s="498">
        <v>11</v>
      </c>
      <c r="X65" s="498">
        <v>35</v>
      </c>
      <c r="Y65" s="498">
        <v>6.3</v>
      </c>
      <c r="Z65" s="218">
        <v>7.4</v>
      </c>
      <c r="AA65" s="211"/>
      <c r="AB65" s="211"/>
      <c r="AC65" s="307">
        <f t="shared" si="49"/>
        <v>14.388888888888891</v>
      </c>
      <c r="AD65" s="217">
        <f t="shared" si="35"/>
        <v>23.060163243167043</v>
      </c>
      <c r="AE65" s="221">
        <f t="shared" si="36"/>
        <v>24.114992308183194</v>
      </c>
      <c r="AF65" s="2132">
        <f t="shared" si="3"/>
        <v>0.74714928907861211</v>
      </c>
      <c r="AG65" s="2133">
        <f t="shared" si="4"/>
        <v>0.78132575078513544</v>
      </c>
      <c r="AH65" s="261">
        <f t="shared" si="37"/>
        <v>927.45584718839689</v>
      </c>
      <c r="AI65" s="220">
        <f t="shared" si="38"/>
        <v>767.15761562661589</v>
      </c>
      <c r="AJ65" s="220">
        <f t="shared" si="50"/>
        <v>639.29801302217993</v>
      </c>
      <c r="AK65" s="220">
        <f t="shared" si="51"/>
        <v>511.43841041774391</v>
      </c>
      <c r="AL65" s="220">
        <f t="shared" si="31"/>
        <v>4874.0172149540385</v>
      </c>
      <c r="AM65" s="260">
        <f t="shared" si="32"/>
        <v>4031.6090911308643</v>
      </c>
    </row>
    <row r="66" spans="1:39" ht="12.75" customHeight="1" x14ac:dyDescent="0.2">
      <c r="A66" s="255">
        <v>5</v>
      </c>
      <c r="B66" s="2366"/>
      <c r="C66" s="2372"/>
      <c r="D66" s="675">
        <v>2.5</v>
      </c>
      <c r="E66" s="209" t="s">
        <v>35</v>
      </c>
      <c r="F66" s="210" t="s">
        <v>112</v>
      </c>
      <c r="G66" s="308">
        <v>3.9750000000000001</v>
      </c>
      <c r="H66" s="634">
        <v>5.0359999999999996</v>
      </c>
      <c r="I66" s="213"/>
      <c r="J66" s="214">
        <v>5.9</v>
      </c>
      <c r="K66" s="215">
        <v>5.27</v>
      </c>
      <c r="L66" s="215"/>
      <c r="M66" s="501"/>
      <c r="N66" s="305">
        <f t="shared" si="46"/>
        <v>2.49675</v>
      </c>
      <c r="O66" s="219">
        <f t="shared" si="47"/>
        <v>4.468</v>
      </c>
      <c r="P66" s="218">
        <f t="shared" si="52"/>
        <v>8.8044312458272955</v>
      </c>
      <c r="Q66" s="219">
        <f t="shared" si="48"/>
        <v>9.826483428088606</v>
      </c>
      <c r="R66" s="220">
        <f t="shared" si="33"/>
        <v>2429.1498950747491</v>
      </c>
      <c r="S66" s="871">
        <f t="shared" si="34"/>
        <v>1882.6673993178981</v>
      </c>
      <c r="T66" s="1066">
        <v>2</v>
      </c>
      <c r="U66" s="498" t="s">
        <v>50</v>
      </c>
      <c r="V66" s="498">
        <v>6.3</v>
      </c>
      <c r="W66" s="498">
        <v>11</v>
      </c>
      <c r="X66" s="498">
        <v>35</v>
      </c>
      <c r="Y66" s="498">
        <v>6.3</v>
      </c>
      <c r="Z66" s="218">
        <v>7.4</v>
      </c>
      <c r="AA66" s="211"/>
      <c r="AB66" s="211"/>
      <c r="AC66" s="307">
        <f t="shared" si="49"/>
        <v>14.388888888888891</v>
      </c>
      <c r="AD66" s="217">
        <f t="shared" si="35"/>
        <v>22.967997535637885</v>
      </c>
      <c r="AE66" s="221">
        <f t="shared" si="36"/>
        <v>24.022986908777398</v>
      </c>
      <c r="AF66" s="2132">
        <f t="shared" si="3"/>
        <v>0.74416312015466746</v>
      </c>
      <c r="AG66" s="2133">
        <f t="shared" si="4"/>
        <v>0.77834477584438766</v>
      </c>
      <c r="AH66" s="261">
        <f t="shared" si="37"/>
        <v>931.17753098889102</v>
      </c>
      <c r="AI66" s="220">
        <f t="shared" si="38"/>
        <v>770.09574497335143</v>
      </c>
      <c r="AJ66" s="220">
        <f t="shared" si="50"/>
        <v>641.74645414445956</v>
      </c>
      <c r="AK66" s="220">
        <f t="shared" si="51"/>
        <v>513.39716331556758</v>
      </c>
      <c r="AL66" s="220">
        <f t="shared" si="31"/>
        <v>4893.5756133049827</v>
      </c>
      <c r="AM66" s="260">
        <f t="shared" si="32"/>
        <v>4047.0497108209165</v>
      </c>
    </row>
    <row r="67" spans="1:39" ht="12.75" customHeight="1" x14ac:dyDescent="0.2">
      <c r="A67" s="255">
        <v>5</v>
      </c>
      <c r="B67" s="2369" t="s">
        <v>350</v>
      </c>
      <c r="C67" s="2371" t="s">
        <v>341</v>
      </c>
      <c r="D67" s="675">
        <v>2.5</v>
      </c>
      <c r="E67" s="209" t="s">
        <v>35</v>
      </c>
      <c r="F67" s="210" t="s">
        <v>112</v>
      </c>
      <c r="G67" s="308">
        <v>3.9750000000000001</v>
      </c>
      <c r="H67" s="634">
        <v>5.0359999999999996</v>
      </c>
      <c r="I67" s="213"/>
      <c r="J67" s="214">
        <v>8.73</v>
      </c>
      <c r="K67" s="215">
        <v>5.49</v>
      </c>
      <c r="L67" s="215"/>
      <c r="M67" s="216"/>
      <c r="N67" s="305">
        <f t="shared" si="46"/>
        <v>3.2443200000000001</v>
      </c>
      <c r="O67" s="219">
        <f t="shared" si="47"/>
        <v>5.6880000000000006</v>
      </c>
      <c r="P67" s="218">
        <f t="shared" si="52"/>
        <v>10.193094783352111</v>
      </c>
      <c r="Q67" s="219">
        <f t="shared" si="48"/>
        <v>11.204007687537526</v>
      </c>
      <c r="R67" s="220">
        <f t="shared" si="33"/>
        <v>2098.2129266496213</v>
      </c>
      <c r="S67" s="871">
        <f t="shared" si="34"/>
        <v>1651.1948684735348</v>
      </c>
      <c r="T67" s="1066">
        <v>1</v>
      </c>
      <c r="U67" s="498" t="s">
        <v>50</v>
      </c>
      <c r="V67" s="498">
        <v>6.3</v>
      </c>
      <c r="W67" s="498">
        <v>11</v>
      </c>
      <c r="X67" s="498">
        <v>35</v>
      </c>
      <c r="Y67" s="498">
        <v>6.3</v>
      </c>
      <c r="Z67" s="218">
        <v>7.96</v>
      </c>
      <c r="AA67" s="211"/>
      <c r="AB67" s="211"/>
      <c r="AC67" s="307">
        <f t="shared" si="49"/>
        <v>15.47777777777778</v>
      </c>
      <c r="AD67" s="217">
        <f t="shared" si="35"/>
        <v>25.349246922423657</v>
      </c>
      <c r="AE67" s="221">
        <f t="shared" si="36"/>
        <v>26.401870596199227</v>
      </c>
      <c r="AF67" s="2132">
        <f t="shared" si="3"/>
        <v>0.82131560028652639</v>
      </c>
      <c r="AG67" s="2133">
        <f t="shared" si="4"/>
        <v>0.85542060731685488</v>
      </c>
      <c r="AH67" s="261">
        <f t="shared" si="37"/>
        <v>843.70487622159987</v>
      </c>
      <c r="AI67" s="220">
        <f t="shared" si="38"/>
        <v>700.70792645515166</v>
      </c>
      <c r="AJ67" s="220">
        <f t="shared" si="50"/>
        <v>583.92327204595972</v>
      </c>
      <c r="AK67" s="220">
        <f t="shared" si="51"/>
        <v>467.13861763676778</v>
      </c>
      <c r="AL67" s="220">
        <f t="shared" si="31"/>
        <v>4433.884484648047</v>
      </c>
      <c r="AM67" s="260">
        <f t="shared" si="32"/>
        <v>3682.3990129024492</v>
      </c>
    </row>
    <row r="68" spans="1:39" ht="12.75" customHeight="1" x14ac:dyDescent="0.2">
      <c r="A68" s="255">
        <v>5</v>
      </c>
      <c r="B68" s="2366"/>
      <c r="C68" s="2372"/>
      <c r="D68" s="675">
        <v>2.5</v>
      </c>
      <c r="E68" s="209" t="s">
        <v>35</v>
      </c>
      <c r="F68" s="210" t="s">
        <v>112</v>
      </c>
      <c r="G68" s="308">
        <v>3.9750000000000001</v>
      </c>
      <c r="H68" s="634">
        <v>5.0359999999999996</v>
      </c>
      <c r="I68" s="213"/>
      <c r="J68" s="214">
        <v>8.73</v>
      </c>
      <c r="K68" s="215">
        <v>5.27</v>
      </c>
      <c r="L68" s="215"/>
      <c r="M68" s="216"/>
      <c r="N68" s="305">
        <f t="shared" si="46"/>
        <v>3.2014200000000002</v>
      </c>
      <c r="O68" s="219">
        <f t="shared" si="47"/>
        <v>5.6000000000000005</v>
      </c>
      <c r="P68" s="218">
        <f t="shared" si="52"/>
        <v>10.096024713539483</v>
      </c>
      <c r="Q68" s="219">
        <f t="shared" si="48"/>
        <v>11.107366295229486</v>
      </c>
      <c r="R68" s="220">
        <f t="shared" si="33"/>
        <v>2118.3865772745544</v>
      </c>
      <c r="S68" s="871">
        <f t="shared" si="34"/>
        <v>1665.5613498535276</v>
      </c>
      <c r="T68" s="1066">
        <v>2</v>
      </c>
      <c r="U68" s="498" t="s">
        <v>50</v>
      </c>
      <c r="V68" s="498">
        <v>6.3</v>
      </c>
      <c r="W68" s="498">
        <v>11</v>
      </c>
      <c r="X68" s="498">
        <v>35</v>
      </c>
      <c r="Y68" s="498">
        <v>6.3</v>
      </c>
      <c r="Z68" s="218">
        <v>8.01</v>
      </c>
      <c r="AA68" s="211"/>
      <c r="AB68" s="211"/>
      <c r="AC68" s="307">
        <f t="shared" si="49"/>
        <v>15.575000000000001</v>
      </c>
      <c r="AD68" s="217">
        <f t="shared" si="35"/>
        <v>25.352940460948513</v>
      </c>
      <c r="AE68" s="221">
        <f t="shared" si="36"/>
        <v>26.405787453064146</v>
      </c>
      <c r="AF68" s="2132">
        <f t="shared" si="3"/>
        <v>0.82143527093473179</v>
      </c>
      <c r="AG68" s="2133">
        <f t="shared" si="4"/>
        <v>0.85554751347927827</v>
      </c>
      <c r="AH68" s="261">
        <f t="shared" si="37"/>
        <v>843.58196122999414</v>
      </c>
      <c r="AI68" s="220">
        <f t="shared" si="38"/>
        <v>700.60398815537872</v>
      </c>
      <c r="AJ68" s="220">
        <f t="shared" si="50"/>
        <v>583.83665679614899</v>
      </c>
      <c r="AK68" s="220">
        <f t="shared" si="51"/>
        <v>467.06932543691914</v>
      </c>
      <c r="AL68" s="220">
        <f t="shared" si="31"/>
        <v>4433.2385349924625</v>
      </c>
      <c r="AM68" s="260">
        <f t="shared" si="32"/>
        <v>3681.8527906063446</v>
      </c>
    </row>
    <row r="69" spans="1:39" s="1261" customFormat="1" ht="12.75" customHeight="1" x14ac:dyDescent="0.2">
      <c r="A69" s="2043">
        <v>5</v>
      </c>
      <c r="B69" s="2514" t="s">
        <v>141</v>
      </c>
      <c r="C69" s="2516" t="s">
        <v>43</v>
      </c>
      <c r="D69" s="2044">
        <v>2.5</v>
      </c>
      <c r="E69" s="2045" t="s">
        <v>35</v>
      </c>
      <c r="F69" s="2046" t="s">
        <v>112</v>
      </c>
      <c r="G69" s="2047">
        <v>3.9750000000000001</v>
      </c>
      <c r="H69" s="2048">
        <v>5.0359999999999996</v>
      </c>
      <c r="I69" s="2049"/>
      <c r="J69" s="2050">
        <v>4.53</v>
      </c>
      <c r="K69" s="2051">
        <v>5.49</v>
      </c>
      <c r="L69" s="2051"/>
      <c r="M69" s="2052"/>
      <c r="N69" s="2053">
        <f t="shared" si="46"/>
        <v>2.1985200000000003</v>
      </c>
      <c r="O69" s="2054">
        <f t="shared" si="47"/>
        <v>4.008</v>
      </c>
      <c r="P69" s="2055">
        <f t="shared" si="52"/>
        <v>8.2802040548769096</v>
      </c>
      <c r="Q69" s="2054">
        <f t="shared" si="48"/>
        <v>9.3073855722431524</v>
      </c>
      <c r="R69" s="2056">
        <f t="shared" si="33"/>
        <v>2582.9415670496001</v>
      </c>
      <c r="S69" s="2057">
        <f t="shared" si="34"/>
        <v>1987.6688095066588</v>
      </c>
      <c r="T69" s="2058">
        <v>1</v>
      </c>
      <c r="U69" s="2059" t="s">
        <v>85</v>
      </c>
      <c r="V69" s="2059">
        <v>4</v>
      </c>
      <c r="W69" s="2059">
        <v>11</v>
      </c>
      <c r="X69" s="2059">
        <v>35</v>
      </c>
      <c r="Y69" s="2059">
        <v>6.3</v>
      </c>
      <c r="Z69" s="2055">
        <v>6.44</v>
      </c>
      <c r="AA69" s="2060"/>
      <c r="AB69" s="2060">
        <v>5</v>
      </c>
      <c r="AC69" s="2061">
        <f t="shared" si="49"/>
        <v>19.7225</v>
      </c>
      <c r="AD69" s="2062">
        <f t="shared" si="35"/>
        <v>27.792592906031636</v>
      </c>
      <c r="AE69" s="2063">
        <f t="shared" si="36"/>
        <v>28.850390160973561</v>
      </c>
      <c r="AF69" s="2064">
        <f t="shared" si="3"/>
        <v>0.900480010155425</v>
      </c>
      <c r="AG69" s="2065">
        <f t="shared" si="4"/>
        <v>0.93475264121554336</v>
      </c>
      <c r="AH69" s="2066">
        <f t="shared" si="37"/>
        <v>769.5317709040628</v>
      </c>
      <c r="AI69" s="2056">
        <f t="shared" si="38"/>
        <v>641.23916164659988</v>
      </c>
      <c r="AJ69" s="2056">
        <f t="shared" si="50"/>
        <v>534.36596803883322</v>
      </c>
      <c r="AK69" s="2056">
        <f t="shared" si="51"/>
        <v>427.49277443106661</v>
      </c>
      <c r="AL69" s="2056">
        <f t="shared" si="31"/>
        <v>4044.0858831294595</v>
      </c>
      <c r="AM69" s="2067">
        <f t="shared" si="32"/>
        <v>3369.8754741187681</v>
      </c>
    </row>
    <row r="70" spans="1:39" s="1261" customFormat="1" ht="12.75" customHeight="1" x14ac:dyDescent="0.2">
      <c r="A70" s="2043">
        <v>5</v>
      </c>
      <c r="B70" s="2515"/>
      <c r="C70" s="2517"/>
      <c r="D70" s="2044">
        <v>2.5</v>
      </c>
      <c r="E70" s="2045" t="s">
        <v>35</v>
      </c>
      <c r="F70" s="2046" t="s">
        <v>112</v>
      </c>
      <c r="G70" s="2047">
        <v>3.9750000000000001</v>
      </c>
      <c r="H70" s="2048">
        <v>5.0359999999999996</v>
      </c>
      <c r="I70" s="2049"/>
      <c r="J70" s="2050">
        <v>4.53</v>
      </c>
      <c r="K70" s="2051">
        <v>5.27</v>
      </c>
      <c r="L70" s="2051"/>
      <c r="M70" s="2052"/>
      <c r="N70" s="2053">
        <f t="shared" si="46"/>
        <v>2.1556199999999999</v>
      </c>
      <c r="O70" s="2054">
        <f t="shared" si="47"/>
        <v>3.9200000000000004</v>
      </c>
      <c r="P70" s="2055">
        <f t="shared" si="52"/>
        <v>8.1839918489939851</v>
      </c>
      <c r="Q70" s="2054">
        <f t="shared" si="48"/>
        <v>9.2117660404723694</v>
      </c>
      <c r="R70" s="2056">
        <f t="shared" si="33"/>
        <v>2613.3070061186882</v>
      </c>
      <c r="S70" s="2057">
        <f t="shared" si="34"/>
        <v>2008.3011138927427</v>
      </c>
      <c r="T70" s="2058">
        <v>2</v>
      </c>
      <c r="U70" s="2059" t="s">
        <v>85</v>
      </c>
      <c r="V70" s="2059">
        <v>4</v>
      </c>
      <c r="W70" s="2059">
        <v>11</v>
      </c>
      <c r="X70" s="2059">
        <v>35</v>
      </c>
      <c r="Y70" s="2059">
        <v>6.3</v>
      </c>
      <c r="Z70" s="2055">
        <v>6.44</v>
      </c>
      <c r="AA70" s="2060"/>
      <c r="AB70" s="2060">
        <v>5</v>
      </c>
      <c r="AC70" s="2061">
        <f t="shared" si="49"/>
        <v>19.7225</v>
      </c>
      <c r="AD70" s="2062">
        <f t="shared" si="35"/>
        <v>27.701498223641266</v>
      </c>
      <c r="AE70" s="2063">
        <f t="shared" si="36"/>
        <v>28.759399504064753</v>
      </c>
      <c r="AF70" s="2064">
        <f t="shared" si="3"/>
        <v>0.89752854244597702</v>
      </c>
      <c r="AG70" s="2065">
        <f t="shared" si="4"/>
        <v>0.93180454393169798</v>
      </c>
      <c r="AH70" s="2066">
        <f t="shared" si="37"/>
        <v>772.06232905993841</v>
      </c>
      <c r="AI70" s="2056">
        <f t="shared" si="38"/>
        <v>643.2679513139791</v>
      </c>
      <c r="AJ70" s="2056">
        <f t="shared" si="50"/>
        <v>536.05662609498256</v>
      </c>
      <c r="AK70" s="2056">
        <f t="shared" si="51"/>
        <v>428.84530087598608</v>
      </c>
      <c r="AL70" s="2056">
        <f t="shared" si="31"/>
        <v>4057.3846121768529</v>
      </c>
      <c r="AM70" s="2067">
        <f t="shared" si="32"/>
        <v>3380.5372816800705</v>
      </c>
    </row>
    <row r="71" spans="1:39" ht="12.75" customHeight="1" x14ac:dyDescent="0.2">
      <c r="A71" s="255">
        <v>5</v>
      </c>
      <c r="B71" s="2369" t="s">
        <v>124</v>
      </c>
      <c r="C71" s="2370" t="s">
        <v>340</v>
      </c>
      <c r="D71" s="937">
        <v>4.5</v>
      </c>
      <c r="E71" s="209" t="s">
        <v>35</v>
      </c>
      <c r="F71" s="210" t="s">
        <v>117</v>
      </c>
      <c r="G71" s="2134">
        <f>G21</f>
        <v>5.7029230313113137</v>
      </c>
      <c r="H71" s="2086">
        <f>H21</f>
        <v>7.1192833569071192</v>
      </c>
      <c r="I71" s="213"/>
      <c r="J71" s="214"/>
      <c r="K71" s="215">
        <v>3.17</v>
      </c>
      <c r="L71" s="215"/>
      <c r="M71" s="216"/>
      <c r="N71" s="305">
        <f t="shared" si="46"/>
        <v>0.61814999999999998</v>
      </c>
      <c r="O71" s="219">
        <f t="shared" si="47"/>
        <v>1.268</v>
      </c>
      <c r="P71" s="218">
        <f t="shared" si="52"/>
        <v>6.9982767400958439</v>
      </c>
      <c r="Q71" s="219">
        <f t="shared" si="48"/>
        <v>8.4100316011030039</v>
      </c>
      <c r="R71" s="220">
        <f t="shared" si="33"/>
        <v>3056.0785220821822</v>
      </c>
      <c r="S71" s="871">
        <f t="shared" si="34"/>
        <v>2199.7539221581119</v>
      </c>
      <c r="T71" s="1066">
        <v>1</v>
      </c>
      <c r="U71" s="498" t="s">
        <v>118</v>
      </c>
      <c r="V71" s="498">
        <v>6.3</v>
      </c>
      <c r="W71" s="498">
        <v>11</v>
      </c>
      <c r="X71" s="498">
        <v>35</v>
      </c>
      <c r="Y71" s="498">
        <v>6.3</v>
      </c>
      <c r="Z71" s="218">
        <v>8</v>
      </c>
      <c r="AA71" s="211"/>
      <c r="AB71" s="211"/>
      <c r="AC71" s="307">
        <f t="shared" si="49"/>
        <v>15.555555555555559</v>
      </c>
      <c r="AD71" s="217">
        <f t="shared" si="35"/>
        <v>22.534958330271476</v>
      </c>
      <c r="AE71" s="221">
        <f t="shared" si="36"/>
        <v>23.950817201311459</v>
      </c>
      <c r="AF71" s="157">
        <f t="shared" si="3"/>
        <v>0.73013264990079574</v>
      </c>
      <c r="AG71" s="158">
        <f t="shared" si="4"/>
        <v>0.77600647732249117</v>
      </c>
      <c r="AH71" s="261">
        <f t="shared" si="37"/>
        <v>949.07134610781281</v>
      </c>
      <c r="AI71" s="220">
        <f t="shared" si="38"/>
        <v>772.41623300381616</v>
      </c>
      <c r="AJ71" s="220">
        <f t="shared" si="50"/>
        <v>643.6801941698468</v>
      </c>
      <c r="AK71" s="220">
        <f t="shared" si="51"/>
        <v>514.94415533587744</v>
      </c>
      <c r="AL71" s="220">
        <f t="shared" ref="AL71:AL78" si="53">6300/(1.73*AF71)</f>
        <v>4987.6121792452632</v>
      </c>
      <c r="AM71" s="260">
        <f t="shared" ref="AM71:AM78" si="54">6300/(2*AG71)</f>
        <v>4059.244467737773</v>
      </c>
    </row>
    <row r="72" spans="1:39" ht="12.75" customHeight="1" x14ac:dyDescent="0.2">
      <c r="A72" s="255">
        <v>5</v>
      </c>
      <c r="B72" s="2366"/>
      <c r="C72" s="2368"/>
      <c r="D72" s="937">
        <v>4.5</v>
      </c>
      <c r="E72" s="209" t="s">
        <v>35</v>
      </c>
      <c r="F72" s="210" t="s">
        <v>117</v>
      </c>
      <c r="G72" s="2134">
        <f>G22</f>
        <v>5.7029230313113137</v>
      </c>
      <c r="H72" s="2086">
        <f>H22</f>
        <v>7.1192833569071192</v>
      </c>
      <c r="I72" s="213"/>
      <c r="J72" s="214"/>
      <c r="K72" s="215">
        <v>3.06</v>
      </c>
      <c r="L72" s="215"/>
      <c r="M72" s="216"/>
      <c r="N72" s="305">
        <f t="shared" si="46"/>
        <v>0.59670000000000001</v>
      </c>
      <c r="O72" s="219">
        <f t="shared" si="47"/>
        <v>1.2240000000000002</v>
      </c>
      <c r="P72" s="218">
        <f t="shared" si="52"/>
        <v>6.9525760385421975</v>
      </c>
      <c r="Q72" s="219">
        <f t="shared" si="48"/>
        <v>8.3645937177870948</v>
      </c>
      <c r="R72" s="220">
        <f t="shared" si="33"/>
        <v>3076.1667500552303</v>
      </c>
      <c r="S72" s="871">
        <f t="shared" si="34"/>
        <v>2211.7033563339987</v>
      </c>
      <c r="T72" s="1066">
        <v>2</v>
      </c>
      <c r="U72" s="498" t="s">
        <v>118</v>
      </c>
      <c r="V72" s="498">
        <v>6.3</v>
      </c>
      <c r="W72" s="498">
        <v>11</v>
      </c>
      <c r="X72" s="498">
        <v>35</v>
      </c>
      <c r="Y72" s="498">
        <v>6.3</v>
      </c>
      <c r="Z72" s="218">
        <v>7.2</v>
      </c>
      <c r="AA72" s="211"/>
      <c r="AB72" s="211"/>
      <c r="AC72" s="307">
        <f t="shared" si="49"/>
        <v>14.000000000000004</v>
      </c>
      <c r="AD72" s="217">
        <f t="shared" si="35"/>
        <v>20.935428308215432</v>
      </c>
      <c r="AE72" s="221">
        <f t="shared" si="36"/>
        <v>22.351249675511273</v>
      </c>
      <c r="AF72" s="157">
        <f t="shared" ref="AF72:AF84" si="55">SQRT(POWER((AC72+O72+G72),2)+POWER(N72,2))*POWER(6.3/X72,2)</f>
        <v>0.67830787718617991</v>
      </c>
      <c r="AG72" s="158">
        <f t="shared" ref="AG72:AG84" si="56">SQRT(POWER((H72+O72+AC72),2)+POWER(N72,2))*POWER(6.3/X72,2)</f>
        <v>0.72418048948656522</v>
      </c>
      <c r="AH72" s="261">
        <f t="shared" si="37"/>
        <v>1021.5832665148519</v>
      </c>
      <c r="AI72" s="220">
        <f t="shared" si="38"/>
        <v>827.69421256428348</v>
      </c>
      <c r="AJ72" s="220">
        <f t="shared" si="50"/>
        <v>689.74517713690295</v>
      </c>
      <c r="AK72" s="220">
        <f t="shared" si="51"/>
        <v>551.79614170952232</v>
      </c>
      <c r="AL72" s="220">
        <f t="shared" si="53"/>
        <v>5368.6808300330058</v>
      </c>
      <c r="AM72" s="260">
        <f t="shared" si="54"/>
        <v>4349.7443603228112</v>
      </c>
    </row>
    <row r="73" spans="1:39" ht="12.75" customHeight="1" x14ac:dyDescent="0.2">
      <c r="A73" s="255">
        <v>5</v>
      </c>
      <c r="B73" s="2369" t="s">
        <v>125</v>
      </c>
      <c r="C73" s="2370" t="s">
        <v>341</v>
      </c>
      <c r="D73" s="937">
        <v>4.5</v>
      </c>
      <c r="E73" s="938" t="s">
        <v>35</v>
      </c>
      <c r="F73" s="210" t="s">
        <v>117</v>
      </c>
      <c r="G73" s="2134">
        <f>G21</f>
        <v>5.7029230313113137</v>
      </c>
      <c r="H73" s="2086">
        <f>H21</f>
        <v>7.1192833569071192</v>
      </c>
      <c r="I73" s="213">
        <v>4.95</v>
      </c>
      <c r="J73" s="214"/>
      <c r="K73" s="215">
        <v>5.99</v>
      </c>
      <c r="L73" s="215"/>
      <c r="M73" s="216"/>
      <c r="N73" s="305">
        <f t="shared" si="46"/>
        <v>2.72235</v>
      </c>
      <c r="O73" s="219">
        <f t="shared" si="47"/>
        <v>4.3760000000000003</v>
      </c>
      <c r="P73" s="218">
        <f t="shared" si="52"/>
        <v>10.440109146632407</v>
      </c>
      <c r="Q73" s="219">
        <f t="shared" si="48"/>
        <v>11.813243795761002</v>
      </c>
      <c r="R73" s="220">
        <f t="shared" si="33"/>
        <v>2048.5689312829613</v>
      </c>
      <c r="S73" s="871">
        <f t="shared" si="34"/>
        <v>1566.0389576179268</v>
      </c>
      <c r="T73" s="1066">
        <v>1</v>
      </c>
      <c r="U73" s="498" t="s">
        <v>50</v>
      </c>
      <c r="V73" s="498">
        <v>6.3</v>
      </c>
      <c r="W73" s="498">
        <v>11</v>
      </c>
      <c r="X73" s="498">
        <v>35</v>
      </c>
      <c r="Y73" s="498">
        <v>6.3</v>
      </c>
      <c r="Z73" s="218">
        <v>7.7</v>
      </c>
      <c r="AA73" s="211"/>
      <c r="AB73" s="211">
        <v>9</v>
      </c>
      <c r="AC73" s="307">
        <f t="shared" si="49"/>
        <v>14.972222222222221</v>
      </c>
      <c r="AD73" s="217">
        <f t="shared" si="35"/>
        <v>25.19863226518725</v>
      </c>
      <c r="AE73" s="221">
        <f t="shared" si="36"/>
        <v>26.607142670789411</v>
      </c>
      <c r="AF73" s="157">
        <f t="shared" si="55"/>
        <v>0.8164356853920669</v>
      </c>
      <c r="AG73" s="158">
        <f t="shared" si="56"/>
        <v>0.86207142253357683</v>
      </c>
      <c r="AH73" s="261">
        <f t="shared" si="37"/>
        <v>848.74778170168645</v>
      </c>
      <c r="AI73" s="220">
        <f t="shared" si="38"/>
        <v>695.30201829263615</v>
      </c>
      <c r="AJ73" s="220">
        <f t="shared" si="50"/>
        <v>579.41834857719687</v>
      </c>
      <c r="AK73" s="220">
        <f t="shared" si="51"/>
        <v>463.53467886175741</v>
      </c>
      <c r="AL73" s="220">
        <f t="shared" si="53"/>
        <v>4460.386240174028</v>
      </c>
      <c r="AM73" s="260">
        <f t="shared" si="54"/>
        <v>3653.9895856219623</v>
      </c>
    </row>
    <row r="74" spans="1:39" ht="12.75" customHeight="1" x14ac:dyDescent="0.2">
      <c r="A74" s="255">
        <v>5</v>
      </c>
      <c r="B74" s="2366"/>
      <c r="C74" s="2368"/>
      <c r="D74" s="937">
        <v>4.5</v>
      </c>
      <c r="E74" s="938" t="s">
        <v>35</v>
      </c>
      <c r="F74" s="210" t="s">
        <v>117</v>
      </c>
      <c r="G74" s="2134">
        <f>G22</f>
        <v>5.7029230313113137</v>
      </c>
      <c r="H74" s="2086">
        <f>H22</f>
        <v>7.1192833569071192</v>
      </c>
      <c r="I74" s="213">
        <v>4.95</v>
      </c>
      <c r="J74" s="214"/>
      <c r="K74" s="215">
        <v>5.77</v>
      </c>
      <c r="L74" s="215"/>
      <c r="M74" s="216"/>
      <c r="N74" s="305">
        <f t="shared" si="46"/>
        <v>2.6794500000000001</v>
      </c>
      <c r="O74" s="219">
        <f t="shared" si="47"/>
        <v>4.2879999999999994</v>
      </c>
      <c r="P74" s="218">
        <f t="shared" si="52"/>
        <v>10.343983532473688</v>
      </c>
      <c r="Q74" s="219">
        <f t="shared" si="48"/>
        <v>11.717745768161645</v>
      </c>
      <c r="R74" s="220">
        <f t="shared" si="33"/>
        <v>2067.6060794036866</v>
      </c>
      <c r="S74" s="871">
        <f t="shared" si="34"/>
        <v>1578.8019612327191</v>
      </c>
      <c r="T74" s="1066">
        <v>2</v>
      </c>
      <c r="U74" s="498" t="s">
        <v>50</v>
      </c>
      <c r="V74" s="498">
        <v>6.3</v>
      </c>
      <c r="W74" s="498">
        <v>11</v>
      </c>
      <c r="X74" s="498">
        <v>35</v>
      </c>
      <c r="Y74" s="498">
        <v>6.3</v>
      </c>
      <c r="Z74" s="218">
        <v>7.67</v>
      </c>
      <c r="AA74" s="211"/>
      <c r="AB74" s="211"/>
      <c r="AC74" s="307">
        <f t="shared" si="49"/>
        <v>14.913888888888891</v>
      </c>
      <c r="AD74" s="217">
        <f t="shared" si="35"/>
        <v>25.04853506860324</v>
      </c>
      <c r="AE74" s="221">
        <f t="shared" si="36"/>
        <v>26.45720243516616</v>
      </c>
      <c r="AF74" s="157">
        <f t="shared" si="55"/>
        <v>0.81157253622274494</v>
      </c>
      <c r="AG74" s="158">
        <f t="shared" si="56"/>
        <v>0.85721335889938355</v>
      </c>
      <c r="AH74" s="261">
        <f t="shared" si="37"/>
        <v>853.83369440242575</v>
      </c>
      <c r="AI74" s="220">
        <f t="shared" si="38"/>
        <v>699.24248587259274</v>
      </c>
      <c r="AJ74" s="220">
        <f t="shared" si="50"/>
        <v>582.70207156049401</v>
      </c>
      <c r="AK74" s="220">
        <f t="shared" si="51"/>
        <v>466.16165724839516</v>
      </c>
      <c r="AL74" s="220">
        <f t="shared" si="53"/>
        <v>4487.1140096223571</v>
      </c>
      <c r="AM74" s="260">
        <f t="shared" si="54"/>
        <v>3674.697748579692</v>
      </c>
    </row>
    <row r="75" spans="1:39" ht="12.75" customHeight="1" x14ac:dyDescent="0.2">
      <c r="A75" s="255">
        <v>5</v>
      </c>
      <c r="B75" s="2369" t="s">
        <v>131</v>
      </c>
      <c r="C75" s="2370" t="s">
        <v>341</v>
      </c>
      <c r="D75" s="675">
        <v>2.2999999999999998</v>
      </c>
      <c r="E75" s="938" t="s">
        <v>35</v>
      </c>
      <c r="F75" s="210" t="s">
        <v>117</v>
      </c>
      <c r="G75" s="2134">
        <f>G21</f>
        <v>5.7029230313113137</v>
      </c>
      <c r="H75" s="2086">
        <f>H21</f>
        <v>7.1192833569071192</v>
      </c>
      <c r="I75" s="213"/>
      <c r="J75" s="214">
        <v>11.3</v>
      </c>
      <c r="K75" s="215"/>
      <c r="L75" s="215">
        <v>5.0999999999999996</v>
      </c>
      <c r="M75" s="216"/>
      <c r="N75" s="305">
        <f t="shared" si="46"/>
        <v>3.6246</v>
      </c>
      <c r="O75" s="219">
        <f t="shared" si="47"/>
        <v>6.56</v>
      </c>
      <c r="P75" s="218">
        <f t="shared" si="52"/>
        <v>12.787376839362537</v>
      </c>
      <c r="Q75" s="219">
        <f t="shared" si="48"/>
        <v>14.151343339717121</v>
      </c>
      <c r="R75" s="220">
        <f t="shared" si="33"/>
        <v>1672.5309268402225</v>
      </c>
      <c r="S75" s="871">
        <f t="shared" si="34"/>
        <v>1307.2963856426231</v>
      </c>
      <c r="T75" s="1066">
        <v>1</v>
      </c>
      <c r="U75" s="498" t="s">
        <v>122</v>
      </c>
      <c r="V75" s="498">
        <v>4</v>
      </c>
      <c r="W75" s="498">
        <v>11</v>
      </c>
      <c r="X75" s="498">
        <v>35</v>
      </c>
      <c r="Y75" s="498">
        <v>6.3</v>
      </c>
      <c r="Z75" s="218">
        <v>6.37</v>
      </c>
      <c r="AA75" s="211"/>
      <c r="AB75" s="211"/>
      <c r="AC75" s="307">
        <f t="shared" si="49"/>
        <v>19.508125000000003</v>
      </c>
      <c r="AD75" s="217">
        <f t="shared" si="35"/>
        <v>31.97713586561327</v>
      </c>
      <c r="AE75" s="221">
        <f t="shared" si="36"/>
        <v>33.384753984537738</v>
      </c>
      <c r="AF75" s="157">
        <f t="shared" si="55"/>
        <v>1.0360592020458699</v>
      </c>
      <c r="AG75" s="158">
        <f t="shared" si="56"/>
        <v>1.0816660290990228</v>
      </c>
      <c r="AH75" s="261">
        <f t="shared" si="37"/>
        <v>668.83048334523016</v>
      </c>
      <c r="AI75" s="220">
        <f t="shared" si="38"/>
        <v>554.14516484286025</v>
      </c>
      <c r="AJ75" s="220">
        <f t="shared" si="50"/>
        <v>461.78763736905023</v>
      </c>
      <c r="AK75" s="220">
        <f t="shared" si="51"/>
        <v>369.43010989524015</v>
      </c>
      <c r="AL75" s="220">
        <f t="shared" si="53"/>
        <v>3514.8749124749338</v>
      </c>
      <c r="AM75" s="260">
        <f t="shared" si="54"/>
        <v>2912.174289714731</v>
      </c>
    </row>
    <row r="76" spans="1:39" ht="12.75" customHeight="1" x14ac:dyDescent="0.2">
      <c r="A76" s="255">
        <v>5</v>
      </c>
      <c r="B76" s="2366"/>
      <c r="C76" s="2368"/>
      <c r="D76" s="675">
        <v>2.2999999999999998</v>
      </c>
      <c r="E76" s="938" t="s">
        <v>35</v>
      </c>
      <c r="F76" s="210" t="s">
        <v>117</v>
      </c>
      <c r="G76" s="2134">
        <f>G22</f>
        <v>5.7029230313113137</v>
      </c>
      <c r="H76" s="2086">
        <f>H22</f>
        <v>7.1192833569071192</v>
      </c>
      <c r="I76" s="213"/>
      <c r="J76" s="214">
        <v>11.3</v>
      </c>
      <c r="K76" s="215"/>
      <c r="L76" s="215">
        <v>5.0999999999999996</v>
      </c>
      <c r="M76" s="216"/>
      <c r="N76" s="305">
        <f t="shared" si="46"/>
        <v>3.6246</v>
      </c>
      <c r="O76" s="219">
        <f t="shared" si="47"/>
        <v>6.56</v>
      </c>
      <c r="P76" s="218">
        <f t="shared" si="52"/>
        <v>12.787376839362537</v>
      </c>
      <c r="Q76" s="219">
        <f t="shared" si="48"/>
        <v>14.151343339717121</v>
      </c>
      <c r="R76" s="220">
        <f t="shared" si="33"/>
        <v>1672.5309268402225</v>
      </c>
      <c r="S76" s="871">
        <f t="shared" si="34"/>
        <v>1307.2963856426231</v>
      </c>
      <c r="T76" s="1066">
        <v>2</v>
      </c>
      <c r="U76" s="498" t="s">
        <v>122</v>
      </c>
      <c r="V76" s="498">
        <v>4</v>
      </c>
      <c r="W76" s="498">
        <v>11</v>
      </c>
      <c r="X76" s="498">
        <v>35</v>
      </c>
      <c r="Y76" s="498">
        <v>6.3</v>
      </c>
      <c r="Z76" s="218">
        <v>6.28</v>
      </c>
      <c r="AA76" s="211"/>
      <c r="AB76" s="211"/>
      <c r="AC76" s="307">
        <f t="shared" si="49"/>
        <v>19.232500000000002</v>
      </c>
      <c r="AD76" s="217">
        <f t="shared" si="35"/>
        <v>31.703302621040212</v>
      </c>
      <c r="AE76" s="221">
        <f t="shared" si="36"/>
        <v>33.110771795474484</v>
      </c>
      <c r="AF76" s="157">
        <f t="shared" si="55"/>
        <v>1.0271870049217029</v>
      </c>
      <c r="AG76" s="158">
        <f t="shared" si="56"/>
        <v>1.0727890061733731</v>
      </c>
      <c r="AH76" s="261">
        <f t="shared" si="37"/>
        <v>674.60742158769085</v>
      </c>
      <c r="AI76" s="220">
        <f t="shared" si="38"/>
        <v>558.73055796689539</v>
      </c>
      <c r="AJ76" s="220">
        <f t="shared" si="50"/>
        <v>465.60879830574618</v>
      </c>
      <c r="AK76" s="220">
        <f t="shared" si="51"/>
        <v>372.48703864459691</v>
      </c>
      <c r="AL76" s="220">
        <f t="shared" si="53"/>
        <v>3545.23419753291</v>
      </c>
      <c r="AM76" s="260">
        <f t="shared" si="54"/>
        <v>2936.2717010272281</v>
      </c>
    </row>
    <row r="77" spans="1:39" ht="12.75" customHeight="1" x14ac:dyDescent="0.2">
      <c r="A77" s="255">
        <v>5</v>
      </c>
      <c r="B77" s="2369" t="s">
        <v>132</v>
      </c>
      <c r="C77" s="2370" t="s">
        <v>341</v>
      </c>
      <c r="D77" s="675">
        <v>2.2999999999999998</v>
      </c>
      <c r="E77" s="938" t="s">
        <v>35</v>
      </c>
      <c r="F77" s="210" t="s">
        <v>117</v>
      </c>
      <c r="G77" s="2134">
        <f>G21</f>
        <v>5.7029230313113137</v>
      </c>
      <c r="H77" s="2086">
        <f>H21</f>
        <v>7.1192833569071192</v>
      </c>
      <c r="I77" s="213"/>
      <c r="J77" s="214">
        <v>11.6</v>
      </c>
      <c r="K77" s="215"/>
      <c r="L77" s="215">
        <v>5.0999999999999996</v>
      </c>
      <c r="M77" s="216"/>
      <c r="N77" s="305">
        <f t="shared" si="46"/>
        <v>3.6993</v>
      </c>
      <c r="O77" s="219">
        <f t="shared" si="47"/>
        <v>6.68</v>
      </c>
      <c r="P77" s="218">
        <f t="shared" si="52"/>
        <v>12.923683812651104</v>
      </c>
      <c r="Q77" s="219">
        <f t="shared" si="48"/>
        <v>14.286533577261272</v>
      </c>
      <c r="R77" s="220">
        <f t="shared" si="33"/>
        <v>1654.8906292537135</v>
      </c>
      <c r="S77" s="871">
        <f t="shared" si="34"/>
        <v>1294.9257354803663</v>
      </c>
      <c r="T77" s="1066">
        <v>1</v>
      </c>
      <c r="U77" s="505" t="s">
        <v>50</v>
      </c>
      <c r="V77" s="498">
        <v>6.3</v>
      </c>
      <c r="W77" s="498">
        <v>11</v>
      </c>
      <c r="X77" s="498">
        <v>35</v>
      </c>
      <c r="Y77" s="498">
        <v>6.3</v>
      </c>
      <c r="Z77" s="218">
        <v>8.01</v>
      </c>
      <c r="AA77" s="211"/>
      <c r="AB77" s="211"/>
      <c r="AC77" s="307">
        <f t="shared" si="49"/>
        <v>15.575000000000001</v>
      </c>
      <c r="AD77" s="217">
        <f t="shared" si="35"/>
        <v>28.201600676463876</v>
      </c>
      <c r="AE77" s="221">
        <f t="shared" si="36"/>
        <v>29.60630580166784</v>
      </c>
      <c r="AF77" s="157">
        <f t="shared" si="55"/>
        <v>0.9137318619174295</v>
      </c>
      <c r="AG77" s="158">
        <f t="shared" si="56"/>
        <v>0.95924430797403792</v>
      </c>
      <c r="AH77" s="261">
        <f t="shared" si="37"/>
        <v>758.37125283613204</v>
      </c>
      <c r="AI77" s="220">
        <f t="shared" si="38"/>
        <v>624.86688220851318</v>
      </c>
      <c r="AJ77" s="220">
        <f t="shared" si="50"/>
        <v>520.72240184042766</v>
      </c>
      <c r="AK77" s="220">
        <f t="shared" si="51"/>
        <v>416.5779214723421</v>
      </c>
      <c r="AL77" s="220">
        <f t="shared" si="53"/>
        <v>3985.4345119015952</v>
      </c>
      <c r="AM77" s="260">
        <f t="shared" si="54"/>
        <v>3283.8349665612559</v>
      </c>
    </row>
    <row r="78" spans="1:39" ht="12.75" customHeight="1" thickBot="1" x14ac:dyDescent="0.25">
      <c r="A78" s="258">
        <v>5</v>
      </c>
      <c r="B78" s="2381"/>
      <c r="C78" s="2437"/>
      <c r="D78" s="676">
        <v>2.2999999999999998</v>
      </c>
      <c r="E78" s="939" t="s">
        <v>35</v>
      </c>
      <c r="F78" s="240" t="s">
        <v>117</v>
      </c>
      <c r="G78" s="2134">
        <f>G22</f>
        <v>5.7029230313113137</v>
      </c>
      <c r="H78" s="2086">
        <f>H22</f>
        <v>7.1192833569071192</v>
      </c>
      <c r="I78" s="242"/>
      <c r="J78" s="243">
        <v>11.6</v>
      </c>
      <c r="K78" s="244"/>
      <c r="L78" s="244">
        <v>5.0999999999999996</v>
      </c>
      <c r="M78" s="249"/>
      <c r="N78" s="245">
        <f t="shared" si="46"/>
        <v>3.6993</v>
      </c>
      <c r="O78" s="247">
        <f t="shared" si="47"/>
        <v>6.68</v>
      </c>
      <c r="P78" s="246">
        <f t="shared" si="52"/>
        <v>12.923683812651104</v>
      </c>
      <c r="Q78" s="247">
        <f t="shared" si="48"/>
        <v>14.286533577261272</v>
      </c>
      <c r="R78" s="248">
        <f t="shared" si="33"/>
        <v>1654.8906292537135</v>
      </c>
      <c r="S78" s="399">
        <f t="shared" si="34"/>
        <v>1294.9257354803663</v>
      </c>
      <c r="T78" s="1068">
        <v>2</v>
      </c>
      <c r="U78" s="523" t="s">
        <v>50</v>
      </c>
      <c r="V78" s="522">
        <v>6.3</v>
      </c>
      <c r="W78" s="522">
        <v>11</v>
      </c>
      <c r="X78" s="522">
        <v>35</v>
      </c>
      <c r="Y78" s="522">
        <v>6.3</v>
      </c>
      <c r="Z78" s="246">
        <v>7.85</v>
      </c>
      <c r="AA78" s="241"/>
      <c r="AB78" s="241"/>
      <c r="AC78" s="317">
        <f t="shared" si="49"/>
        <v>15.263888888888891</v>
      </c>
      <c r="AD78" s="250">
        <f t="shared" si="35"/>
        <v>27.893207593264069</v>
      </c>
      <c r="AE78" s="1075">
        <f t="shared" si="36"/>
        <v>29.297658634757958</v>
      </c>
      <c r="AF78" s="175">
        <f t="shared" si="55"/>
        <v>0.90373992602175579</v>
      </c>
      <c r="AG78" s="176">
        <f t="shared" si="56"/>
        <v>0.94924413976615785</v>
      </c>
      <c r="AH78" s="267">
        <f t="shared" si="37"/>
        <v>766.75596255767425</v>
      </c>
      <c r="AI78" s="248">
        <f t="shared" si="38"/>
        <v>631.44977660611062</v>
      </c>
      <c r="AJ78" s="248">
        <f t="shared" si="50"/>
        <v>526.20814717175892</v>
      </c>
      <c r="AK78" s="248">
        <f t="shared" si="51"/>
        <v>420.96651773740706</v>
      </c>
      <c r="AL78" s="248">
        <f t="shared" si="53"/>
        <v>4029.4983017295194</v>
      </c>
      <c r="AM78" s="524">
        <f t="shared" si="54"/>
        <v>3318.4297569390196</v>
      </c>
    </row>
    <row r="79" spans="1:39" ht="12.75" customHeight="1" x14ac:dyDescent="0.2">
      <c r="A79" s="816">
        <v>5</v>
      </c>
      <c r="B79" s="2383" t="s">
        <v>139</v>
      </c>
      <c r="C79" s="2492" t="s">
        <v>43</v>
      </c>
      <c r="D79" s="454">
        <v>1.3</v>
      </c>
      <c r="E79" s="419" t="s">
        <v>35</v>
      </c>
      <c r="F79" s="420" t="s">
        <v>115</v>
      </c>
      <c r="G79" s="771">
        <v>4.2770000000000001</v>
      </c>
      <c r="H79" s="772">
        <v>6.3559999999999999</v>
      </c>
      <c r="I79" s="423"/>
      <c r="J79" s="424">
        <v>6.27</v>
      </c>
      <c r="K79" s="425">
        <v>8.74</v>
      </c>
      <c r="L79" s="425"/>
      <c r="M79" s="506"/>
      <c r="N79" s="533">
        <f t="shared" ref="N79:N84" si="57">0.314*I79+0.249*J79+0.195*K79+0.159*L79+0.06*M79</f>
        <v>3.26553</v>
      </c>
      <c r="O79" s="431">
        <f t="shared" ref="O79:O84" si="58">0.4*SUM(I79:M79)</f>
        <v>6.0040000000000004</v>
      </c>
      <c r="P79" s="458">
        <f t="shared" si="52"/>
        <v>10.787151949467479</v>
      </c>
      <c r="Q79" s="431">
        <f t="shared" ref="Q79:Q84" si="59">SQRT(POWER(N79,2)+POWER(O79+H79,2))</f>
        <v>12.784102869615058</v>
      </c>
      <c r="R79" s="448">
        <f t="shared" ref="R79:R84" si="60">37000/1.73/SQRT(POWER((G79+O79),2)+N79*N79)</f>
        <v>1982.6626469324954</v>
      </c>
      <c r="S79" s="1039">
        <f t="shared" ref="S79:S84" si="61">37000/2/SQRT(N79*N79+POWER((H79+O79),2))</f>
        <v>1447.109757225933</v>
      </c>
      <c r="T79" s="1069">
        <v>1</v>
      </c>
      <c r="U79" s="507" t="s">
        <v>50</v>
      </c>
      <c r="V79" s="507">
        <v>6.3</v>
      </c>
      <c r="W79" s="507">
        <v>11</v>
      </c>
      <c r="X79" s="507">
        <v>35</v>
      </c>
      <c r="Y79" s="507">
        <v>6.3</v>
      </c>
      <c r="Z79" s="458">
        <v>7.4</v>
      </c>
      <c r="AA79" s="421"/>
      <c r="AB79" s="421"/>
      <c r="AC79" s="525">
        <f t="shared" ref="AC79:AC84" si="62">Z79/100*X79*X79/V79</f>
        <v>14.388888888888891</v>
      </c>
      <c r="AD79" s="902">
        <f t="shared" ref="AD79:AD84" si="63">SQRT(POWER(N79,2)+POWER(O79+AC79+G79,2))</f>
        <v>24.885077937812923</v>
      </c>
      <c r="AE79" s="903">
        <f t="shared" ref="AE79:AE84" si="64">SQRT(POWER(N79,2)+POWER(O79+AC79+H79,2))</f>
        <v>26.947481199010486</v>
      </c>
      <c r="AF79" s="179">
        <f t="shared" si="55"/>
        <v>0.8062765251851387</v>
      </c>
      <c r="AG79" s="180">
        <f t="shared" si="56"/>
        <v>0.87309839084793972</v>
      </c>
      <c r="AH79" s="447">
        <f t="shared" ref="AH79:AH84" si="65">37000/1.73/SQRT(POWER((G79+O79+AC79),2)+N79*N79)</f>
        <v>859.44208374353536</v>
      </c>
      <c r="AI79" s="448">
        <f t="shared" ref="AI79:AI84" si="66">37000/2/SQRT(POWER((H79+O79+AC79),2)+N79*N79)</f>
        <v>686.52056432937866</v>
      </c>
      <c r="AJ79" s="448">
        <f t="shared" ref="AJ79:AJ84" si="67">AI79/1.2</f>
        <v>572.10047027448229</v>
      </c>
      <c r="AK79" s="448">
        <f t="shared" ref="AK79:AK84" si="68">AI79/1.5</f>
        <v>457.68037621958575</v>
      </c>
      <c r="AL79" s="448">
        <f t="shared" ref="AL79:AL84" si="69">6300/(1.73*AF79)</f>
        <v>4516.5875271807417</v>
      </c>
      <c r="AM79" s="449">
        <f t="shared" ref="AM79:AM84" si="70">6300/(2*AG79)</f>
        <v>3607.8408035327707</v>
      </c>
    </row>
    <row r="80" spans="1:39" ht="12.75" customHeight="1" x14ac:dyDescent="0.2">
      <c r="A80" s="940">
        <v>5</v>
      </c>
      <c r="B80" s="2480"/>
      <c r="C80" s="2495"/>
      <c r="D80" s="651">
        <v>1.3</v>
      </c>
      <c r="E80" s="508" t="s">
        <v>35</v>
      </c>
      <c r="F80" s="786" t="s">
        <v>115</v>
      </c>
      <c r="G80" s="778">
        <v>4.2770000000000001</v>
      </c>
      <c r="H80" s="779">
        <v>6.3559999999999999</v>
      </c>
      <c r="I80" s="485"/>
      <c r="J80" s="464">
        <v>6.27</v>
      </c>
      <c r="K80" s="781">
        <v>8.74</v>
      </c>
      <c r="L80" s="781"/>
      <c r="M80" s="509"/>
      <c r="N80" s="470">
        <f t="shared" si="57"/>
        <v>3.26553</v>
      </c>
      <c r="O80" s="417">
        <f t="shared" si="58"/>
        <v>6.0040000000000004</v>
      </c>
      <c r="P80" s="414">
        <f t="shared" si="52"/>
        <v>10.787151949467479</v>
      </c>
      <c r="Q80" s="417">
        <f t="shared" si="59"/>
        <v>12.784102869615058</v>
      </c>
      <c r="R80" s="415">
        <f t="shared" si="60"/>
        <v>1982.6626469324954</v>
      </c>
      <c r="S80" s="480">
        <f t="shared" si="61"/>
        <v>1447.109757225933</v>
      </c>
      <c r="T80" s="1070">
        <v>2</v>
      </c>
      <c r="U80" s="510" t="s">
        <v>50</v>
      </c>
      <c r="V80" s="510">
        <v>6.3</v>
      </c>
      <c r="W80" s="510">
        <v>11</v>
      </c>
      <c r="X80" s="510">
        <v>35</v>
      </c>
      <c r="Y80" s="510">
        <v>6.3</v>
      </c>
      <c r="Z80" s="414">
        <v>7.4</v>
      </c>
      <c r="AA80" s="416"/>
      <c r="AB80" s="416"/>
      <c r="AC80" s="526">
        <f t="shared" si="62"/>
        <v>14.388888888888891</v>
      </c>
      <c r="AD80" s="897">
        <f t="shared" si="63"/>
        <v>24.885077937812923</v>
      </c>
      <c r="AE80" s="898">
        <f t="shared" si="64"/>
        <v>26.947481199010486</v>
      </c>
      <c r="AF80" s="157">
        <f t="shared" si="55"/>
        <v>0.8062765251851387</v>
      </c>
      <c r="AG80" s="158">
        <f t="shared" si="56"/>
        <v>0.87309839084793972</v>
      </c>
      <c r="AH80" s="479">
        <f t="shared" si="65"/>
        <v>859.44208374353536</v>
      </c>
      <c r="AI80" s="415">
        <f t="shared" si="66"/>
        <v>686.52056432937866</v>
      </c>
      <c r="AJ80" s="415">
        <f t="shared" si="67"/>
        <v>572.10047027448229</v>
      </c>
      <c r="AK80" s="415">
        <f t="shared" si="68"/>
        <v>457.68037621958575</v>
      </c>
      <c r="AL80" s="415">
        <f t="shared" si="69"/>
        <v>4516.5875271807417</v>
      </c>
      <c r="AM80" s="452">
        <f t="shared" si="70"/>
        <v>3607.8408035327707</v>
      </c>
    </row>
    <row r="81" spans="1:39" ht="12.75" customHeight="1" x14ac:dyDescent="0.2">
      <c r="A81" s="940">
        <v>5</v>
      </c>
      <c r="B81" s="2481" t="s">
        <v>350</v>
      </c>
      <c r="C81" s="2494" t="s">
        <v>341</v>
      </c>
      <c r="D81" s="460">
        <v>1.3</v>
      </c>
      <c r="E81" s="511" t="s">
        <v>35</v>
      </c>
      <c r="F81" s="413" t="s">
        <v>115</v>
      </c>
      <c r="G81" s="778">
        <v>4.2770000000000001</v>
      </c>
      <c r="H81" s="779">
        <v>6.3559999999999999</v>
      </c>
      <c r="I81" s="485"/>
      <c r="J81" s="464">
        <v>3.44</v>
      </c>
      <c r="K81" s="781">
        <v>8.74</v>
      </c>
      <c r="L81" s="781"/>
      <c r="M81" s="928"/>
      <c r="N81" s="470">
        <f t="shared" si="57"/>
        <v>2.5608599999999999</v>
      </c>
      <c r="O81" s="417">
        <f t="shared" si="58"/>
        <v>4.8719999999999999</v>
      </c>
      <c r="P81" s="414">
        <f t="shared" si="52"/>
        <v>9.5006423435260423</v>
      </c>
      <c r="Q81" s="417">
        <f t="shared" si="59"/>
        <v>11.516335699327282</v>
      </c>
      <c r="R81" s="415">
        <f t="shared" si="60"/>
        <v>2251.1407611894797</v>
      </c>
      <c r="S81" s="480">
        <f t="shared" si="61"/>
        <v>1606.4137485225151</v>
      </c>
      <c r="T81" s="1070">
        <v>1</v>
      </c>
      <c r="U81" s="510" t="s">
        <v>50</v>
      </c>
      <c r="V81" s="510">
        <v>6.3</v>
      </c>
      <c r="W81" s="510">
        <v>11</v>
      </c>
      <c r="X81" s="510">
        <v>35</v>
      </c>
      <c r="Y81" s="510">
        <v>6.3</v>
      </c>
      <c r="Z81" s="414">
        <v>7.96</v>
      </c>
      <c r="AA81" s="416"/>
      <c r="AB81" s="416"/>
      <c r="AC81" s="526">
        <f t="shared" si="62"/>
        <v>15.47777777777778</v>
      </c>
      <c r="AD81" s="897">
        <f t="shared" si="63"/>
        <v>24.759567598317414</v>
      </c>
      <c r="AE81" s="898">
        <f t="shared" si="64"/>
        <v>26.828279308514173</v>
      </c>
      <c r="AF81" s="157">
        <f t="shared" si="55"/>
        <v>0.80220999018548422</v>
      </c>
      <c r="AG81" s="158">
        <f t="shared" si="56"/>
        <v>0.86923624959585888</v>
      </c>
      <c r="AH81" s="479">
        <f t="shared" si="65"/>
        <v>863.79873768262553</v>
      </c>
      <c r="AI81" s="415">
        <f t="shared" si="66"/>
        <v>689.57087360160585</v>
      </c>
      <c r="AJ81" s="415">
        <f t="shared" si="67"/>
        <v>574.64239466800495</v>
      </c>
      <c r="AK81" s="415">
        <f t="shared" si="68"/>
        <v>459.71391573440388</v>
      </c>
      <c r="AL81" s="415">
        <f t="shared" si="69"/>
        <v>4539.4828556894736</v>
      </c>
      <c r="AM81" s="452">
        <f t="shared" si="70"/>
        <v>3623.870957365797</v>
      </c>
    </row>
    <row r="82" spans="1:39" ht="12.75" customHeight="1" x14ac:dyDescent="0.2">
      <c r="A82" s="940">
        <v>5</v>
      </c>
      <c r="B82" s="2480"/>
      <c r="C82" s="2495"/>
      <c r="D82" s="460">
        <v>1.3</v>
      </c>
      <c r="E82" s="511" t="s">
        <v>35</v>
      </c>
      <c r="F82" s="413" t="s">
        <v>115</v>
      </c>
      <c r="G82" s="778">
        <v>4.2770000000000001</v>
      </c>
      <c r="H82" s="779">
        <v>6.3559999999999999</v>
      </c>
      <c r="I82" s="485"/>
      <c r="J82" s="464">
        <v>3.44</v>
      </c>
      <c r="K82" s="781">
        <v>8.74</v>
      </c>
      <c r="L82" s="781"/>
      <c r="M82" s="928"/>
      <c r="N82" s="470">
        <f t="shared" si="57"/>
        <v>2.5608599999999999</v>
      </c>
      <c r="O82" s="417">
        <f t="shared" si="58"/>
        <v>4.8719999999999999</v>
      </c>
      <c r="P82" s="414">
        <f t="shared" si="52"/>
        <v>9.5006423435260423</v>
      </c>
      <c r="Q82" s="417">
        <f t="shared" si="59"/>
        <v>11.516335699327282</v>
      </c>
      <c r="R82" s="415">
        <f t="shared" si="60"/>
        <v>2251.1407611894797</v>
      </c>
      <c r="S82" s="480">
        <f t="shared" si="61"/>
        <v>1606.4137485225151</v>
      </c>
      <c r="T82" s="1070">
        <v>2</v>
      </c>
      <c r="U82" s="510" t="s">
        <v>50</v>
      </c>
      <c r="V82" s="510">
        <v>6.3</v>
      </c>
      <c r="W82" s="510">
        <v>11</v>
      </c>
      <c r="X82" s="510">
        <v>35</v>
      </c>
      <c r="Y82" s="510">
        <v>6.3</v>
      </c>
      <c r="Z82" s="414">
        <v>8.01</v>
      </c>
      <c r="AA82" s="416"/>
      <c r="AB82" s="416"/>
      <c r="AC82" s="526">
        <f t="shared" si="62"/>
        <v>15.575000000000001</v>
      </c>
      <c r="AD82" s="897">
        <f t="shared" si="63"/>
        <v>24.856270435035103</v>
      </c>
      <c r="AE82" s="898">
        <f t="shared" si="64"/>
        <v>26.925059200298897</v>
      </c>
      <c r="AF82" s="157">
        <f t="shared" si="55"/>
        <v>0.80534316209513734</v>
      </c>
      <c r="AG82" s="158">
        <f t="shared" si="56"/>
        <v>0.87237191808968406</v>
      </c>
      <c r="AH82" s="479">
        <f t="shared" si="65"/>
        <v>860.43814549300521</v>
      </c>
      <c r="AI82" s="415">
        <f t="shared" si="66"/>
        <v>687.09226829832312</v>
      </c>
      <c r="AJ82" s="415">
        <f t="shared" si="67"/>
        <v>572.57689024860258</v>
      </c>
      <c r="AK82" s="415">
        <f t="shared" si="68"/>
        <v>458.0615121988821</v>
      </c>
      <c r="AL82" s="415">
        <f t="shared" si="69"/>
        <v>4521.8220859242019</v>
      </c>
      <c r="AM82" s="452">
        <f t="shared" si="70"/>
        <v>3610.8452538200168</v>
      </c>
    </row>
    <row r="83" spans="1:39" ht="12.75" customHeight="1" x14ac:dyDescent="0.2">
      <c r="A83" s="940">
        <v>5</v>
      </c>
      <c r="B83" s="2481" t="s">
        <v>141</v>
      </c>
      <c r="C83" s="2494" t="s">
        <v>43</v>
      </c>
      <c r="D83" s="460">
        <v>1.3</v>
      </c>
      <c r="E83" s="511" t="s">
        <v>35</v>
      </c>
      <c r="F83" s="413" t="s">
        <v>115</v>
      </c>
      <c r="G83" s="778">
        <v>4.2770000000000001</v>
      </c>
      <c r="H83" s="779">
        <v>6.3559999999999999</v>
      </c>
      <c r="I83" s="485"/>
      <c r="J83" s="464">
        <v>10.7</v>
      </c>
      <c r="K83" s="781">
        <v>8.74</v>
      </c>
      <c r="L83" s="781"/>
      <c r="M83" s="509"/>
      <c r="N83" s="470">
        <f t="shared" si="57"/>
        <v>4.3685999999999998</v>
      </c>
      <c r="O83" s="417">
        <f t="shared" si="58"/>
        <v>7.7759999999999998</v>
      </c>
      <c r="P83" s="414">
        <f t="shared" si="52"/>
        <v>12.820275931507872</v>
      </c>
      <c r="Q83" s="417">
        <f t="shared" si="59"/>
        <v>14.791825105780557</v>
      </c>
      <c r="R83" s="415">
        <f t="shared" si="60"/>
        <v>1668.238917107202</v>
      </c>
      <c r="S83" s="480">
        <f t="shared" si="61"/>
        <v>1250.6908287314936</v>
      </c>
      <c r="T83" s="1070">
        <v>1</v>
      </c>
      <c r="U83" s="510" t="s">
        <v>85</v>
      </c>
      <c r="V83" s="510">
        <v>4</v>
      </c>
      <c r="W83" s="510">
        <v>11</v>
      </c>
      <c r="X83" s="510">
        <v>35</v>
      </c>
      <c r="Y83" s="510">
        <v>6.3</v>
      </c>
      <c r="Z83" s="414">
        <v>6.44</v>
      </c>
      <c r="AA83" s="416"/>
      <c r="AB83" s="416">
        <v>5</v>
      </c>
      <c r="AC83" s="526">
        <f t="shared" si="62"/>
        <v>19.7225</v>
      </c>
      <c r="AD83" s="897">
        <f t="shared" si="63"/>
        <v>32.074398922037496</v>
      </c>
      <c r="AE83" s="898">
        <f t="shared" si="64"/>
        <v>34.135199372641722</v>
      </c>
      <c r="AF83" s="157">
        <f t="shared" si="55"/>
        <v>1.0392105250740149</v>
      </c>
      <c r="AG83" s="158">
        <f t="shared" si="56"/>
        <v>1.1059804596735918</v>
      </c>
      <c r="AH83" s="479">
        <f t="shared" si="65"/>
        <v>666.80230825150602</v>
      </c>
      <c r="AI83" s="415">
        <f t="shared" si="66"/>
        <v>541.96255888363623</v>
      </c>
      <c r="AJ83" s="415">
        <f t="shared" si="67"/>
        <v>451.63546573636353</v>
      </c>
      <c r="AK83" s="415">
        <f t="shared" si="68"/>
        <v>361.30837258909082</v>
      </c>
      <c r="AL83" s="415">
        <f t="shared" si="69"/>
        <v>3504.2163346550615</v>
      </c>
      <c r="AM83" s="452">
        <f t="shared" si="70"/>
        <v>2848.1515857248146</v>
      </c>
    </row>
    <row r="84" spans="1:39" ht="12.75" customHeight="1" thickBot="1" x14ac:dyDescent="0.25">
      <c r="A84" s="432">
        <v>5</v>
      </c>
      <c r="B84" s="2384"/>
      <c r="C84" s="2496"/>
      <c r="D84" s="433">
        <v>1.3</v>
      </c>
      <c r="E84" s="434" t="s">
        <v>35</v>
      </c>
      <c r="F84" s="435" t="s">
        <v>115</v>
      </c>
      <c r="G84" s="788">
        <v>4.2770000000000001</v>
      </c>
      <c r="H84" s="789">
        <v>6.3559999999999999</v>
      </c>
      <c r="I84" s="438"/>
      <c r="J84" s="439">
        <v>10.7</v>
      </c>
      <c r="K84" s="440">
        <v>8.74</v>
      </c>
      <c r="L84" s="440"/>
      <c r="M84" s="512"/>
      <c r="N84" s="442">
        <f t="shared" si="57"/>
        <v>4.3685999999999998</v>
      </c>
      <c r="O84" s="444">
        <f t="shared" si="58"/>
        <v>7.7759999999999998</v>
      </c>
      <c r="P84" s="443">
        <f t="shared" si="52"/>
        <v>12.820275931507872</v>
      </c>
      <c r="Q84" s="444">
        <f t="shared" si="59"/>
        <v>14.791825105780557</v>
      </c>
      <c r="R84" s="445">
        <f t="shared" si="60"/>
        <v>1668.238917107202</v>
      </c>
      <c r="S84" s="484">
        <f t="shared" si="61"/>
        <v>1250.6908287314936</v>
      </c>
      <c r="T84" s="1071">
        <v>2</v>
      </c>
      <c r="U84" s="513" t="s">
        <v>85</v>
      </c>
      <c r="V84" s="513">
        <v>4</v>
      </c>
      <c r="W84" s="513">
        <v>11</v>
      </c>
      <c r="X84" s="513">
        <v>35</v>
      </c>
      <c r="Y84" s="513">
        <v>6.3</v>
      </c>
      <c r="Z84" s="443">
        <v>6.44</v>
      </c>
      <c r="AA84" s="436"/>
      <c r="AB84" s="436">
        <v>5</v>
      </c>
      <c r="AC84" s="527">
        <f t="shared" si="62"/>
        <v>19.7225</v>
      </c>
      <c r="AD84" s="1023">
        <f t="shared" si="63"/>
        <v>32.074398922037496</v>
      </c>
      <c r="AE84" s="1076">
        <f t="shared" si="64"/>
        <v>34.135199372641722</v>
      </c>
      <c r="AF84" s="175">
        <f t="shared" si="55"/>
        <v>1.0392105250740149</v>
      </c>
      <c r="AG84" s="176">
        <f t="shared" si="56"/>
        <v>1.1059804596735918</v>
      </c>
      <c r="AH84" s="450">
        <f t="shared" si="65"/>
        <v>666.80230825150602</v>
      </c>
      <c r="AI84" s="445">
        <f t="shared" si="66"/>
        <v>541.96255888363623</v>
      </c>
      <c r="AJ84" s="445">
        <f t="shared" si="67"/>
        <v>451.63546573636353</v>
      </c>
      <c r="AK84" s="445">
        <f t="shared" si="68"/>
        <v>361.30837258909082</v>
      </c>
      <c r="AL84" s="445">
        <f t="shared" si="69"/>
        <v>3504.2163346550615</v>
      </c>
      <c r="AM84" s="516">
        <f t="shared" si="70"/>
        <v>2848.1515857248146</v>
      </c>
    </row>
    <row r="85" spans="1:39" x14ac:dyDescent="0.2">
      <c r="D85" s="185"/>
      <c r="E85" s="100"/>
      <c r="F85" s="186"/>
      <c r="G85" s="188"/>
      <c r="H85" s="187"/>
      <c r="I85" s="100"/>
      <c r="J85" s="100"/>
      <c r="K85" s="188"/>
      <c r="L85" s="188"/>
      <c r="M85" s="189"/>
      <c r="N85" s="188"/>
      <c r="P85" s="186"/>
      <c r="R85" s="503"/>
      <c r="U85" s="186"/>
      <c r="AB85" s="100"/>
      <c r="AD85" s="186"/>
      <c r="AH85" s="100"/>
      <c r="AI85" s="100"/>
      <c r="AJ85" s="190"/>
      <c r="AL85" s="191"/>
      <c r="AM85" s="190"/>
    </row>
    <row r="86" spans="1:39" ht="13.5" customHeight="1" x14ac:dyDescent="0.2">
      <c r="B86" s="192" t="s">
        <v>158</v>
      </c>
      <c r="E86" s="2378">
        <v>42647</v>
      </c>
      <c r="F86" s="2378"/>
      <c r="G86" s="188" t="s">
        <v>337</v>
      </c>
      <c r="I86" s="100"/>
      <c r="J86" s="100"/>
      <c r="K86" s="188"/>
      <c r="L86" s="188"/>
      <c r="M86" s="189"/>
      <c r="P86" s="186"/>
      <c r="R86" s="503"/>
      <c r="U86" s="186"/>
      <c r="AB86" s="100"/>
      <c r="AD86" s="186"/>
      <c r="AH86" s="100"/>
      <c r="AI86" s="100"/>
      <c r="AJ86" s="190"/>
      <c r="AL86" s="191"/>
      <c r="AM86" s="190"/>
    </row>
    <row r="87" spans="1:39" ht="13.5" customHeight="1" x14ac:dyDescent="0.2">
      <c r="B87" s="185" t="s">
        <v>328</v>
      </c>
      <c r="E87" s="2380" t="s">
        <v>189</v>
      </c>
      <c r="F87" s="2380"/>
      <c r="I87" s="100"/>
      <c r="J87" s="100"/>
      <c r="K87" s="188"/>
      <c r="L87" s="188"/>
      <c r="M87" s="189"/>
      <c r="P87" s="186"/>
      <c r="R87" s="503"/>
      <c r="U87" s="186"/>
      <c r="AB87" s="100"/>
      <c r="AD87" s="186"/>
      <c r="AH87" s="100"/>
      <c r="AI87" s="100"/>
      <c r="AJ87" s="190"/>
      <c r="AL87" s="191"/>
      <c r="AM87" s="190"/>
    </row>
  </sheetData>
  <mergeCells count="110">
    <mergeCell ref="A1:AM1"/>
    <mergeCell ref="C79:C80"/>
    <mergeCell ref="C75:C76"/>
    <mergeCell ref="C77:C78"/>
    <mergeCell ref="C31:C32"/>
    <mergeCell ref="C33:C34"/>
    <mergeCell ref="C57:C58"/>
    <mergeCell ref="C81:C82"/>
    <mergeCell ref="C49:C50"/>
    <mergeCell ref="C51:C52"/>
    <mergeCell ref="C53:C54"/>
    <mergeCell ref="C55:C56"/>
    <mergeCell ref="C67:C68"/>
    <mergeCell ref="C69:C70"/>
    <mergeCell ref="C71:C72"/>
    <mergeCell ref="C73:C74"/>
    <mergeCell ref="B83:B84"/>
    <mergeCell ref="C19:C20"/>
    <mergeCell ref="C21:C22"/>
    <mergeCell ref="C23:C24"/>
    <mergeCell ref="C25:C26"/>
    <mergeCell ref="C27:C28"/>
    <mergeCell ref="C29:C30"/>
    <mergeCell ref="C59:C60"/>
    <mergeCell ref="C35:C36"/>
    <mergeCell ref="C37:C38"/>
    <mergeCell ref="C39:C40"/>
    <mergeCell ref="C43:C44"/>
    <mergeCell ref="C45:C46"/>
    <mergeCell ref="C47:C48"/>
    <mergeCell ref="C41:C42"/>
    <mergeCell ref="C61:C62"/>
    <mergeCell ref="C63:C64"/>
    <mergeCell ref="C65:C66"/>
    <mergeCell ref="C83:C84"/>
    <mergeCell ref="B65:B66"/>
    <mergeCell ref="B67:B68"/>
    <mergeCell ref="B69:B70"/>
    <mergeCell ref="B71:B72"/>
    <mergeCell ref="B73:B74"/>
    <mergeCell ref="B75:B76"/>
    <mergeCell ref="B77:B78"/>
    <mergeCell ref="B79:B80"/>
    <mergeCell ref="B81:B82"/>
    <mergeCell ref="B41:B42"/>
    <mergeCell ref="B49:B50"/>
    <mergeCell ref="B51:B52"/>
    <mergeCell ref="B53:B54"/>
    <mergeCell ref="B55:B56"/>
    <mergeCell ref="B57:B58"/>
    <mergeCell ref="B59:B60"/>
    <mergeCell ref="B61:B62"/>
    <mergeCell ref="B63:B64"/>
    <mergeCell ref="P2:Q2"/>
    <mergeCell ref="B17:B18"/>
    <mergeCell ref="B19:B20"/>
    <mergeCell ref="B21:B22"/>
    <mergeCell ref="B23:B24"/>
    <mergeCell ref="C11:C12"/>
    <mergeCell ref="C13:C14"/>
    <mergeCell ref="C15:C16"/>
    <mergeCell ref="C17:C18"/>
    <mergeCell ref="AL2:AM2"/>
    <mergeCell ref="AC2:AC3"/>
    <mergeCell ref="R2:S2"/>
    <mergeCell ref="AJ2:AJ3"/>
    <mergeCell ref="AK2:AK3"/>
    <mergeCell ref="B7:B8"/>
    <mergeCell ref="C7:C8"/>
    <mergeCell ref="C5:C6"/>
    <mergeCell ref="W2:W4"/>
    <mergeCell ref="X2:X3"/>
    <mergeCell ref="AD2:AE2"/>
    <mergeCell ref="U2:U4"/>
    <mergeCell ref="AF2:AG2"/>
    <mergeCell ref="AH2:AI2"/>
    <mergeCell ref="V2:V3"/>
    <mergeCell ref="Y2:Y3"/>
    <mergeCell ref="C2:C4"/>
    <mergeCell ref="I2:M2"/>
    <mergeCell ref="N2:O3"/>
    <mergeCell ref="Z2:Z3"/>
    <mergeCell ref="AA2:AA3"/>
    <mergeCell ref="G2:H2"/>
    <mergeCell ref="AB2:AB3"/>
    <mergeCell ref="T2:T4"/>
    <mergeCell ref="A2:A4"/>
    <mergeCell ref="E86:F86"/>
    <mergeCell ref="E87:F87"/>
    <mergeCell ref="B2:B4"/>
    <mergeCell ref="D2:D4"/>
    <mergeCell ref="E2:E4"/>
    <mergeCell ref="F2:F4"/>
    <mergeCell ref="B5:B6"/>
    <mergeCell ref="B13:B14"/>
    <mergeCell ref="B15:B16"/>
    <mergeCell ref="B11:B12"/>
    <mergeCell ref="C9:C10"/>
    <mergeCell ref="B9:B10"/>
    <mergeCell ref="B25:B26"/>
    <mergeCell ref="B27:B28"/>
    <mergeCell ref="B29:B30"/>
    <mergeCell ref="B31:B32"/>
    <mergeCell ref="B33:B34"/>
    <mergeCell ref="B35:B36"/>
    <mergeCell ref="B37:B38"/>
    <mergeCell ref="B39:B40"/>
    <mergeCell ref="B43:B44"/>
    <mergeCell ref="B45:B46"/>
    <mergeCell ref="B47:B48"/>
  </mergeCells>
  <phoneticPr fontId="0" type="noConversion"/>
  <pageMargins left="0.43307086614173229" right="0.43307086614173229" top="0.39370078740157483" bottom="0.37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9260A-9C4C-41A7-885A-A1AE2058F91F}">
  <sheetPr codeName="Лист8"/>
  <dimension ref="A1:AN6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G7" sqref="AG7:AH8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00" customWidth="1"/>
    <col min="4" max="4" width="5.140625" style="186" customWidth="1"/>
    <col min="5" max="5" width="5.85546875" style="186" customWidth="1"/>
    <col min="6" max="6" width="25" style="100" customWidth="1"/>
    <col min="7" max="8" width="7" style="100" customWidth="1"/>
    <col min="9" max="10" width="5.5703125" style="188" customWidth="1"/>
    <col min="11" max="11" width="5.5703125" style="189" customWidth="1"/>
    <col min="12" max="16" width="5.5703125" style="186" customWidth="1"/>
    <col min="17" max="18" width="6.7109375" style="100" customWidth="1"/>
    <col min="19" max="20" width="6.7109375" style="190" customWidth="1"/>
    <col min="21" max="21" width="3.5703125" style="186" customWidth="1"/>
    <col min="22" max="22" width="15.85546875" style="100" hidden="1" customWidth="1"/>
    <col min="23" max="23" width="5.7109375" style="100" customWidth="1"/>
    <col min="24" max="24" width="7.42578125" style="100" hidden="1" customWidth="1"/>
    <col min="25" max="26" width="5.85546875" style="100" hidden="1" customWidth="1"/>
    <col min="27" max="27" width="5.85546875" style="100" customWidth="1"/>
    <col min="28" max="28" width="11.42578125" style="100" customWidth="1"/>
    <col min="29" max="29" width="6.140625" style="186" customWidth="1"/>
    <col min="30" max="30" width="6.140625" style="100" customWidth="1"/>
    <col min="31" max="34" width="6.7109375" style="100" customWidth="1"/>
    <col min="35" max="36" width="6.7109375" style="190" customWidth="1"/>
    <col min="37" max="37" width="6.7109375" style="191" customWidth="1"/>
    <col min="38" max="40" width="6.7109375" style="190" customWidth="1"/>
    <col min="41" max="16384" width="9.140625" style="100"/>
  </cols>
  <sheetData>
    <row r="1" spans="1:40" ht="36.75" customHeight="1" thickBot="1" x14ac:dyDescent="0.25">
      <c r="A1" s="2302" t="s">
        <v>378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345"/>
      <c r="AJ1" s="345"/>
      <c r="AK1" s="345"/>
      <c r="AL1" s="345"/>
      <c r="AM1" s="345"/>
      <c r="AN1" s="345"/>
    </row>
    <row r="2" spans="1:40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536" t="s">
        <v>7</v>
      </c>
      <c r="J2" s="2323"/>
      <c r="K2" s="2323"/>
      <c r="L2" s="2323"/>
      <c r="M2" s="2323"/>
      <c r="N2" s="2537"/>
      <c r="O2" s="2323" t="s">
        <v>8</v>
      </c>
      <c r="P2" s="2324"/>
      <c r="Q2" s="2327" t="s">
        <v>385</v>
      </c>
      <c r="R2" s="2327"/>
      <c r="S2" s="2328" t="s">
        <v>388</v>
      </c>
      <c r="T2" s="2329"/>
      <c r="U2" s="2330" t="s">
        <v>9</v>
      </c>
      <c r="V2" s="2333" t="s">
        <v>10</v>
      </c>
      <c r="W2" s="2341" t="s">
        <v>12</v>
      </c>
      <c r="X2" s="2338" t="s">
        <v>13</v>
      </c>
      <c r="Y2" s="2341" t="s">
        <v>335</v>
      </c>
      <c r="Z2" s="2341" t="s">
        <v>336</v>
      </c>
      <c r="AA2" s="2460" t="s">
        <v>16</v>
      </c>
      <c r="AB2" s="2341" t="s">
        <v>17</v>
      </c>
      <c r="AC2" s="2341" t="s">
        <v>18</v>
      </c>
      <c r="AD2" s="2345" t="s">
        <v>19</v>
      </c>
      <c r="AE2" s="2321" t="s">
        <v>386</v>
      </c>
      <c r="AF2" s="2321"/>
      <c r="AG2" s="2347" t="s">
        <v>387</v>
      </c>
      <c r="AH2" s="2348"/>
      <c r="AI2" s="2349" t="s">
        <v>382</v>
      </c>
      <c r="AJ2" s="2350"/>
      <c r="AK2" s="2351" t="s">
        <v>20</v>
      </c>
      <c r="AL2" s="2351" t="s">
        <v>21</v>
      </c>
      <c r="AM2" s="2349" t="s">
        <v>383</v>
      </c>
      <c r="AN2" s="2353"/>
    </row>
    <row r="3" spans="1:40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611" t="s">
        <v>24</v>
      </c>
      <c r="J3" s="401" t="s">
        <v>25</v>
      </c>
      <c r="K3" s="861" t="s">
        <v>26</v>
      </c>
      <c r="L3" s="402" t="s">
        <v>27</v>
      </c>
      <c r="M3" s="685" t="s">
        <v>28</v>
      </c>
      <c r="N3" s="862" t="s">
        <v>198</v>
      </c>
      <c r="O3" s="2325"/>
      <c r="P3" s="2326"/>
      <c r="Q3" s="104" t="s">
        <v>216</v>
      </c>
      <c r="R3" s="104" t="s">
        <v>217</v>
      </c>
      <c r="S3" s="105" t="s">
        <v>218</v>
      </c>
      <c r="T3" s="110" t="s">
        <v>219</v>
      </c>
      <c r="U3" s="2331"/>
      <c r="V3" s="2334"/>
      <c r="W3" s="2342"/>
      <c r="X3" s="2339"/>
      <c r="Y3" s="2342"/>
      <c r="Z3" s="2342"/>
      <c r="AA3" s="2461"/>
      <c r="AB3" s="2342"/>
      <c r="AC3" s="2342"/>
      <c r="AD3" s="2346"/>
      <c r="AE3" s="1021" t="s">
        <v>216</v>
      </c>
      <c r="AF3" s="106" t="s">
        <v>217</v>
      </c>
      <c r="AG3" s="107" t="s">
        <v>216</v>
      </c>
      <c r="AH3" s="108" t="s">
        <v>217</v>
      </c>
      <c r="AI3" s="109" t="s">
        <v>218</v>
      </c>
      <c r="AJ3" s="110" t="s">
        <v>219</v>
      </c>
      <c r="AK3" s="2352"/>
      <c r="AL3" s="2352"/>
      <c r="AM3" s="105" t="s">
        <v>218</v>
      </c>
      <c r="AN3" s="111" t="s">
        <v>219</v>
      </c>
    </row>
    <row r="4" spans="1:40" s="101" customFormat="1" ht="15" customHeight="1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863" t="s">
        <v>31</v>
      </c>
      <c r="J4" s="115" t="s">
        <v>31</v>
      </c>
      <c r="K4" s="118" t="s">
        <v>31</v>
      </c>
      <c r="L4" s="116" t="s">
        <v>31</v>
      </c>
      <c r="M4" s="122" t="s">
        <v>31</v>
      </c>
      <c r="N4" s="117" t="s">
        <v>31</v>
      </c>
      <c r="O4" s="118" t="s">
        <v>30</v>
      </c>
      <c r="P4" s="116" t="s">
        <v>30</v>
      </c>
      <c r="Q4" s="116" t="s">
        <v>30</v>
      </c>
      <c r="R4" s="116" t="s">
        <v>30</v>
      </c>
      <c r="S4" s="119" t="s">
        <v>35</v>
      </c>
      <c r="T4" s="1017" t="s">
        <v>35</v>
      </c>
      <c r="U4" s="2332"/>
      <c r="V4" s="2335"/>
      <c r="W4" s="120" t="s">
        <v>32</v>
      </c>
      <c r="X4" s="2340"/>
      <c r="Y4" s="120" t="s">
        <v>33</v>
      </c>
      <c r="Z4" s="120" t="s">
        <v>33</v>
      </c>
      <c r="AA4" s="121" t="s">
        <v>34</v>
      </c>
      <c r="AB4" s="120" t="s">
        <v>35</v>
      </c>
      <c r="AC4" s="120" t="s">
        <v>34</v>
      </c>
      <c r="AD4" s="1025" t="s">
        <v>30</v>
      </c>
      <c r="AE4" s="118" t="s">
        <v>30</v>
      </c>
      <c r="AF4" s="122" t="s">
        <v>30</v>
      </c>
      <c r="AG4" s="123" t="s">
        <v>30</v>
      </c>
      <c r="AH4" s="124" t="s">
        <v>30</v>
      </c>
      <c r="AI4" s="125" t="s">
        <v>35</v>
      </c>
      <c r="AJ4" s="119" t="s">
        <v>35</v>
      </c>
      <c r="AK4" s="119" t="s">
        <v>35</v>
      </c>
      <c r="AL4" s="119" t="s">
        <v>35</v>
      </c>
      <c r="AM4" s="119" t="s">
        <v>35</v>
      </c>
      <c r="AN4" s="126" t="s">
        <v>35</v>
      </c>
    </row>
    <row r="5" spans="1:40" ht="12.75" customHeight="1" x14ac:dyDescent="0.2">
      <c r="A5" s="929">
        <v>6</v>
      </c>
      <c r="B5" s="2306" t="s">
        <v>100</v>
      </c>
      <c r="C5" s="2482" t="s">
        <v>43</v>
      </c>
      <c r="D5" s="672">
        <v>5.8</v>
      </c>
      <c r="E5" s="544" t="s">
        <v>39</v>
      </c>
      <c r="F5" s="491" t="s">
        <v>44</v>
      </c>
      <c r="G5" s="349">
        <v>5.835</v>
      </c>
      <c r="H5" s="350">
        <v>7.0460000000000003</v>
      </c>
      <c r="I5" s="492"/>
      <c r="J5" s="348">
        <v>19.7</v>
      </c>
      <c r="K5" s="931">
        <v>0.55000000000000004</v>
      </c>
      <c r="L5" s="931"/>
      <c r="M5" s="801"/>
      <c r="N5" s="943"/>
      <c r="O5" s="351">
        <f>0.314*I5+0.249*J5+0.195*K5+0.159*L5+0.06*M5</f>
        <v>5.0125499999999992</v>
      </c>
      <c r="P5" s="349">
        <f>0.4*SUM(I5:M5)</f>
        <v>8.1</v>
      </c>
      <c r="Q5" s="352">
        <f>SQRT(POWER(O5,2)+POWER(P5+G5,2))</f>
        <v>14.809114845341027</v>
      </c>
      <c r="R5" s="353">
        <f>SQRT(POWER(O5,2)+POWER(P5+H5,2))</f>
        <v>15.95390151350133</v>
      </c>
      <c r="S5" s="354">
        <f t="shared" ref="S5:S60" si="0">37000/1.73/SQRT(POWER((G5+P5),2)+O5*O5)</f>
        <v>1444.197270421108</v>
      </c>
      <c r="T5" s="357">
        <f t="shared" ref="T5:T60" si="1">37000/2/SQRT(O5*O5+POWER((H5+P5),2))</f>
        <v>1159.5909617684413</v>
      </c>
      <c r="U5" s="544">
        <v>1</v>
      </c>
      <c r="V5" s="349" t="s">
        <v>192</v>
      </c>
      <c r="W5" s="349">
        <v>4</v>
      </c>
      <c r="X5" s="349">
        <v>11</v>
      </c>
      <c r="Y5" s="349">
        <v>35</v>
      </c>
      <c r="Z5" s="493">
        <v>6.3</v>
      </c>
      <c r="AA5" s="493">
        <v>6.3</v>
      </c>
      <c r="AB5" s="349"/>
      <c r="AC5" s="349"/>
      <c r="AD5" s="528">
        <f>AA5/100*Y5*Y5/W5</f>
        <v>19.293749999999999</v>
      </c>
      <c r="AE5" s="351">
        <f t="shared" ref="AE5:AE60" si="2">SQRT(POWER(O5,2)+POWER(P5+AD5+G5,2))</f>
        <v>33.604694375414276</v>
      </c>
      <c r="AF5" s="355">
        <f t="shared" ref="AF5:AF60" si="3">SQRT(POWER(O5,2)+POWER(P5+AD5+H5,2))</f>
        <v>34.80261538397653</v>
      </c>
      <c r="AG5" s="139">
        <f t="shared" ref="AG5:AG60" si="4">SQRT(POWER((AD5+P5+G5),2)+POWER(O5,2))*POWER(6.3/35,2)</f>
        <v>1.0887920977634225</v>
      </c>
      <c r="AH5" s="140">
        <f t="shared" ref="AH5:AH60" si="5">SQRT(POWER((H5+P5+AD5),2)+POWER(O5,2))*POWER(6.3/35,2)</f>
        <v>1.1276047384408396</v>
      </c>
      <c r="AI5" s="356">
        <f t="shared" ref="AI5:AI60" si="6">37000/1.73/SQRT(POWER((G5+P5+AD5),2)+O5*O5)</f>
        <v>636.43736788874037</v>
      </c>
      <c r="AJ5" s="354">
        <f t="shared" ref="AJ5:AJ60" si="7">37000/2/SQRT(POWER((H5+P5+AD5),2)+O5*O5)</f>
        <v>531.56924546876382</v>
      </c>
      <c r="AK5" s="354">
        <f t="shared" ref="AK5:AK10" si="8">AJ5/1.2</f>
        <v>442.97437122396985</v>
      </c>
      <c r="AL5" s="354">
        <f t="shared" ref="AL5:AL60" si="9">AJ5/1.5</f>
        <v>354.37949697917588</v>
      </c>
      <c r="AM5" s="354">
        <f t="shared" ref="AM5:AM60" si="10">6300/(1.73*AG5)</f>
        <v>3344.6408222381251</v>
      </c>
      <c r="AN5" s="358">
        <f t="shared" ref="AN5:AN60" si="11">6300/(2*AH5)</f>
        <v>2793.5320707817923</v>
      </c>
    </row>
    <row r="6" spans="1:40" ht="12.75" customHeight="1" x14ac:dyDescent="0.2">
      <c r="A6" s="161">
        <v>6</v>
      </c>
      <c r="B6" s="2359"/>
      <c r="C6" s="2363"/>
      <c r="D6" s="673">
        <v>5.8</v>
      </c>
      <c r="E6" s="546" t="s">
        <v>39</v>
      </c>
      <c r="F6" s="146" t="s">
        <v>44</v>
      </c>
      <c r="G6" s="152">
        <v>5.835</v>
      </c>
      <c r="H6" s="272">
        <v>7.0460000000000003</v>
      </c>
      <c r="I6" s="147"/>
      <c r="J6" s="148">
        <v>19.7</v>
      </c>
      <c r="K6" s="149">
        <v>0.55000000000000004</v>
      </c>
      <c r="L6" s="149"/>
      <c r="M6" s="687"/>
      <c r="N6" s="150"/>
      <c r="O6" s="151">
        <f>0.314*I6+0.249*J6+0.195*K6+0.159*L6+0.06*M6</f>
        <v>5.0125499999999992</v>
      </c>
      <c r="P6" s="152">
        <f>0.4*SUM(I6:M6)</f>
        <v>8.1</v>
      </c>
      <c r="Q6" s="153">
        <f>SQRT(POWER(O6,2)+POWER(P6+G6,2))</f>
        <v>14.809114845341027</v>
      </c>
      <c r="R6" s="154">
        <f>SQRT(POWER(O6,2)+POWER(P6+H6,2))</f>
        <v>15.95390151350133</v>
      </c>
      <c r="S6" s="155">
        <f t="shared" si="0"/>
        <v>1444.197270421108</v>
      </c>
      <c r="T6" s="361">
        <f t="shared" si="1"/>
        <v>1159.5909617684413</v>
      </c>
      <c r="U6" s="546">
        <v>2</v>
      </c>
      <c r="V6" s="152" t="s">
        <v>192</v>
      </c>
      <c r="W6" s="152">
        <v>4</v>
      </c>
      <c r="X6" s="152">
        <v>11</v>
      </c>
      <c r="Y6" s="152">
        <v>35</v>
      </c>
      <c r="Z6" s="494">
        <v>6.3</v>
      </c>
      <c r="AA6" s="494">
        <v>6.14</v>
      </c>
      <c r="AB6" s="152"/>
      <c r="AC6" s="152"/>
      <c r="AD6" s="274">
        <f>AA6/100*Y6*Y6/W6</f>
        <v>18.803750000000001</v>
      </c>
      <c r="AE6" s="151">
        <f t="shared" si="2"/>
        <v>33.120256778367526</v>
      </c>
      <c r="AF6" s="156">
        <f t="shared" si="3"/>
        <v>34.317796878077708</v>
      </c>
      <c r="AG6" s="157">
        <f t="shared" si="4"/>
        <v>1.0730963196191079</v>
      </c>
      <c r="AH6" s="158">
        <f t="shared" si="5"/>
        <v>1.1118966188497177</v>
      </c>
      <c r="AI6" s="360">
        <f t="shared" si="6"/>
        <v>645.74629901309561</v>
      </c>
      <c r="AJ6" s="155">
        <f t="shared" si="7"/>
        <v>539.07889442104147</v>
      </c>
      <c r="AK6" s="155">
        <f t="shared" si="8"/>
        <v>449.23241201753456</v>
      </c>
      <c r="AL6" s="155">
        <f t="shared" si="9"/>
        <v>359.38592961402765</v>
      </c>
      <c r="AM6" s="137">
        <f t="shared" si="10"/>
        <v>3393.5616314502017</v>
      </c>
      <c r="AN6" s="160">
        <f t="shared" si="11"/>
        <v>2832.9971929033713</v>
      </c>
    </row>
    <row r="7" spans="1:40" ht="12.75" customHeight="1" x14ac:dyDescent="0.2">
      <c r="A7" s="161">
        <v>6</v>
      </c>
      <c r="B7" s="2358" t="s">
        <v>379</v>
      </c>
      <c r="C7" s="2362" t="s">
        <v>43</v>
      </c>
      <c r="D7" s="673">
        <v>5.8</v>
      </c>
      <c r="E7" s="145" t="s">
        <v>39</v>
      </c>
      <c r="F7" s="146" t="s">
        <v>44</v>
      </c>
      <c r="G7" s="152">
        <v>5.835</v>
      </c>
      <c r="H7" s="162">
        <v>7.0460000000000003</v>
      </c>
      <c r="I7" s="147"/>
      <c r="J7" s="148">
        <v>15.12</v>
      </c>
      <c r="K7" s="149">
        <v>0.55000000000000004</v>
      </c>
      <c r="L7" s="149"/>
      <c r="M7" s="687"/>
      <c r="N7" s="150"/>
      <c r="O7" s="151">
        <f t="shared" ref="O7:O40" si="12">0.314*I7+0.249*J7+0.195*K7+0.159*L7+0.06*M7</f>
        <v>3.8721299999999998</v>
      </c>
      <c r="P7" s="152">
        <f t="shared" ref="P7:P40" si="13">0.4*SUM(I7:M7)</f>
        <v>6.2680000000000007</v>
      </c>
      <c r="Q7" s="153">
        <f t="shared" ref="Q7:Q28" si="14">SQRT(POWER(O7,2)+POWER(P7+G7,2))</f>
        <v>12.707320714332351</v>
      </c>
      <c r="R7" s="154">
        <f t="shared" ref="R7:R28" si="15">SQRT(POWER(O7,2)+POWER(P7+H7,2))</f>
        <v>13.865640509435545</v>
      </c>
      <c r="S7" s="155">
        <f t="shared" si="0"/>
        <v>1683.0678722755379</v>
      </c>
      <c r="T7" s="361">
        <f t="shared" si="1"/>
        <v>1334.233350952001</v>
      </c>
      <c r="U7" s="546">
        <v>1</v>
      </c>
      <c r="V7" s="152" t="s">
        <v>50</v>
      </c>
      <c r="W7" s="152">
        <v>6.3</v>
      </c>
      <c r="X7" s="152">
        <v>11</v>
      </c>
      <c r="Y7" s="152">
        <v>35</v>
      </c>
      <c r="Z7" s="494">
        <v>6.3</v>
      </c>
      <c r="AA7" s="494">
        <v>8.3000000000000007</v>
      </c>
      <c r="AB7" s="152"/>
      <c r="AC7" s="152"/>
      <c r="AD7" s="274">
        <f t="shared" ref="AD7:AD28" si="16">AA7/100*Y7*Y7/W7</f>
        <v>16.138888888888893</v>
      </c>
      <c r="AE7" s="151">
        <f t="shared" si="2"/>
        <v>28.506098974592192</v>
      </c>
      <c r="AF7" s="156">
        <f t="shared" si="3"/>
        <v>29.706330211558189</v>
      </c>
      <c r="AG7" s="157">
        <f t="shared" si="4"/>
        <v>0.92359760677678693</v>
      </c>
      <c r="AH7" s="158">
        <f t="shared" si="5"/>
        <v>0.9624850988544853</v>
      </c>
      <c r="AI7" s="360">
        <f t="shared" si="6"/>
        <v>750.2704335678111</v>
      </c>
      <c r="AJ7" s="155">
        <f t="shared" si="7"/>
        <v>622.76288818744729</v>
      </c>
      <c r="AK7" s="155">
        <f t="shared" si="8"/>
        <v>518.96907348953948</v>
      </c>
      <c r="AL7" s="155">
        <f t="shared" si="9"/>
        <v>415.17525879163151</v>
      </c>
      <c r="AM7" s="137">
        <f t="shared" si="10"/>
        <v>3942.8626388698785</v>
      </c>
      <c r="AN7" s="160">
        <f t="shared" si="11"/>
        <v>3272.7779409250234</v>
      </c>
    </row>
    <row r="8" spans="1:40" ht="12.75" customHeight="1" x14ac:dyDescent="0.2">
      <c r="A8" s="161">
        <v>6</v>
      </c>
      <c r="B8" s="2359"/>
      <c r="C8" s="2363"/>
      <c r="D8" s="673">
        <v>5.8</v>
      </c>
      <c r="E8" s="145" t="s">
        <v>39</v>
      </c>
      <c r="F8" s="146" t="s">
        <v>44</v>
      </c>
      <c r="G8" s="152">
        <v>5.835</v>
      </c>
      <c r="H8" s="162">
        <v>7.0460000000000003</v>
      </c>
      <c r="I8" s="147"/>
      <c r="J8" s="148">
        <v>15.32</v>
      </c>
      <c r="K8" s="149">
        <v>0.55000000000000004</v>
      </c>
      <c r="L8" s="149"/>
      <c r="M8" s="687"/>
      <c r="N8" s="150"/>
      <c r="O8" s="151">
        <f t="shared" si="12"/>
        <v>3.9219300000000001</v>
      </c>
      <c r="P8" s="152">
        <f t="shared" si="13"/>
        <v>6.3480000000000008</v>
      </c>
      <c r="Q8" s="153">
        <f t="shared" si="14"/>
        <v>12.798711807244509</v>
      </c>
      <c r="R8" s="154">
        <f t="shared" si="15"/>
        <v>13.956388176204474</v>
      </c>
      <c r="S8" s="155">
        <f t="shared" si="0"/>
        <v>1671.0496774283397</v>
      </c>
      <c r="T8" s="361">
        <f t="shared" si="1"/>
        <v>1325.5578568345029</v>
      </c>
      <c r="U8" s="546">
        <v>2</v>
      </c>
      <c r="V8" s="152" t="s">
        <v>50</v>
      </c>
      <c r="W8" s="152">
        <v>6.3</v>
      </c>
      <c r="X8" s="152">
        <v>11</v>
      </c>
      <c r="Y8" s="152">
        <v>35</v>
      </c>
      <c r="Z8" s="494">
        <v>6.3</v>
      </c>
      <c r="AA8" s="494">
        <v>8.3000000000000007</v>
      </c>
      <c r="AB8" s="152"/>
      <c r="AC8" s="152"/>
      <c r="AD8" s="274">
        <f t="shared" si="16"/>
        <v>16.138888888888893</v>
      </c>
      <c r="AE8" s="151">
        <f t="shared" si="2"/>
        <v>28.592147963373932</v>
      </c>
      <c r="AF8" s="156">
        <f t="shared" si="3"/>
        <v>29.792164423692967</v>
      </c>
      <c r="AG8" s="157">
        <f t="shared" si="4"/>
        <v>0.92638559401331533</v>
      </c>
      <c r="AH8" s="158">
        <f t="shared" si="5"/>
        <v>0.96526612732765227</v>
      </c>
      <c r="AI8" s="360">
        <f t="shared" si="6"/>
        <v>748.01247057027592</v>
      </c>
      <c r="AJ8" s="155">
        <f t="shared" si="7"/>
        <v>620.96864587949869</v>
      </c>
      <c r="AK8" s="155">
        <f t="shared" si="8"/>
        <v>517.47387156624893</v>
      </c>
      <c r="AL8" s="155">
        <f t="shared" si="9"/>
        <v>413.97909725299911</v>
      </c>
      <c r="AM8" s="137">
        <f t="shared" si="10"/>
        <v>3930.9964669609103</v>
      </c>
      <c r="AN8" s="160">
        <f t="shared" si="11"/>
        <v>3263.348739606975</v>
      </c>
    </row>
    <row r="9" spans="1:40" ht="12.75" customHeight="1" x14ac:dyDescent="0.2">
      <c r="A9" s="161">
        <v>6</v>
      </c>
      <c r="B9" s="2358" t="s">
        <v>309</v>
      </c>
      <c r="C9" s="2360" t="s">
        <v>351</v>
      </c>
      <c r="D9" s="673">
        <v>5.8</v>
      </c>
      <c r="E9" s="145" t="s">
        <v>39</v>
      </c>
      <c r="F9" s="146" t="s">
        <v>44</v>
      </c>
      <c r="G9" s="152">
        <v>5.835</v>
      </c>
      <c r="H9" s="162">
        <v>7.0460000000000003</v>
      </c>
      <c r="I9" s="147"/>
      <c r="J9" s="148">
        <v>15.1</v>
      </c>
      <c r="K9" s="149">
        <v>0.55000000000000004</v>
      </c>
      <c r="L9" s="149"/>
      <c r="M9" s="687"/>
      <c r="N9" s="150"/>
      <c r="O9" s="151">
        <f t="shared" si="12"/>
        <v>3.8671500000000001</v>
      </c>
      <c r="P9" s="152">
        <f t="shared" si="13"/>
        <v>6.2600000000000007</v>
      </c>
      <c r="Q9" s="153">
        <f t="shared" si="14"/>
        <v>12.69818389071839</v>
      </c>
      <c r="R9" s="154">
        <f t="shared" si="15"/>
        <v>13.856568302523538</v>
      </c>
      <c r="S9" s="155">
        <f t="shared" si="0"/>
        <v>1684.2789032711237</v>
      </c>
      <c r="T9" s="361">
        <f t="shared" si="1"/>
        <v>1335.1069035347523</v>
      </c>
      <c r="U9" s="546">
        <v>1</v>
      </c>
      <c r="V9" s="152" t="s">
        <v>194</v>
      </c>
      <c r="W9" s="152">
        <v>6.3</v>
      </c>
      <c r="X9" s="152">
        <v>11</v>
      </c>
      <c r="Y9" s="152">
        <v>35</v>
      </c>
      <c r="Z9" s="494">
        <v>6.3</v>
      </c>
      <c r="AA9" s="494">
        <v>6.74</v>
      </c>
      <c r="AB9" s="152"/>
      <c r="AC9" s="152"/>
      <c r="AD9" s="274">
        <f t="shared" si="16"/>
        <v>13.105555555555556</v>
      </c>
      <c r="AE9" s="151">
        <f t="shared" si="2"/>
        <v>25.495545678238425</v>
      </c>
      <c r="AF9" s="156">
        <f t="shared" si="3"/>
        <v>26.693166091468008</v>
      </c>
      <c r="AG9" s="157">
        <f t="shared" si="4"/>
        <v>0.82605567997492491</v>
      </c>
      <c r="AH9" s="158">
        <f t="shared" si="5"/>
        <v>0.86485858136356364</v>
      </c>
      <c r="AI9" s="360">
        <f t="shared" si="6"/>
        <v>838.8635217660476</v>
      </c>
      <c r="AJ9" s="155">
        <f t="shared" si="7"/>
        <v>693.0612852970329</v>
      </c>
      <c r="AK9" s="155">
        <f t="shared" si="8"/>
        <v>577.55107108086077</v>
      </c>
      <c r="AL9" s="155">
        <f t="shared" si="9"/>
        <v>462.04085686468858</v>
      </c>
      <c r="AM9" s="137">
        <f t="shared" si="10"/>
        <v>4408.4419312029531</v>
      </c>
      <c r="AN9" s="160">
        <f t="shared" si="11"/>
        <v>3642.2139617711946</v>
      </c>
    </row>
    <row r="10" spans="1:40" ht="12.75" customHeight="1" x14ac:dyDescent="0.2">
      <c r="A10" s="161">
        <v>6</v>
      </c>
      <c r="B10" s="2359"/>
      <c r="C10" s="2361"/>
      <c r="D10" s="673">
        <v>5.8</v>
      </c>
      <c r="E10" s="145" t="s">
        <v>39</v>
      </c>
      <c r="F10" s="146" t="s">
        <v>44</v>
      </c>
      <c r="G10" s="152">
        <v>5.835</v>
      </c>
      <c r="H10" s="162">
        <v>7.0460000000000003</v>
      </c>
      <c r="I10" s="147"/>
      <c r="J10" s="148">
        <v>15.3</v>
      </c>
      <c r="K10" s="149">
        <v>0.55000000000000004</v>
      </c>
      <c r="L10" s="149"/>
      <c r="M10" s="687"/>
      <c r="N10" s="150"/>
      <c r="O10" s="151">
        <f t="shared" si="12"/>
        <v>3.9169500000000004</v>
      </c>
      <c r="P10" s="152">
        <f t="shared" si="13"/>
        <v>6.3400000000000007</v>
      </c>
      <c r="Q10" s="153">
        <f t="shared" si="14"/>
        <v>12.789570841216682</v>
      </c>
      <c r="R10" s="154">
        <f t="shared" si="15"/>
        <v>13.947311328800975</v>
      </c>
      <c r="S10" s="155">
        <f t="shared" si="0"/>
        <v>1672.2440105706964</v>
      </c>
      <c r="T10" s="361">
        <f t="shared" si="1"/>
        <v>1326.4205239183123</v>
      </c>
      <c r="U10" s="546">
        <v>2</v>
      </c>
      <c r="V10" s="152" t="s">
        <v>194</v>
      </c>
      <c r="W10" s="152">
        <v>6.3</v>
      </c>
      <c r="X10" s="152">
        <v>11</v>
      </c>
      <c r="Y10" s="152">
        <v>35</v>
      </c>
      <c r="Z10" s="494">
        <v>6.3</v>
      </c>
      <c r="AA10" s="494">
        <v>6.96</v>
      </c>
      <c r="AB10" s="152"/>
      <c r="AC10" s="152"/>
      <c r="AD10" s="274">
        <f t="shared" si="16"/>
        <v>13.533333333333331</v>
      </c>
      <c r="AE10" s="151">
        <f t="shared" si="2"/>
        <v>26.005016825225812</v>
      </c>
      <c r="AF10" s="156">
        <f t="shared" si="3"/>
        <v>27.202812435731914</v>
      </c>
      <c r="AG10" s="157">
        <f t="shared" si="4"/>
        <v>0.84256254513731632</v>
      </c>
      <c r="AH10" s="158">
        <f t="shared" si="5"/>
        <v>0.88137112291771413</v>
      </c>
      <c r="AI10" s="360">
        <f t="shared" si="6"/>
        <v>822.42912514664386</v>
      </c>
      <c r="AJ10" s="155">
        <f t="shared" si="7"/>
        <v>680.07673999544079</v>
      </c>
      <c r="AK10" s="155">
        <f t="shared" si="8"/>
        <v>566.73061666286731</v>
      </c>
      <c r="AL10" s="155">
        <f t="shared" si="9"/>
        <v>453.38449333029388</v>
      </c>
      <c r="AM10" s="137">
        <f t="shared" si="10"/>
        <v>4322.0749820018827</v>
      </c>
      <c r="AN10" s="160">
        <f t="shared" si="11"/>
        <v>3573.9768618379021</v>
      </c>
    </row>
    <row r="11" spans="1:40" ht="12.75" customHeight="1" x14ac:dyDescent="0.2">
      <c r="A11" s="161">
        <v>6</v>
      </c>
      <c r="B11" s="2358" t="s">
        <v>168</v>
      </c>
      <c r="C11" s="2362" t="s">
        <v>341</v>
      </c>
      <c r="D11" s="673">
        <v>1.2</v>
      </c>
      <c r="E11" s="145" t="s">
        <v>39</v>
      </c>
      <c r="F11" s="146" t="s">
        <v>46</v>
      </c>
      <c r="G11" s="2145">
        <f>Мартыновская!G15</f>
        <v>4.9020181386774881</v>
      </c>
      <c r="H11" s="2152">
        <f>Мартыновская!H15</f>
        <v>5.2862861120779669</v>
      </c>
      <c r="I11" s="147"/>
      <c r="J11" s="148">
        <v>23.01</v>
      </c>
      <c r="K11" s="149"/>
      <c r="L11" s="149"/>
      <c r="M11" s="687"/>
      <c r="N11" s="150"/>
      <c r="O11" s="151">
        <f t="shared" si="12"/>
        <v>5.7294900000000002</v>
      </c>
      <c r="P11" s="152">
        <f t="shared" si="13"/>
        <v>9.2040000000000006</v>
      </c>
      <c r="Q11" s="153">
        <f t="shared" si="14"/>
        <v>15.225202901399978</v>
      </c>
      <c r="R11" s="154">
        <f t="shared" si="15"/>
        <v>15.581894854926331</v>
      </c>
      <c r="S11" s="155">
        <f t="shared" si="0"/>
        <v>1404.7289468324675</v>
      </c>
      <c r="T11" s="361">
        <f t="shared" si="1"/>
        <v>1187.275371335925</v>
      </c>
      <c r="U11" s="546">
        <v>1</v>
      </c>
      <c r="V11" s="152" t="s">
        <v>195</v>
      </c>
      <c r="W11" s="864">
        <v>6.3</v>
      </c>
      <c r="X11" s="152">
        <v>11</v>
      </c>
      <c r="Y11" s="864">
        <v>35</v>
      </c>
      <c r="Z11" s="865">
        <v>6.3</v>
      </c>
      <c r="AA11" s="864">
        <v>8.1300000000000008</v>
      </c>
      <c r="AB11" s="152"/>
      <c r="AC11" s="152">
        <v>5</v>
      </c>
      <c r="AD11" s="274">
        <f t="shared" si="16"/>
        <v>15.808333333333335</v>
      </c>
      <c r="AE11" s="151">
        <f t="shared" si="2"/>
        <v>30.458093828260104</v>
      </c>
      <c r="AF11" s="156">
        <f t="shared" si="3"/>
        <v>30.835586518792795</v>
      </c>
      <c r="AG11" s="1303">
        <f t="shared" si="4"/>
        <v>0.98684224003562726</v>
      </c>
      <c r="AH11" s="1304">
        <f t="shared" si="5"/>
        <v>0.99907300320888648</v>
      </c>
      <c r="AI11" s="360">
        <f t="shared" si="6"/>
        <v>702.18718733968637</v>
      </c>
      <c r="AJ11" s="155">
        <f t="shared" si="7"/>
        <v>599.95615743274891</v>
      </c>
      <c r="AK11" s="155">
        <f t="shared" ref="AK11:AK20" si="17">AJ11/1.2</f>
        <v>499.9634645272908</v>
      </c>
      <c r="AL11" s="155">
        <f t="shared" si="9"/>
        <v>399.97077162183263</v>
      </c>
      <c r="AM11" s="155">
        <f t="shared" si="10"/>
        <v>3690.1729064397932</v>
      </c>
      <c r="AN11" s="160">
        <f t="shared" si="11"/>
        <v>3152.9227492712034</v>
      </c>
    </row>
    <row r="12" spans="1:40" ht="12.75" customHeight="1" x14ac:dyDescent="0.2">
      <c r="A12" s="161">
        <v>6</v>
      </c>
      <c r="B12" s="2359"/>
      <c r="C12" s="2363"/>
      <c r="D12" s="673">
        <v>1.2</v>
      </c>
      <c r="E12" s="145" t="s">
        <v>39</v>
      </c>
      <c r="F12" s="146" t="s">
        <v>46</v>
      </c>
      <c r="G12" s="2145">
        <f>Мартыновская!G16</f>
        <v>4.8982573492001933</v>
      </c>
      <c r="H12" s="2152">
        <f>Мартыновская!H16</f>
        <v>5.2312064066132784</v>
      </c>
      <c r="I12" s="147"/>
      <c r="J12" s="148">
        <v>23.01</v>
      </c>
      <c r="K12" s="149"/>
      <c r="L12" s="149"/>
      <c r="M12" s="687"/>
      <c r="N12" s="150"/>
      <c r="O12" s="151">
        <f t="shared" si="12"/>
        <v>5.7294900000000002</v>
      </c>
      <c r="P12" s="152">
        <f t="shared" si="13"/>
        <v>9.2040000000000006</v>
      </c>
      <c r="Q12" s="153">
        <f t="shared" si="14"/>
        <v>15.221718628432562</v>
      </c>
      <c r="R12" s="154">
        <f t="shared" si="15"/>
        <v>15.530687031217552</v>
      </c>
      <c r="S12" s="155">
        <f t="shared" si="0"/>
        <v>1405.0504912792853</v>
      </c>
      <c r="T12" s="361">
        <f t="shared" si="1"/>
        <v>1191.1900589339004</v>
      </c>
      <c r="U12" s="546">
        <v>2</v>
      </c>
      <c r="V12" s="152" t="s">
        <v>195</v>
      </c>
      <c r="W12" s="864">
        <v>6.3</v>
      </c>
      <c r="X12" s="152">
        <v>11</v>
      </c>
      <c r="Y12" s="864">
        <v>35</v>
      </c>
      <c r="Z12" s="865">
        <v>6.3</v>
      </c>
      <c r="AA12" s="864">
        <v>8.1300000000000008</v>
      </c>
      <c r="AB12" s="152"/>
      <c r="AC12" s="152">
        <v>5</v>
      </c>
      <c r="AD12" s="274">
        <f t="shared" si="16"/>
        <v>15.808333333333335</v>
      </c>
      <c r="AE12" s="151">
        <f t="shared" si="2"/>
        <v>30.454400185164733</v>
      </c>
      <c r="AF12" s="156">
        <f t="shared" si="3"/>
        <v>30.781467665818507</v>
      </c>
      <c r="AG12" s="1303">
        <f t="shared" si="4"/>
        <v>0.98672256599933728</v>
      </c>
      <c r="AH12" s="1304">
        <f t="shared" si="5"/>
        <v>0.99731955237251946</v>
      </c>
      <c r="AI12" s="360">
        <f t="shared" si="6"/>
        <v>702.27235167851427</v>
      </c>
      <c r="AJ12" s="155">
        <f t="shared" si="7"/>
        <v>601.01097845127947</v>
      </c>
      <c r="AK12" s="155">
        <f t="shared" si="17"/>
        <v>500.84248204273291</v>
      </c>
      <c r="AL12" s="155">
        <f t="shared" si="9"/>
        <v>400.67398563418629</v>
      </c>
      <c r="AM12" s="137">
        <f t="shared" si="10"/>
        <v>3690.6204667789793</v>
      </c>
      <c r="AN12" s="160">
        <f t="shared" si="11"/>
        <v>3158.4661029721897</v>
      </c>
    </row>
    <row r="13" spans="1:40" ht="12.75" customHeight="1" x14ac:dyDescent="0.2">
      <c r="A13" s="161">
        <v>6</v>
      </c>
      <c r="B13" s="2358" t="s">
        <v>140</v>
      </c>
      <c r="C13" s="2362" t="s">
        <v>43</v>
      </c>
      <c r="D13" s="673">
        <v>5.8</v>
      </c>
      <c r="E13" s="145" t="s">
        <v>39</v>
      </c>
      <c r="F13" s="146" t="s">
        <v>44</v>
      </c>
      <c r="G13" s="129">
        <v>5.835</v>
      </c>
      <c r="H13" s="960">
        <v>7.0460000000000003</v>
      </c>
      <c r="I13" s="147"/>
      <c r="J13" s="148">
        <v>24.1</v>
      </c>
      <c r="K13" s="149">
        <v>0.55000000000000004</v>
      </c>
      <c r="L13" s="149"/>
      <c r="M13" s="687"/>
      <c r="N13" s="150"/>
      <c r="O13" s="151">
        <f>0.314*I13+0.249*J13+0.195*K13+0.159*L13+0.06*M13</f>
        <v>6.1081500000000002</v>
      </c>
      <c r="P13" s="152">
        <f>0.4*SUM(I13:M13)</f>
        <v>9.8600000000000012</v>
      </c>
      <c r="Q13" s="153">
        <f>SQRT(POWER(O13,2)+POWER(P13+G13,2))</f>
        <v>16.841689981189536</v>
      </c>
      <c r="R13" s="154">
        <f>SQRT(POWER(O13,2)+POWER(P13+H13,2))</f>
        <v>17.975603812459266</v>
      </c>
      <c r="S13" s="155">
        <f t="shared" si="0"/>
        <v>1269.9012546176573</v>
      </c>
      <c r="T13" s="361">
        <f t="shared" si="1"/>
        <v>1029.1726605132042</v>
      </c>
      <c r="U13" s="546">
        <v>1</v>
      </c>
      <c r="V13" s="152" t="s">
        <v>50</v>
      </c>
      <c r="W13" s="152">
        <v>6.3</v>
      </c>
      <c r="X13" s="152">
        <v>11</v>
      </c>
      <c r="Y13" s="152">
        <v>35</v>
      </c>
      <c r="Z13" s="494">
        <v>6.3</v>
      </c>
      <c r="AA13" s="494">
        <v>7.6</v>
      </c>
      <c r="AB13" s="152"/>
      <c r="AC13" s="152">
        <v>5</v>
      </c>
      <c r="AD13" s="274">
        <f>AA13/100*Y13*Y13/W13</f>
        <v>14.77777777777778</v>
      </c>
      <c r="AE13" s="151">
        <f t="shared" si="2"/>
        <v>31.078926653221593</v>
      </c>
      <c r="AF13" s="156">
        <f t="shared" si="3"/>
        <v>32.267185664295312</v>
      </c>
      <c r="AG13" s="157">
        <f t="shared" si="4"/>
        <v>1.0069572235643796</v>
      </c>
      <c r="AH13" s="158">
        <f t="shared" si="5"/>
        <v>1.0454568155231683</v>
      </c>
      <c r="AI13" s="360">
        <f t="shared" si="6"/>
        <v>688.16029187987579</v>
      </c>
      <c r="AJ13" s="155">
        <f t="shared" si="7"/>
        <v>573.33788550610552</v>
      </c>
      <c r="AK13" s="155">
        <f t="shared" si="17"/>
        <v>477.78157125508795</v>
      </c>
      <c r="AL13" s="155">
        <f t="shared" si="9"/>
        <v>382.22525700407033</v>
      </c>
      <c r="AM13" s="137">
        <f t="shared" si="10"/>
        <v>3616.4579903597073</v>
      </c>
      <c r="AN13" s="160">
        <f t="shared" si="11"/>
        <v>3013.036935842897</v>
      </c>
    </row>
    <row r="14" spans="1:40" ht="12.75" customHeight="1" x14ac:dyDescent="0.2">
      <c r="A14" s="161">
        <v>6</v>
      </c>
      <c r="B14" s="2359"/>
      <c r="C14" s="2363"/>
      <c r="D14" s="673">
        <v>5.8</v>
      </c>
      <c r="E14" s="145" t="s">
        <v>39</v>
      </c>
      <c r="F14" s="146" t="s">
        <v>44</v>
      </c>
      <c r="G14" s="152">
        <v>5.835</v>
      </c>
      <c r="H14" s="272">
        <v>7.0460000000000003</v>
      </c>
      <c r="I14" s="147"/>
      <c r="J14" s="148">
        <v>24.1</v>
      </c>
      <c r="K14" s="149">
        <v>0.55000000000000004</v>
      </c>
      <c r="L14" s="149"/>
      <c r="M14" s="687"/>
      <c r="N14" s="150"/>
      <c r="O14" s="151">
        <f>0.314*I14+0.249*J14+0.195*K14+0.159*L14+0.06*M14</f>
        <v>6.1081500000000002</v>
      </c>
      <c r="P14" s="152">
        <f>0.4*SUM(I14:M14)</f>
        <v>9.8600000000000012</v>
      </c>
      <c r="Q14" s="153">
        <f>SQRT(POWER(O14,2)+POWER(P14+G14,2))</f>
        <v>16.841689981189536</v>
      </c>
      <c r="R14" s="154">
        <f>SQRT(POWER(O14,2)+POWER(P14+H14,2))</f>
        <v>17.975603812459266</v>
      </c>
      <c r="S14" s="155">
        <f t="shared" si="0"/>
        <v>1269.9012546176573</v>
      </c>
      <c r="T14" s="361">
        <f t="shared" si="1"/>
        <v>1029.1726605132042</v>
      </c>
      <c r="U14" s="546">
        <v>2</v>
      </c>
      <c r="V14" s="152" t="s">
        <v>50</v>
      </c>
      <c r="W14" s="152">
        <v>6.3</v>
      </c>
      <c r="X14" s="152">
        <v>11</v>
      </c>
      <c r="Y14" s="152">
        <v>35</v>
      </c>
      <c r="Z14" s="494">
        <v>6.3</v>
      </c>
      <c r="AA14" s="494">
        <v>7.6</v>
      </c>
      <c r="AB14" s="152"/>
      <c r="AC14" s="152">
        <v>5</v>
      </c>
      <c r="AD14" s="274">
        <f>AA14/100*Y14*Y14/W14</f>
        <v>14.77777777777778</v>
      </c>
      <c r="AE14" s="151">
        <f t="shared" si="2"/>
        <v>31.078926653221593</v>
      </c>
      <c r="AF14" s="156">
        <f t="shared" si="3"/>
        <v>32.267185664295312</v>
      </c>
      <c r="AG14" s="157">
        <f t="shared" si="4"/>
        <v>1.0069572235643796</v>
      </c>
      <c r="AH14" s="158">
        <f t="shared" si="5"/>
        <v>1.0454568155231683</v>
      </c>
      <c r="AI14" s="360">
        <f t="shared" si="6"/>
        <v>688.16029187987579</v>
      </c>
      <c r="AJ14" s="155">
        <f t="shared" si="7"/>
        <v>573.33788550610552</v>
      </c>
      <c r="AK14" s="155">
        <f t="shared" si="17"/>
        <v>477.78157125508795</v>
      </c>
      <c r="AL14" s="155">
        <f t="shared" si="9"/>
        <v>382.22525700407033</v>
      </c>
      <c r="AM14" s="137">
        <f t="shared" si="10"/>
        <v>3616.4579903597073</v>
      </c>
      <c r="AN14" s="160">
        <f t="shared" si="11"/>
        <v>3013.036935842897</v>
      </c>
    </row>
    <row r="15" spans="1:40" ht="12.75" customHeight="1" x14ac:dyDescent="0.2">
      <c r="A15" s="161">
        <v>6</v>
      </c>
      <c r="B15" s="2358" t="s">
        <v>134</v>
      </c>
      <c r="C15" s="2362" t="s">
        <v>43</v>
      </c>
      <c r="D15" s="673">
        <v>5.8</v>
      </c>
      <c r="E15" s="145" t="s">
        <v>39</v>
      </c>
      <c r="F15" s="146" t="s">
        <v>44</v>
      </c>
      <c r="G15" s="129">
        <v>5.835</v>
      </c>
      <c r="H15" s="960">
        <v>7.0460000000000003</v>
      </c>
      <c r="I15" s="147"/>
      <c r="J15" s="148">
        <v>18.29</v>
      </c>
      <c r="K15" s="149">
        <v>0.55000000000000004</v>
      </c>
      <c r="L15" s="149"/>
      <c r="M15" s="687"/>
      <c r="N15" s="150"/>
      <c r="O15" s="151">
        <f>0.314*I15+0.249*J15+0.195*K15+0.159*L15+0.06*M15</f>
        <v>4.661459999999999</v>
      </c>
      <c r="P15" s="152">
        <f>0.4*SUM(I15:M15)</f>
        <v>7.5360000000000005</v>
      </c>
      <c r="Q15" s="153">
        <f>SQRT(POWER(O15,2)+POWER(P15+G15,2))</f>
        <v>14.160256012219554</v>
      </c>
      <c r="R15" s="154">
        <f>SQRT(POWER(O15,2)+POWER(P15+H15,2))</f>
        <v>15.308949452251779</v>
      </c>
      <c r="S15" s="155">
        <f t="shared" si="0"/>
        <v>1510.3740510438597</v>
      </c>
      <c r="T15" s="361">
        <f t="shared" si="1"/>
        <v>1208.4434701219066</v>
      </c>
      <c r="U15" s="546">
        <v>1</v>
      </c>
      <c r="V15" s="152" t="s">
        <v>192</v>
      </c>
      <c r="W15" s="152">
        <v>4</v>
      </c>
      <c r="X15" s="152">
        <v>11</v>
      </c>
      <c r="Y15" s="152">
        <v>35</v>
      </c>
      <c r="Z15" s="494">
        <v>6.3</v>
      </c>
      <c r="AA15" s="494">
        <v>6.2</v>
      </c>
      <c r="AB15" s="152"/>
      <c r="AC15" s="152"/>
      <c r="AD15" s="274">
        <f>AA15/100*Y15*Y15/W15</f>
        <v>18.987500000000001</v>
      </c>
      <c r="AE15" s="151">
        <f t="shared" si="2"/>
        <v>32.692533269564784</v>
      </c>
      <c r="AF15" s="156">
        <f t="shared" si="3"/>
        <v>33.891599838036569</v>
      </c>
      <c r="AG15" s="157">
        <f t="shared" si="4"/>
        <v>1.059238077933899</v>
      </c>
      <c r="AH15" s="158">
        <f t="shared" si="5"/>
        <v>1.0980878347523848</v>
      </c>
      <c r="AI15" s="360">
        <f t="shared" si="6"/>
        <v>654.19473800474123</v>
      </c>
      <c r="AJ15" s="155">
        <f t="shared" si="7"/>
        <v>545.85797331518813</v>
      </c>
      <c r="AK15" s="155">
        <f t="shared" si="17"/>
        <v>454.88164442932344</v>
      </c>
      <c r="AL15" s="155">
        <f t="shared" si="9"/>
        <v>363.90531554345876</v>
      </c>
      <c r="AM15" s="137">
        <f t="shared" si="10"/>
        <v>3437.9603348597511</v>
      </c>
      <c r="AN15" s="160">
        <f t="shared" si="11"/>
        <v>2868.6229828876253</v>
      </c>
    </row>
    <row r="16" spans="1:40" ht="12.75" customHeight="1" x14ac:dyDescent="0.2">
      <c r="A16" s="161">
        <v>6</v>
      </c>
      <c r="B16" s="2359"/>
      <c r="C16" s="2363"/>
      <c r="D16" s="673">
        <v>5.8</v>
      </c>
      <c r="E16" s="145" t="s">
        <v>39</v>
      </c>
      <c r="F16" s="146" t="s">
        <v>44</v>
      </c>
      <c r="G16" s="152">
        <v>5.835</v>
      </c>
      <c r="H16" s="272">
        <v>7.0460000000000003</v>
      </c>
      <c r="I16" s="147"/>
      <c r="J16" s="148">
        <v>18.04</v>
      </c>
      <c r="K16" s="149">
        <v>0.55000000000000004</v>
      </c>
      <c r="L16" s="149"/>
      <c r="M16" s="687"/>
      <c r="N16" s="150"/>
      <c r="O16" s="151">
        <f>0.314*I16+0.249*J16+0.195*K16+0.159*L16+0.06*M16</f>
        <v>4.5992099999999994</v>
      </c>
      <c r="P16" s="152">
        <f>0.4*SUM(I16:M16)</f>
        <v>7.4359999999999999</v>
      </c>
      <c r="Q16" s="153">
        <f>SQRT(POWER(O16,2)+POWER(P16+G16,2))</f>
        <v>14.045361284926067</v>
      </c>
      <c r="R16" s="154">
        <f>SQRT(POWER(O16,2)+POWER(P16+H16,2))</f>
        <v>15.194770699951349</v>
      </c>
      <c r="S16" s="155">
        <f t="shared" si="0"/>
        <v>1522.7293056496694</v>
      </c>
      <c r="T16" s="361">
        <f t="shared" si="1"/>
        <v>1217.5241315131682</v>
      </c>
      <c r="U16" s="546">
        <v>2</v>
      </c>
      <c r="V16" s="152" t="s">
        <v>192</v>
      </c>
      <c r="W16" s="152">
        <v>4</v>
      </c>
      <c r="X16" s="152">
        <v>11</v>
      </c>
      <c r="Y16" s="152">
        <v>35</v>
      </c>
      <c r="Z16" s="494">
        <v>6.3</v>
      </c>
      <c r="AA16" s="494">
        <v>6.35</v>
      </c>
      <c r="AB16" s="152"/>
      <c r="AC16" s="152"/>
      <c r="AD16" s="274">
        <f>AA16/100*Y16*Y16/W16</f>
        <v>19.446875000000002</v>
      </c>
      <c r="AE16" s="151">
        <f t="shared" si="2"/>
        <v>33.039553222459368</v>
      </c>
      <c r="AF16" s="156">
        <f t="shared" si="3"/>
        <v>34.239177726541939</v>
      </c>
      <c r="AG16" s="157">
        <f t="shared" si="4"/>
        <v>1.0704815244076835</v>
      </c>
      <c r="AH16" s="158">
        <f t="shared" si="5"/>
        <v>1.1093493583399587</v>
      </c>
      <c r="AI16" s="360">
        <f t="shared" si="6"/>
        <v>647.32362126663793</v>
      </c>
      <c r="AJ16" s="155">
        <f t="shared" si="7"/>
        <v>540.31671402140444</v>
      </c>
      <c r="AK16" s="155">
        <f t="shared" si="17"/>
        <v>450.26392835117036</v>
      </c>
      <c r="AL16" s="155">
        <f t="shared" si="9"/>
        <v>360.21114268093629</v>
      </c>
      <c r="AM16" s="137">
        <f t="shared" si="10"/>
        <v>3401.8508625123623</v>
      </c>
      <c r="AN16" s="160">
        <f t="shared" si="11"/>
        <v>2839.5022508632364</v>
      </c>
    </row>
    <row r="17" spans="1:40" ht="12.75" customHeight="1" x14ac:dyDescent="0.2">
      <c r="A17" s="161">
        <v>6</v>
      </c>
      <c r="B17" s="2358" t="s">
        <v>167</v>
      </c>
      <c r="C17" s="2362" t="s">
        <v>43</v>
      </c>
      <c r="D17" s="673">
        <v>1.2</v>
      </c>
      <c r="E17" s="145" t="s">
        <v>39</v>
      </c>
      <c r="F17" s="866" t="s">
        <v>46</v>
      </c>
      <c r="G17" s="2145">
        <f>Мартыновская!G15</f>
        <v>4.9020181386774881</v>
      </c>
      <c r="H17" s="2152">
        <f>Мартыновская!H15</f>
        <v>5.2862861120779669</v>
      </c>
      <c r="I17" s="147"/>
      <c r="J17" s="148">
        <v>22.43</v>
      </c>
      <c r="K17" s="149"/>
      <c r="L17" s="149"/>
      <c r="M17" s="687"/>
      <c r="N17" s="150"/>
      <c r="O17" s="151">
        <f t="shared" si="12"/>
        <v>5.58507</v>
      </c>
      <c r="P17" s="152">
        <f t="shared" si="13"/>
        <v>8.9719999999999995</v>
      </c>
      <c r="Q17" s="153">
        <f t="shared" si="14"/>
        <v>14.955981619982419</v>
      </c>
      <c r="R17" s="154">
        <f t="shared" si="15"/>
        <v>15.313122795784516</v>
      </c>
      <c r="S17" s="155">
        <f t="shared" si="0"/>
        <v>1430.0153463961906</v>
      </c>
      <c r="T17" s="361">
        <f t="shared" si="1"/>
        <v>1208.1141284319085</v>
      </c>
      <c r="U17" s="546">
        <v>1</v>
      </c>
      <c r="V17" s="152" t="s">
        <v>192</v>
      </c>
      <c r="W17" s="1813">
        <v>6.3</v>
      </c>
      <c r="X17" s="1814">
        <v>11</v>
      </c>
      <c r="Y17" s="1813">
        <v>35</v>
      </c>
      <c r="Z17" s="1815">
        <v>6.3</v>
      </c>
      <c r="AA17" s="1813">
        <v>7.84</v>
      </c>
      <c r="AB17" s="152"/>
      <c r="AC17" s="152">
        <v>5</v>
      </c>
      <c r="AD17" s="274">
        <f t="shared" si="16"/>
        <v>15.244444444444444</v>
      </c>
      <c r="AE17" s="151">
        <f t="shared" si="2"/>
        <v>29.649247378467667</v>
      </c>
      <c r="AF17" s="156">
        <f t="shared" si="3"/>
        <v>30.026723384273232</v>
      </c>
      <c r="AG17" s="1303">
        <f t="shared" si="4"/>
        <v>0.9606356150623524</v>
      </c>
      <c r="AH17" s="1304">
        <f t="shared" si="5"/>
        <v>0.97286583765045265</v>
      </c>
      <c r="AI17" s="360">
        <f t="shared" si="6"/>
        <v>721.3432086146787</v>
      </c>
      <c r="AJ17" s="155">
        <f t="shared" si="7"/>
        <v>616.11784153876545</v>
      </c>
      <c r="AK17" s="155">
        <f t="shared" si="17"/>
        <v>513.43153461563793</v>
      </c>
      <c r="AL17" s="155">
        <f t="shared" si="9"/>
        <v>410.7452276925103</v>
      </c>
      <c r="AM17" s="137">
        <f t="shared" si="10"/>
        <v>3790.8426879149783</v>
      </c>
      <c r="AN17" s="160">
        <f t="shared" si="11"/>
        <v>3237.8565246031221</v>
      </c>
    </row>
    <row r="18" spans="1:40" ht="12.75" customHeight="1" x14ac:dyDescent="0.2">
      <c r="A18" s="161">
        <v>6</v>
      </c>
      <c r="B18" s="2359"/>
      <c r="C18" s="2363"/>
      <c r="D18" s="673">
        <v>1.2</v>
      </c>
      <c r="E18" s="145" t="s">
        <v>39</v>
      </c>
      <c r="F18" s="866" t="s">
        <v>46</v>
      </c>
      <c r="G18" s="2145">
        <f>Мартыновская!G16</f>
        <v>4.8982573492001933</v>
      </c>
      <c r="H18" s="2152">
        <f>Мартыновская!H16</f>
        <v>5.2312064066132784</v>
      </c>
      <c r="I18" s="147"/>
      <c r="J18" s="148">
        <v>22.43</v>
      </c>
      <c r="K18" s="149"/>
      <c r="L18" s="149"/>
      <c r="M18" s="687"/>
      <c r="N18" s="150"/>
      <c r="O18" s="151">
        <f t="shared" si="12"/>
        <v>5.58507</v>
      </c>
      <c r="P18" s="152">
        <f t="shared" si="13"/>
        <v>8.9719999999999995</v>
      </c>
      <c r="Q18" s="153">
        <f t="shared" si="14"/>
        <v>14.952492963982358</v>
      </c>
      <c r="R18" s="154">
        <f t="shared" si="15"/>
        <v>15.261850449200466</v>
      </c>
      <c r="S18" s="155">
        <f t="shared" si="0"/>
        <v>1430.3489918712562</v>
      </c>
      <c r="T18" s="361">
        <f t="shared" si="1"/>
        <v>1212.1728005118262</v>
      </c>
      <c r="U18" s="546">
        <v>2</v>
      </c>
      <c r="V18" s="152" t="s">
        <v>192</v>
      </c>
      <c r="W18" s="1813">
        <v>6.3</v>
      </c>
      <c r="X18" s="1814">
        <v>11</v>
      </c>
      <c r="Y18" s="1813">
        <v>35</v>
      </c>
      <c r="Z18" s="1815">
        <v>6.3</v>
      </c>
      <c r="AA18" s="1813">
        <v>7.94</v>
      </c>
      <c r="AB18" s="152"/>
      <c r="AC18" s="152">
        <v>5</v>
      </c>
      <c r="AD18" s="274">
        <f t="shared" si="16"/>
        <v>15.43888888888889</v>
      </c>
      <c r="AE18" s="151">
        <f t="shared" si="2"/>
        <v>29.836539010257063</v>
      </c>
      <c r="AF18" s="156">
        <f t="shared" si="3"/>
        <v>30.163667224204218</v>
      </c>
      <c r="AG18" s="1303">
        <f t="shared" si="4"/>
        <v>0.96670386393232877</v>
      </c>
      <c r="AH18" s="1304">
        <f t="shared" si="5"/>
        <v>0.97730281806421648</v>
      </c>
      <c r="AI18" s="360">
        <f t="shared" si="6"/>
        <v>716.81515170515593</v>
      </c>
      <c r="AJ18" s="155">
        <f t="shared" si="7"/>
        <v>613.3206503868023</v>
      </c>
      <c r="AK18" s="155">
        <f t="shared" si="17"/>
        <v>511.10054198900195</v>
      </c>
      <c r="AL18" s="155">
        <f t="shared" si="9"/>
        <v>408.88043359120155</v>
      </c>
      <c r="AM18" s="137">
        <f t="shared" si="10"/>
        <v>3767.0465930451142</v>
      </c>
      <c r="AN18" s="160">
        <f t="shared" si="11"/>
        <v>3223.1565711018138</v>
      </c>
    </row>
    <row r="19" spans="1:40" ht="12.75" customHeight="1" x14ac:dyDescent="0.2">
      <c r="A19" s="161">
        <v>6</v>
      </c>
      <c r="B19" s="2358" t="s">
        <v>145</v>
      </c>
      <c r="C19" s="2362" t="s">
        <v>341</v>
      </c>
      <c r="D19" s="673">
        <v>5.8</v>
      </c>
      <c r="E19" s="546" t="s">
        <v>39</v>
      </c>
      <c r="F19" s="146" t="s">
        <v>44</v>
      </c>
      <c r="G19" s="129">
        <v>5.835</v>
      </c>
      <c r="H19" s="960">
        <v>7.0460000000000003</v>
      </c>
      <c r="I19" s="147"/>
      <c r="J19" s="148">
        <v>21.25</v>
      </c>
      <c r="K19" s="149">
        <v>0.55000000000000004</v>
      </c>
      <c r="L19" s="149"/>
      <c r="M19" s="687"/>
      <c r="N19" s="150"/>
      <c r="O19" s="151">
        <f>0.314*I19+0.249*J19+0.195*K19+0.159*L19+0.06*M19</f>
        <v>5.3984999999999994</v>
      </c>
      <c r="P19" s="152">
        <f>0.4*SUM(I19:M19)</f>
        <v>8.7200000000000006</v>
      </c>
      <c r="Q19" s="153">
        <f>SQRT(POWER(O19,2)+POWER(P19+G19,2))</f>
        <v>15.523911467474941</v>
      </c>
      <c r="R19" s="154">
        <f>SQRT(POWER(O19,2)+POWER(P19+H19,2))</f>
        <v>16.664649958820018</v>
      </c>
      <c r="S19" s="155">
        <f t="shared" si="0"/>
        <v>1377.6993821308486</v>
      </c>
      <c r="T19" s="361">
        <f t="shared" si="1"/>
        <v>1110.1343289967274</v>
      </c>
      <c r="U19" s="546">
        <v>1</v>
      </c>
      <c r="V19" s="152" t="s">
        <v>122</v>
      </c>
      <c r="W19" s="152">
        <v>4</v>
      </c>
      <c r="X19" s="152">
        <v>11</v>
      </c>
      <c r="Y19" s="152">
        <v>35</v>
      </c>
      <c r="Z19" s="494">
        <v>6.3</v>
      </c>
      <c r="AA19" s="152">
        <v>7.4</v>
      </c>
      <c r="AB19" s="152"/>
      <c r="AC19" s="152"/>
      <c r="AD19" s="274">
        <f>AA19/100*Y19*Y19/W19</f>
        <v>22.662500000000001</v>
      </c>
      <c r="AE19" s="151">
        <f t="shared" si="2"/>
        <v>37.606995472917006</v>
      </c>
      <c r="AF19" s="156">
        <f t="shared" si="3"/>
        <v>38.805842530474713</v>
      </c>
      <c r="AG19" s="157">
        <f t="shared" si="4"/>
        <v>1.218466653322511</v>
      </c>
      <c r="AH19" s="158">
        <f t="shared" si="5"/>
        <v>1.2573092979873806</v>
      </c>
      <c r="AI19" s="360">
        <f t="shared" si="6"/>
        <v>568.70491694547763</v>
      </c>
      <c r="AJ19" s="155">
        <f t="shared" si="7"/>
        <v>476.73233703073754</v>
      </c>
      <c r="AK19" s="155">
        <f t="shared" si="17"/>
        <v>397.27694752561462</v>
      </c>
      <c r="AL19" s="155">
        <f t="shared" si="9"/>
        <v>317.82155802049169</v>
      </c>
      <c r="AM19" s="137">
        <f t="shared" si="10"/>
        <v>2988.6895034672248</v>
      </c>
      <c r="AN19" s="160">
        <f t="shared" si="11"/>
        <v>2505.3501195309032</v>
      </c>
    </row>
    <row r="20" spans="1:40" ht="12.75" customHeight="1" x14ac:dyDescent="0.2">
      <c r="A20" s="161">
        <v>6</v>
      </c>
      <c r="B20" s="2359"/>
      <c r="C20" s="2363"/>
      <c r="D20" s="673">
        <v>5.8</v>
      </c>
      <c r="E20" s="546" t="s">
        <v>39</v>
      </c>
      <c r="F20" s="146" t="s">
        <v>44</v>
      </c>
      <c r="G20" s="152">
        <v>5.835</v>
      </c>
      <c r="H20" s="272">
        <v>7.0460000000000003</v>
      </c>
      <c r="I20" s="147"/>
      <c r="J20" s="148">
        <v>21.25</v>
      </c>
      <c r="K20" s="149">
        <v>0.55000000000000004</v>
      </c>
      <c r="L20" s="149"/>
      <c r="M20" s="687"/>
      <c r="N20" s="150"/>
      <c r="O20" s="151">
        <f>0.314*I20+0.249*J20+0.195*K20+0.159*L20+0.06*M20</f>
        <v>5.3984999999999994</v>
      </c>
      <c r="P20" s="152">
        <f>0.4*SUM(I20:M20)</f>
        <v>8.7200000000000006</v>
      </c>
      <c r="Q20" s="153">
        <f>SQRT(POWER(O20,2)+POWER(P20+G20,2))</f>
        <v>15.523911467474941</v>
      </c>
      <c r="R20" s="154">
        <f>SQRT(POWER(O20,2)+POWER(P20+H20,2))</f>
        <v>16.664649958820018</v>
      </c>
      <c r="S20" s="155">
        <f t="shared" si="0"/>
        <v>1377.6993821308486</v>
      </c>
      <c r="T20" s="361">
        <f t="shared" si="1"/>
        <v>1110.1343289967274</v>
      </c>
      <c r="U20" s="546">
        <v>2</v>
      </c>
      <c r="V20" s="152" t="s">
        <v>122</v>
      </c>
      <c r="W20" s="152">
        <v>4</v>
      </c>
      <c r="X20" s="152">
        <v>11</v>
      </c>
      <c r="Y20" s="152">
        <v>35</v>
      </c>
      <c r="Z20" s="494">
        <v>6.3</v>
      </c>
      <c r="AA20" s="152">
        <v>7.82</v>
      </c>
      <c r="AB20" s="152"/>
      <c r="AC20" s="152"/>
      <c r="AD20" s="274">
        <f>AA20/100*Y20*Y20/W20</f>
        <v>23.94875</v>
      </c>
      <c r="AE20" s="151">
        <f t="shared" si="2"/>
        <v>38.88036221940969</v>
      </c>
      <c r="AF20" s="156">
        <f t="shared" si="3"/>
        <v>40.079984653346614</v>
      </c>
      <c r="AG20" s="157">
        <f t="shared" si="4"/>
        <v>1.259723735908874</v>
      </c>
      <c r="AH20" s="158">
        <f t="shared" si="5"/>
        <v>1.2985915027684303</v>
      </c>
      <c r="AI20" s="360">
        <f t="shared" si="6"/>
        <v>550.07932066840044</v>
      </c>
      <c r="AJ20" s="155">
        <f t="shared" si="7"/>
        <v>461.57702304547365</v>
      </c>
      <c r="AK20" s="155">
        <f t="shared" si="17"/>
        <v>384.64751920456138</v>
      </c>
      <c r="AL20" s="155">
        <f t="shared" si="9"/>
        <v>307.7180153636491</v>
      </c>
      <c r="AM20" s="137">
        <f t="shared" si="10"/>
        <v>2890.8072407498516</v>
      </c>
      <c r="AN20" s="160">
        <f>6300/(2*AH20)</f>
        <v>2425.7050760648017</v>
      </c>
    </row>
    <row r="21" spans="1:40" ht="12.75" customHeight="1" x14ac:dyDescent="0.2">
      <c r="A21" s="161">
        <v>6</v>
      </c>
      <c r="B21" s="2358" t="s">
        <v>146</v>
      </c>
      <c r="C21" s="2362" t="s">
        <v>381</v>
      </c>
      <c r="D21" s="673">
        <v>1.2</v>
      </c>
      <c r="E21" s="145" t="s">
        <v>39</v>
      </c>
      <c r="F21" s="146" t="s">
        <v>46</v>
      </c>
      <c r="G21" s="2145">
        <f>Мартыновская!G15</f>
        <v>4.9020181386774881</v>
      </c>
      <c r="H21" s="2152">
        <f>Мартыновская!H15</f>
        <v>5.2862861120779669</v>
      </c>
      <c r="I21" s="147"/>
      <c r="J21" s="148">
        <v>10.9</v>
      </c>
      <c r="K21" s="149"/>
      <c r="L21" s="149"/>
      <c r="M21" s="687"/>
      <c r="N21" s="150"/>
      <c r="O21" s="151">
        <f t="shared" si="12"/>
        <v>2.7141000000000002</v>
      </c>
      <c r="P21" s="152">
        <f t="shared" si="13"/>
        <v>4.3600000000000003</v>
      </c>
      <c r="Q21" s="153">
        <f t="shared" si="14"/>
        <v>9.6514930871441234</v>
      </c>
      <c r="R21" s="154">
        <f t="shared" si="15"/>
        <v>10.020837019234882</v>
      </c>
      <c r="S21" s="155">
        <f t="shared" si="0"/>
        <v>2215.9559193470568</v>
      </c>
      <c r="T21" s="361">
        <f t="shared" si="1"/>
        <v>1846.1531670946708</v>
      </c>
      <c r="U21" s="546">
        <v>1</v>
      </c>
      <c r="V21" s="152" t="s">
        <v>193</v>
      </c>
      <c r="W21" s="152">
        <v>6.3</v>
      </c>
      <c r="X21" s="152">
        <v>11</v>
      </c>
      <c r="Y21" s="864">
        <v>35</v>
      </c>
      <c r="Z21" s="865">
        <v>6.3</v>
      </c>
      <c r="AA21" s="152">
        <v>7.4</v>
      </c>
      <c r="AB21" s="152"/>
      <c r="AC21" s="152">
        <v>5</v>
      </c>
      <c r="AD21" s="274">
        <f t="shared" si="16"/>
        <v>14.388888888888891</v>
      </c>
      <c r="AE21" s="151">
        <f t="shared" si="2"/>
        <v>23.806128245403301</v>
      </c>
      <c r="AF21" s="156">
        <f t="shared" si="3"/>
        <v>24.187930381434089</v>
      </c>
      <c r="AG21" s="1303">
        <f t="shared" si="4"/>
        <v>0.77131855515106684</v>
      </c>
      <c r="AH21" s="1304">
        <f t="shared" si="5"/>
        <v>0.78368894435846448</v>
      </c>
      <c r="AI21" s="360">
        <f t="shared" si="6"/>
        <v>898.39401924266565</v>
      </c>
      <c r="AJ21" s="155">
        <f t="shared" si="7"/>
        <v>764.84427184394542</v>
      </c>
      <c r="AK21" s="155">
        <f t="shared" ref="AK21:AK28" si="18">AJ21/1.2</f>
        <v>637.3702265366212</v>
      </c>
      <c r="AL21" s="155">
        <f t="shared" si="9"/>
        <v>509.89618122929693</v>
      </c>
      <c r="AM21" s="137">
        <f t="shared" si="10"/>
        <v>4721.2898909149098</v>
      </c>
      <c r="AN21" s="160">
        <f t="shared" si="11"/>
        <v>4019.4518790597731</v>
      </c>
    </row>
    <row r="22" spans="1:40" ht="12.75" customHeight="1" thickBot="1" x14ac:dyDescent="0.25">
      <c r="A22" s="144">
        <v>6</v>
      </c>
      <c r="B22" s="2308"/>
      <c r="C22" s="2364"/>
      <c r="D22" s="648">
        <v>1.2</v>
      </c>
      <c r="E22" s="281" t="s">
        <v>39</v>
      </c>
      <c r="F22" s="165" t="s">
        <v>46</v>
      </c>
      <c r="G22" s="2145">
        <f>Мартыновская!G16</f>
        <v>4.8982573492001933</v>
      </c>
      <c r="H22" s="2152">
        <f>Мартыновская!H16</f>
        <v>5.2312064066132784</v>
      </c>
      <c r="I22" s="167"/>
      <c r="J22" s="623">
        <v>11</v>
      </c>
      <c r="K22" s="624"/>
      <c r="L22" s="624"/>
      <c r="M22" s="944"/>
      <c r="N22" s="625"/>
      <c r="O22" s="538">
        <f t="shared" si="12"/>
        <v>2.7389999999999999</v>
      </c>
      <c r="P22" s="276">
        <f t="shared" si="13"/>
        <v>4.4000000000000004</v>
      </c>
      <c r="Q22" s="287">
        <f t="shared" si="14"/>
        <v>9.6932817317952438</v>
      </c>
      <c r="R22" s="288">
        <f t="shared" si="15"/>
        <v>10.013104306197388</v>
      </c>
      <c r="S22" s="292">
        <f t="shared" si="0"/>
        <v>2206.4027260077573</v>
      </c>
      <c r="T22" s="867">
        <f t="shared" si="1"/>
        <v>1847.5788760684175</v>
      </c>
      <c r="U22" s="838">
        <v>2</v>
      </c>
      <c r="V22" s="276" t="s">
        <v>193</v>
      </c>
      <c r="W22" s="276">
        <v>6.3</v>
      </c>
      <c r="X22" s="276">
        <v>11</v>
      </c>
      <c r="Y22" s="868">
        <v>35</v>
      </c>
      <c r="Z22" s="869">
        <v>6.3</v>
      </c>
      <c r="AA22" s="276">
        <v>7.9</v>
      </c>
      <c r="AB22" s="276"/>
      <c r="AC22" s="276">
        <v>5</v>
      </c>
      <c r="AD22" s="290">
        <f t="shared" si="16"/>
        <v>15.361111111111112</v>
      </c>
      <c r="AE22" s="538">
        <f t="shared" si="2"/>
        <v>24.811017187156917</v>
      </c>
      <c r="AF22" s="411">
        <f t="shared" si="3"/>
        <v>25.141958076226949</v>
      </c>
      <c r="AG22" s="2079">
        <f t="shared" si="4"/>
        <v>0.80387695686388405</v>
      </c>
      <c r="AH22" s="2080">
        <f t="shared" si="5"/>
        <v>0.81459944166975307</v>
      </c>
      <c r="AI22" s="603">
        <f t="shared" si="6"/>
        <v>862.0075136647381</v>
      </c>
      <c r="AJ22" s="292">
        <f t="shared" si="7"/>
        <v>735.82176630438062</v>
      </c>
      <c r="AK22" s="292">
        <f t="shared" si="18"/>
        <v>613.18480525365055</v>
      </c>
      <c r="AL22" s="292">
        <f t="shared" si="9"/>
        <v>490.54784420292043</v>
      </c>
      <c r="AM22" s="289">
        <f t="shared" si="10"/>
        <v>4530.0695162561324</v>
      </c>
      <c r="AN22" s="318">
        <f t="shared" si="11"/>
        <v>3866.9312043023006</v>
      </c>
    </row>
    <row r="23" spans="1:40" ht="12.75" customHeight="1" x14ac:dyDescent="0.2">
      <c r="A23" s="1640">
        <v>6</v>
      </c>
      <c r="B23" s="2534" t="s">
        <v>100</v>
      </c>
      <c r="C23" s="2535" t="s">
        <v>43</v>
      </c>
      <c r="D23" s="1641">
        <v>1.4</v>
      </c>
      <c r="E23" s="2076" t="s">
        <v>35</v>
      </c>
      <c r="F23" s="1642" t="s">
        <v>100</v>
      </c>
      <c r="G23" s="2141">
        <f>'СР6 перевод на Баграс'!G5</f>
        <v>8.2869415032183689</v>
      </c>
      <c r="H23" s="2142">
        <f>'СР6 перевод на Баграс'!H5</f>
        <v>9.0895455227238635</v>
      </c>
      <c r="I23" s="2073"/>
      <c r="J23" s="1644">
        <v>6.88</v>
      </c>
      <c r="K23" s="1645"/>
      <c r="L23" s="1645"/>
      <c r="M23" s="1646"/>
      <c r="N23" s="1647"/>
      <c r="O23" s="1648">
        <f>0.314*I23+0.249*J23+0.195*K23+0.159*L23+0.06*M23</f>
        <v>1.71312</v>
      </c>
      <c r="P23" s="1643">
        <f>0.4*SUM(I23:M23)</f>
        <v>2.7520000000000002</v>
      </c>
      <c r="Q23" s="1649">
        <f>SQRT(POWER(O23,2)+POWER(P23+G23,2))</f>
        <v>11.171079162098756</v>
      </c>
      <c r="R23" s="1650">
        <f>SQRT(POWER(O23,2)+POWER(P23+H23,2))</f>
        <v>11.964822627232783</v>
      </c>
      <c r="S23" s="1651">
        <f t="shared" si="0"/>
        <v>1914.5225744668435</v>
      </c>
      <c r="T23" s="1652">
        <f t="shared" si="1"/>
        <v>1546.1992690048485</v>
      </c>
      <c r="U23" s="1653">
        <v>1</v>
      </c>
      <c r="V23" s="1643" t="s">
        <v>192</v>
      </c>
      <c r="W23" s="1643">
        <v>4</v>
      </c>
      <c r="X23" s="1643">
        <v>11</v>
      </c>
      <c r="Y23" s="1643">
        <v>35</v>
      </c>
      <c r="Z23" s="1654">
        <v>6.3</v>
      </c>
      <c r="AA23" s="1654">
        <v>6.3</v>
      </c>
      <c r="AB23" s="1643"/>
      <c r="AC23" s="1643"/>
      <c r="AD23" s="1655">
        <f>AA23/100*Y23*Y23/W23</f>
        <v>19.293749999999999</v>
      </c>
      <c r="AE23" s="1648">
        <f t="shared" si="2"/>
        <v>30.381029507964598</v>
      </c>
      <c r="AF23" s="1656">
        <f t="shared" si="3"/>
        <v>31.182389379612147</v>
      </c>
      <c r="AG23" s="1239">
        <f t="shared" si="4"/>
        <v>0.98434535605805296</v>
      </c>
      <c r="AH23" s="1240">
        <f t="shared" si="5"/>
        <v>1.0103094158994337</v>
      </c>
      <c r="AI23" s="1657">
        <f t="shared" si="6"/>
        <v>703.96835075609897</v>
      </c>
      <c r="AJ23" s="1651">
        <f t="shared" si="7"/>
        <v>593.28359269658074</v>
      </c>
      <c r="AK23" s="1651">
        <f t="shared" si="18"/>
        <v>494.40299391381728</v>
      </c>
      <c r="AL23" s="1651">
        <f t="shared" si="9"/>
        <v>395.52239513105383</v>
      </c>
      <c r="AM23" s="1651">
        <f t="shared" si="10"/>
        <v>3699.533374844365</v>
      </c>
      <c r="AN23" s="1658">
        <f t="shared" si="11"/>
        <v>3117.8567183754244</v>
      </c>
    </row>
    <row r="24" spans="1:40" ht="12.75" customHeight="1" x14ac:dyDescent="0.2">
      <c r="A24" s="1639">
        <v>6</v>
      </c>
      <c r="B24" s="2530"/>
      <c r="C24" s="2531"/>
      <c r="D24" s="1302">
        <v>1.4</v>
      </c>
      <c r="E24" s="1675" t="s">
        <v>35</v>
      </c>
      <c r="F24" s="1659" t="s">
        <v>100</v>
      </c>
      <c r="G24" s="2145">
        <f>'СР6 перевод на Баграс'!G6</f>
        <v>8.2967555031037516</v>
      </c>
      <c r="H24" s="2136">
        <f>'СР6 перевод на Баграс'!H6</f>
        <v>9.1031996394772428</v>
      </c>
      <c r="I24" s="2072"/>
      <c r="J24" s="1661">
        <v>6.68</v>
      </c>
      <c r="K24" s="1307"/>
      <c r="L24" s="1307"/>
      <c r="M24" s="1662"/>
      <c r="N24" s="1308"/>
      <c r="O24" s="1663">
        <f>0.314*I24+0.249*J24+0.195*K24+0.159*L24+0.06*M24</f>
        <v>1.6633199999999999</v>
      </c>
      <c r="P24" s="1660">
        <f>0.4*SUM(I24:M24)</f>
        <v>2.6720000000000002</v>
      </c>
      <c r="Q24" s="1664">
        <f>SQRT(POWER(O24,2)+POWER(P24+G24,2))</f>
        <v>11.09415299647832</v>
      </c>
      <c r="R24" s="1665">
        <f>SQRT(POWER(O24,2)+POWER(P24+H24,2))</f>
        <v>11.892096533914657</v>
      </c>
      <c r="S24" s="1666">
        <f t="shared" si="0"/>
        <v>1927.797754707665</v>
      </c>
      <c r="T24" s="1667">
        <f t="shared" si="1"/>
        <v>1555.6550476394548</v>
      </c>
      <c r="U24" s="1668">
        <v>2</v>
      </c>
      <c r="V24" s="1660" t="s">
        <v>192</v>
      </c>
      <c r="W24" s="1660">
        <v>4</v>
      </c>
      <c r="X24" s="1660">
        <v>11</v>
      </c>
      <c r="Y24" s="1660">
        <v>35</v>
      </c>
      <c r="Z24" s="1669">
        <v>6.3</v>
      </c>
      <c r="AA24" s="1669">
        <v>6.14</v>
      </c>
      <c r="AB24" s="1660"/>
      <c r="AC24" s="1660"/>
      <c r="AD24" s="1670">
        <f>AA24/100*Y24*Y24/W24</f>
        <v>18.803750000000001</v>
      </c>
      <c r="AE24" s="1663">
        <f t="shared" si="2"/>
        <v>29.818932196756194</v>
      </c>
      <c r="AF24" s="1671">
        <f t="shared" si="3"/>
        <v>30.624153775673303</v>
      </c>
      <c r="AG24" s="1303">
        <f t="shared" si="4"/>
        <v>0.9661334031749006</v>
      </c>
      <c r="AH24" s="1304">
        <f t="shared" si="5"/>
        <v>0.99222258233181493</v>
      </c>
      <c r="AI24" s="1310">
        <f t="shared" si="6"/>
        <v>717.2384006198854</v>
      </c>
      <c r="AJ24" s="1666">
        <f t="shared" si="7"/>
        <v>604.09832498606761</v>
      </c>
      <c r="AK24" s="1666">
        <f t="shared" si="18"/>
        <v>503.41527082172303</v>
      </c>
      <c r="AL24" s="1666">
        <f t="shared" si="9"/>
        <v>402.73221665737839</v>
      </c>
      <c r="AM24" s="1672">
        <f t="shared" si="10"/>
        <v>3769.2708741285273</v>
      </c>
      <c r="AN24" s="1311">
        <f t="shared" si="11"/>
        <v>3174.6908970739291</v>
      </c>
    </row>
    <row r="25" spans="1:40" ht="12.75" customHeight="1" x14ac:dyDescent="0.2">
      <c r="A25" s="1639">
        <v>6</v>
      </c>
      <c r="B25" s="2524" t="s">
        <v>379</v>
      </c>
      <c r="C25" s="2526" t="s">
        <v>43</v>
      </c>
      <c r="D25" s="1302">
        <v>2.2999999999999998</v>
      </c>
      <c r="E25" s="1673" t="s">
        <v>35</v>
      </c>
      <c r="F25" s="1659" t="s">
        <v>100</v>
      </c>
      <c r="G25" s="2145">
        <f>'СР6 перевод на Баграс'!G5</f>
        <v>8.2869415032183689</v>
      </c>
      <c r="H25" s="2136">
        <f>'СР6 перевод на Баграс'!H5</f>
        <v>9.0895455227238635</v>
      </c>
      <c r="I25" s="2072"/>
      <c r="J25" s="1661">
        <v>1.78</v>
      </c>
      <c r="K25" s="1307"/>
      <c r="L25" s="1307"/>
      <c r="M25" s="1662"/>
      <c r="N25" s="1308"/>
      <c r="O25" s="1663">
        <f t="shared" si="12"/>
        <v>0.44322</v>
      </c>
      <c r="P25" s="1660">
        <f t="shared" si="13"/>
        <v>0.71200000000000008</v>
      </c>
      <c r="Q25" s="1664">
        <f t="shared" si="14"/>
        <v>9.0098497294209121</v>
      </c>
      <c r="R25" s="1665">
        <f t="shared" si="15"/>
        <v>9.8115614762599446</v>
      </c>
      <c r="S25" s="1666">
        <f t="shared" si="0"/>
        <v>2373.7669194588043</v>
      </c>
      <c r="T25" s="1667">
        <f t="shared" si="1"/>
        <v>1885.5306614306603</v>
      </c>
      <c r="U25" s="1668">
        <v>1</v>
      </c>
      <c r="V25" s="1660" t="s">
        <v>50</v>
      </c>
      <c r="W25" s="1660">
        <v>6.3</v>
      </c>
      <c r="X25" s="1660">
        <v>11</v>
      </c>
      <c r="Y25" s="1660">
        <v>35</v>
      </c>
      <c r="Z25" s="1669">
        <v>6.3</v>
      </c>
      <c r="AA25" s="1669">
        <v>8.3000000000000007</v>
      </c>
      <c r="AB25" s="1660"/>
      <c r="AC25" s="1660"/>
      <c r="AD25" s="1670">
        <f t="shared" si="16"/>
        <v>16.138888888888893</v>
      </c>
      <c r="AE25" s="1663">
        <f t="shared" si="2"/>
        <v>25.141737425857258</v>
      </c>
      <c r="AF25" s="1671">
        <f t="shared" si="3"/>
        <v>25.944220578610242</v>
      </c>
      <c r="AG25" s="1303">
        <f t="shared" si="4"/>
        <v>0.8145922925977751</v>
      </c>
      <c r="AH25" s="1304">
        <f t="shared" si="5"/>
        <v>0.84059274674697182</v>
      </c>
      <c r="AI25" s="1310">
        <f t="shared" si="6"/>
        <v>850.66846712822098</v>
      </c>
      <c r="AJ25" s="1666">
        <f t="shared" si="7"/>
        <v>713.06825132578308</v>
      </c>
      <c r="AK25" s="1666">
        <f t="shared" si="18"/>
        <v>594.22354277148588</v>
      </c>
      <c r="AL25" s="1666">
        <f t="shared" si="9"/>
        <v>475.37883421718874</v>
      </c>
      <c r="AM25" s="1672">
        <f t="shared" si="10"/>
        <v>4470.4799323555162</v>
      </c>
      <c r="AN25" s="1311">
        <f t="shared" si="11"/>
        <v>3747.3556751354963</v>
      </c>
    </row>
    <row r="26" spans="1:40" ht="12.75" customHeight="1" x14ac:dyDescent="0.2">
      <c r="A26" s="1639">
        <v>6</v>
      </c>
      <c r="B26" s="2530"/>
      <c r="C26" s="2531"/>
      <c r="D26" s="1302">
        <v>2.2999999999999998</v>
      </c>
      <c r="E26" s="1673" t="s">
        <v>35</v>
      </c>
      <c r="F26" s="1659" t="s">
        <v>100</v>
      </c>
      <c r="G26" s="2145">
        <f>'СР6 перевод на Баграс'!G6</f>
        <v>8.2967555031037516</v>
      </c>
      <c r="H26" s="2136">
        <f>'СР6 перевод на Баграс'!H6</f>
        <v>9.1031996394772428</v>
      </c>
      <c r="I26" s="2072"/>
      <c r="J26" s="1661">
        <v>1.78</v>
      </c>
      <c r="K26" s="1307"/>
      <c r="L26" s="1307"/>
      <c r="M26" s="1662"/>
      <c r="N26" s="1308"/>
      <c r="O26" s="1663">
        <f t="shared" si="12"/>
        <v>0.44322</v>
      </c>
      <c r="P26" s="1660">
        <f t="shared" si="13"/>
        <v>0.71200000000000008</v>
      </c>
      <c r="Q26" s="1664">
        <f t="shared" si="14"/>
        <v>9.0196518604157951</v>
      </c>
      <c r="R26" s="1665">
        <f t="shared" si="15"/>
        <v>9.8252016738179062</v>
      </c>
      <c r="S26" s="1666">
        <f t="shared" si="0"/>
        <v>2371.1872218545132</v>
      </c>
      <c r="T26" s="1667">
        <f t="shared" si="1"/>
        <v>1882.9130041471419</v>
      </c>
      <c r="U26" s="1668">
        <v>2</v>
      </c>
      <c r="V26" s="1660" t="s">
        <v>50</v>
      </c>
      <c r="W26" s="1660">
        <v>6.3</v>
      </c>
      <c r="X26" s="1660">
        <v>11</v>
      </c>
      <c r="Y26" s="1660">
        <v>35</v>
      </c>
      <c r="Z26" s="1669">
        <v>6.3</v>
      </c>
      <c r="AA26" s="1669">
        <v>8.3000000000000007</v>
      </c>
      <c r="AB26" s="1660"/>
      <c r="AC26" s="1660"/>
      <c r="AD26" s="1670">
        <f t="shared" si="16"/>
        <v>16.138888888888893</v>
      </c>
      <c r="AE26" s="1663">
        <f t="shared" si="2"/>
        <v>25.151549901239068</v>
      </c>
      <c r="AF26" s="1671">
        <f t="shared" si="3"/>
        <v>25.957872703799644</v>
      </c>
      <c r="AG26" s="1303">
        <f t="shared" si="4"/>
        <v>0.81491021680014575</v>
      </c>
      <c r="AH26" s="1304">
        <f t="shared" si="5"/>
        <v>0.84103507560310842</v>
      </c>
      <c r="AI26" s="1310">
        <f t="shared" si="6"/>
        <v>850.33659241574583</v>
      </c>
      <c r="AJ26" s="1666">
        <f t="shared" si="7"/>
        <v>712.69322456042471</v>
      </c>
      <c r="AK26" s="1666">
        <f t="shared" si="18"/>
        <v>593.91102046702065</v>
      </c>
      <c r="AL26" s="1666">
        <f t="shared" si="9"/>
        <v>475.12881637361647</v>
      </c>
      <c r="AM26" s="1672">
        <f t="shared" si="10"/>
        <v>4468.7358460286951</v>
      </c>
      <c r="AN26" s="1311">
        <f t="shared" si="11"/>
        <v>3745.3848137559862</v>
      </c>
    </row>
    <row r="27" spans="1:40" ht="12.75" customHeight="1" x14ac:dyDescent="0.2">
      <c r="A27" s="1639">
        <v>6</v>
      </c>
      <c r="B27" s="2524" t="s">
        <v>309</v>
      </c>
      <c r="C27" s="2532" t="s">
        <v>351</v>
      </c>
      <c r="D27" s="1302">
        <v>2.2999999999999998</v>
      </c>
      <c r="E27" s="1673" t="s">
        <v>35</v>
      </c>
      <c r="F27" s="1659" t="s">
        <v>100</v>
      </c>
      <c r="G27" s="2145">
        <f>'СР6 перевод на Баграс'!G5</f>
        <v>8.2869415032183689</v>
      </c>
      <c r="H27" s="2136">
        <f>'СР6 перевод на Баграс'!H5</f>
        <v>9.0895455227238635</v>
      </c>
      <c r="I27" s="2072"/>
      <c r="J27" s="1661">
        <v>1.76</v>
      </c>
      <c r="K27" s="1307"/>
      <c r="L27" s="1307"/>
      <c r="M27" s="1662"/>
      <c r="N27" s="1308"/>
      <c r="O27" s="1663">
        <f t="shared" si="12"/>
        <v>0.43824000000000002</v>
      </c>
      <c r="P27" s="1660">
        <f t="shared" si="13"/>
        <v>0.70400000000000007</v>
      </c>
      <c r="Q27" s="1664">
        <f>SQRT(POWER(O27,2)+POWER(P27+G27,2))</f>
        <v>9.0016156000961622</v>
      </c>
      <c r="R27" s="1665">
        <f t="shared" si="15"/>
        <v>9.8033457657712262</v>
      </c>
      <c r="S27" s="1666">
        <f t="shared" si="0"/>
        <v>2375.9382967614997</v>
      </c>
      <c r="T27" s="1667">
        <f t="shared" si="1"/>
        <v>1887.1108335884153</v>
      </c>
      <c r="U27" s="1668">
        <v>1</v>
      </c>
      <c r="V27" s="1660" t="s">
        <v>194</v>
      </c>
      <c r="W27" s="1660">
        <v>6.3</v>
      </c>
      <c r="X27" s="1660">
        <v>11</v>
      </c>
      <c r="Y27" s="1660">
        <v>35</v>
      </c>
      <c r="Z27" s="1669">
        <v>6.3</v>
      </c>
      <c r="AA27" s="1669">
        <v>6.74</v>
      </c>
      <c r="AB27" s="1660"/>
      <c r="AC27" s="1660"/>
      <c r="AD27" s="1670">
        <f t="shared" si="16"/>
        <v>13.105555555555556</v>
      </c>
      <c r="AE27" s="1663">
        <f t="shared" si="2"/>
        <v>22.100842440187769</v>
      </c>
      <c r="AF27" s="1671">
        <f t="shared" si="3"/>
        <v>22.903294184262176</v>
      </c>
      <c r="AG27" s="1303">
        <f t="shared" si="4"/>
        <v>0.71606729506208366</v>
      </c>
      <c r="AH27" s="1304">
        <f t="shared" si="5"/>
        <v>0.74206673157009451</v>
      </c>
      <c r="AI27" s="1310">
        <f t="shared" si="6"/>
        <v>967.71348399389399</v>
      </c>
      <c r="AJ27" s="1666">
        <f t="shared" si="7"/>
        <v>807.74406734521767</v>
      </c>
      <c r="AK27" s="1666">
        <f t="shared" si="18"/>
        <v>673.12005612101473</v>
      </c>
      <c r="AL27" s="1666">
        <f t="shared" si="9"/>
        <v>538.49604489681178</v>
      </c>
      <c r="AM27" s="1672">
        <f t="shared" si="10"/>
        <v>5085.5813723402844</v>
      </c>
      <c r="AN27" s="1311">
        <f t="shared" si="11"/>
        <v>4244.9012548172104</v>
      </c>
    </row>
    <row r="28" spans="1:40" ht="12.75" customHeight="1" x14ac:dyDescent="0.2">
      <c r="A28" s="1639">
        <v>6</v>
      </c>
      <c r="B28" s="2530"/>
      <c r="C28" s="2533"/>
      <c r="D28" s="1302">
        <v>2.2999999999999998</v>
      </c>
      <c r="E28" s="1675" t="s">
        <v>35</v>
      </c>
      <c r="F28" s="1659" t="s">
        <v>100</v>
      </c>
      <c r="G28" s="2145">
        <f>'СР6 перевод на Баграс'!G6</f>
        <v>8.2967555031037516</v>
      </c>
      <c r="H28" s="2136">
        <f>'СР6 перевод на Баграс'!H6</f>
        <v>9.1031996394772428</v>
      </c>
      <c r="I28" s="2072"/>
      <c r="J28" s="1661">
        <v>1.76</v>
      </c>
      <c r="K28" s="1307"/>
      <c r="L28" s="1307"/>
      <c r="M28" s="1662"/>
      <c r="N28" s="1308"/>
      <c r="O28" s="1663">
        <f t="shared" si="12"/>
        <v>0.43824000000000002</v>
      </c>
      <c r="P28" s="1660">
        <f t="shared" si="13"/>
        <v>0.70400000000000007</v>
      </c>
      <c r="Q28" s="1664">
        <f t="shared" si="14"/>
        <v>9.0114179752274541</v>
      </c>
      <c r="R28" s="1665">
        <f t="shared" si="15"/>
        <v>9.8169862517048774</v>
      </c>
      <c r="S28" s="1666">
        <f t="shared" si="0"/>
        <v>2373.3538157688649</v>
      </c>
      <c r="T28" s="1667">
        <f t="shared" si="1"/>
        <v>1884.4887346956586</v>
      </c>
      <c r="U28" s="1668">
        <v>2</v>
      </c>
      <c r="V28" s="1660" t="s">
        <v>194</v>
      </c>
      <c r="W28" s="1660">
        <v>6.3</v>
      </c>
      <c r="X28" s="1660">
        <v>11</v>
      </c>
      <c r="Y28" s="1660">
        <v>35</v>
      </c>
      <c r="Z28" s="1669">
        <v>6.3</v>
      </c>
      <c r="AA28" s="1669">
        <v>6.96</v>
      </c>
      <c r="AB28" s="1660"/>
      <c r="AC28" s="1660"/>
      <c r="AD28" s="1670">
        <f t="shared" si="16"/>
        <v>13.533333333333331</v>
      </c>
      <c r="AE28" s="1663">
        <f t="shared" si="2"/>
        <v>22.538349850555573</v>
      </c>
      <c r="AF28" s="1671">
        <f t="shared" si="3"/>
        <v>23.344646790055695</v>
      </c>
      <c r="AG28" s="1303">
        <f t="shared" si="4"/>
        <v>0.73024253515800053</v>
      </c>
      <c r="AH28" s="1304">
        <f t="shared" si="5"/>
        <v>0.75636655599780445</v>
      </c>
      <c r="AI28" s="1310">
        <f t="shared" si="6"/>
        <v>948.92853198243438</v>
      </c>
      <c r="AJ28" s="1666">
        <f t="shared" si="7"/>
        <v>792.47290251915877</v>
      </c>
      <c r="AK28" s="1666">
        <f t="shared" si="18"/>
        <v>660.39408543263232</v>
      </c>
      <c r="AL28" s="1666">
        <f t="shared" si="9"/>
        <v>528.31526834610588</v>
      </c>
      <c r="AM28" s="1672">
        <f t="shared" si="10"/>
        <v>4986.8616545623436</v>
      </c>
      <c r="AN28" s="1311">
        <f t="shared" si="11"/>
        <v>4164.6473856111952</v>
      </c>
    </row>
    <row r="29" spans="1:40" ht="12.75" customHeight="1" x14ac:dyDescent="0.2">
      <c r="A29" s="1639">
        <v>6</v>
      </c>
      <c r="B29" s="2524" t="s">
        <v>168</v>
      </c>
      <c r="C29" s="2526" t="s">
        <v>341</v>
      </c>
      <c r="D29" s="1302">
        <v>2.2999999999999998</v>
      </c>
      <c r="E29" s="1675" t="s">
        <v>35</v>
      </c>
      <c r="F29" s="1659" t="s">
        <v>100</v>
      </c>
      <c r="G29" s="2145">
        <f>'СР6 перевод на Баграс'!G5</f>
        <v>8.2869415032183689</v>
      </c>
      <c r="H29" s="2136">
        <f>'СР6 перевод на Баграс'!H5</f>
        <v>9.0895455227238635</v>
      </c>
      <c r="I29" s="2072"/>
      <c r="J29" s="1661">
        <v>11.15</v>
      </c>
      <c r="K29" s="1307"/>
      <c r="L29" s="1307"/>
      <c r="M29" s="1662"/>
      <c r="N29" s="1308"/>
      <c r="O29" s="1663">
        <f t="shared" ref="O29:O34" si="19">0.314*I29+0.249*J29+0.195*K29+0.159*L29+0.06*M29</f>
        <v>2.7763499999999999</v>
      </c>
      <c r="P29" s="1660">
        <f t="shared" ref="P29:P34" si="20">0.4*SUM(I29:M29)</f>
        <v>4.46</v>
      </c>
      <c r="Q29" s="1664">
        <f t="shared" ref="Q29:Q38" si="21">SQRT(POWER(O29,2)+POWER(P29+G29,2))</f>
        <v>13.04579001091812</v>
      </c>
      <c r="R29" s="1665">
        <f t="shared" ref="R29:R38" si="22">SQRT(POWER(O29,2)+POWER(P29+H29,2))</f>
        <v>13.831062981378775</v>
      </c>
      <c r="S29" s="1666">
        <f t="shared" si="0"/>
        <v>1639.4011569322395</v>
      </c>
      <c r="T29" s="1667">
        <f t="shared" si="1"/>
        <v>1337.5689218469449</v>
      </c>
      <c r="U29" s="1668">
        <v>1</v>
      </c>
      <c r="V29" s="1660" t="s">
        <v>195</v>
      </c>
      <c r="W29" s="1676">
        <v>6.3</v>
      </c>
      <c r="X29" s="1660">
        <v>11</v>
      </c>
      <c r="Y29" s="1676">
        <v>35</v>
      </c>
      <c r="Z29" s="1677">
        <v>6.3</v>
      </c>
      <c r="AA29" s="1676">
        <v>8.1300000000000008</v>
      </c>
      <c r="AB29" s="1660"/>
      <c r="AC29" s="1660">
        <v>5</v>
      </c>
      <c r="AD29" s="1670">
        <f t="shared" ref="AD29:AD38" si="23">AA29/100*Y29*Y29/W29</f>
        <v>15.808333333333335</v>
      </c>
      <c r="AE29" s="1663">
        <f t="shared" si="2"/>
        <v>28.68992576347145</v>
      </c>
      <c r="AF29" s="1671">
        <f t="shared" si="3"/>
        <v>29.488865190939958</v>
      </c>
      <c r="AG29" s="1303">
        <f t="shared" si="4"/>
        <v>0.92955359473647492</v>
      </c>
      <c r="AH29" s="1304">
        <f t="shared" si="5"/>
        <v>0.95543923218645455</v>
      </c>
      <c r="AI29" s="1310">
        <f t="shared" si="6"/>
        <v>745.46317802693329</v>
      </c>
      <c r="AJ29" s="1666">
        <f t="shared" si="7"/>
        <v>627.35544010299407</v>
      </c>
      <c r="AK29" s="1666">
        <f t="shared" ref="AK29:AK38" si="24">AJ29/1.2</f>
        <v>522.79620008582845</v>
      </c>
      <c r="AL29" s="1666">
        <f t="shared" si="9"/>
        <v>418.23696006866271</v>
      </c>
      <c r="AM29" s="1666">
        <f t="shared" si="10"/>
        <v>3917.5992839253258</v>
      </c>
      <c r="AN29" s="1311">
        <f t="shared" si="11"/>
        <v>3296.9129735142333</v>
      </c>
    </row>
    <row r="30" spans="1:40" ht="12.75" customHeight="1" x14ac:dyDescent="0.2">
      <c r="A30" s="1639">
        <v>6</v>
      </c>
      <c r="B30" s="2530"/>
      <c r="C30" s="2531"/>
      <c r="D30" s="1302">
        <v>2.2999999999999998</v>
      </c>
      <c r="E30" s="1675" t="s">
        <v>35</v>
      </c>
      <c r="F30" s="1659" t="s">
        <v>100</v>
      </c>
      <c r="G30" s="2145">
        <f>'СР6 перевод на Баграс'!G6</f>
        <v>8.2967555031037516</v>
      </c>
      <c r="H30" s="2136">
        <f>'СР6 перевод на Баграс'!H6</f>
        <v>9.1031996394772428</v>
      </c>
      <c r="I30" s="2072"/>
      <c r="J30" s="1661">
        <v>11.15</v>
      </c>
      <c r="K30" s="1307"/>
      <c r="L30" s="1307"/>
      <c r="M30" s="1662"/>
      <c r="N30" s="1308"/>
      <c r="O30" s="1663">
        <f t="shared" si="19"/>
        <v>2.7763499999999999</v>
      </c>
      <c r="P30" s="1660">
        <f t="shared" si="20"/>
        <v>4.46</v>
      </c>
      <c r="Q30" s="1664">
        <f t="shared" si="21"/>
        <v>13.055379362104643</v>
      </c>
      <c r="R30" s="1665">
        <f t="shared" si="22"/>
        <v>13.844439453542915</v>
      </c>
      <c r="S30" s="1666">
        <f t="shared" si="0"/>
        <v>1638.1969948015665</v>
      </c>
      <c r="T30" s="1667">
        <f t="shared" si="1"/>
        <v>1336.2765651927991</v>
      </c>
      <c r="U30" s="1668">
        <v>2</v>
      </c>
      <c r="V30" s="1660" t="s">
        <v>195</v>
      </c>
      <c r="W30" s="1676">
        <v>6.3</v>
      </c>
      <c r="X30" s="1660">
        <v>11</v>
      </c>
      <c r="Y30" s="1676">
        <v>35</v>
      </c>
      <c r="Z30" s="1677">
        <v>6.3</v>
      </c>
      <c r="AA30" s="1676">
        <v>8.1300000000000008</v>
      </c>
      <c r="AB30" s="1660"/>
      <c r="AC30" s="1660">
        <v>5</v>
      </c>
      <c r="AD30" s="1670">
        <f t="shared" si="23"/>
        <v>15.808333333333335</v>
      </c>
      <c r="AE30" s="1663">
        <f t="shared" si="2"/>
        <v>28.69969371885426</v>
      </c>
      <c r="AF30" s="1671">
        <f t="shared" si="3"/>
        <v>29.502458685597695</v>
      </c>
      <c r="AG30" s="1303">
        <f t="shared" si="4"/>
        <v>0.92987007649087794</v>
      </c>
      <c r="AH30" s="1304">
        <f t="shared" si="5"/>
        <v>0.95587966141336522</v>
      </c>
      <c r="AI30" s="1310">
        <f t="shared" si="6"/>
        <v>745.20945925439776</v>
      </c>
      <c r="AJ30" s="1666">
        <f t="shared" si="7"/>
        <v>627.06638104813965</v>
      </c>
      <c r="AK30" s="1666">
        <f t="shared" si="24"/>
        <v>522.55531754011645</v>
      </c>
      <c r="AL30" s="1666">
        <f t="shared" si="9"/>
        <v>418.04425403209308</v>
      </c>
      <c r="AM30" s="1672">
        <f t="shared" si="10"/>
        <v>3916.2659270126014</v>
      </c>
      <c r="AN30" s="1311">
        <f t="shared" si="11"/>
        <v>3295.3938943971302</v>
      </c>
    </row>
    <row r="31" spans="1:40" ht="12.75" customHeight="1" x14ac:dyDescent="0.2">
      <c r="A31" s="1678">
        <v>6</v>
      </c>
      <c r="B31" s="2524" t="s">
        <v>140</v>
      </c>
      <c r="C31" s="2526" t="s">
        <v>43</v>
      </c>
      <c r="D31" s="1679">
        <v>1.4</v>
      </c>
      <c r="E31" s="1696" t="s">
        <v>35</v>
      </c>
      <c r="F31" s="1680" t="s">
        <v>100</v>
      </c>
      <c r="G31" s="2145">
        <f>'СР6 перевод на Баграс'!G5</f>
        <v>8.2869415032183689</v>
      </c>
      <c r="H31" s="2136">
        <f>'СР6 перевод на Баграс'!H5</f>
        <v>9.0895455227238635</v>
      </c>
      <c r="I31" s="2073"/>
      <c r="J31" s="1681">
        <v>11.28</v>
      </c>
      <c r="K31" s="1682"/>
      <c r="L31" s="1682"/>
      <c r="M31" s="1683"/>
      <c r="N31" s="1684"/>
      <c r="O31" s="1685">
        <f t="shared" si="19"/>
        <v>2.8087199999999997</v>
      </c>
      <c r="P31" s="1674">
        <f t="shared" si="20"/>
        <v>4.5119999999999996</v>
      </c>
      <c r="Q31" s="1686">
        <f t="shared" si="21"/>
        <v>13.103503792543645</v>
      </c>
      <c r="R31" s="1687">
        <f t="shared" si="22"/>
        <v>13.888518590732764</v>
      </c>
      <c r="S31" s="1672">
        <f t="shared" si="0"/>
        <v>1632.1804897072138</v>
      </c>
      <c r="T31" s="1688">
        <f t="shared" si="1"/>
        <v>1332.0355140212209</v>
      </c>
      <c r="U31" s="1689">
        <v>1</v>
      </c>
      <c r="V31" s="1674" t="s">
        <v>50</v>
      </c>
      <c r="W31" s="1674">
        <v>6.3</v>
      </c>
      <c r="X31" s="1674">
        <v>11</v>
      </c>
      <c r="Y31" s="1674">
        <v>35</v>
      </c>
      <c r="Z31" s="1690">
        <v>6.3</v>
      </c>
      <c r="AA31" s="1690">
        <v>7.6</v>
      </c>
      <c r="AB31" s="1674"/>
      <c r="AC31" s="1674">
        <v>5</v>
      </c>
      <c r="AD31" s="1691">
        <f t="shared" si="23"/>
        <v>14.77777777777778</v>
      </c>
      <c r="AE31" s="1685">
        <f t="shared" si="2"/>
        <v>27.719385894014042</v>
      </c>
      <c r="AF31" s="1692">
        <f t="shared" si="3"/>
        <v>28.517975016343559</v>
      </c>
      <c r="AG31" s="1237">
        <f t="shared" si="4"/>
        <v>0.89810810296605492</v>
      </c>
      <c r="AH31" s="1238">
        <f t="shared" si="5"/>
        <v>0.92398239052953135</v>
      </c>
      <c r="AI31" s="1693">
        <f t="shared" si="6"/>
        <v>771.56410747226425</v>
      </c>
      <c r="AJ31" s="1672">
        <f t="shared" si="7"/>
        <v>648.71366180094162</v>
      </c>
      <c r="AK31" s="1672">
        <f t="shared" si="24"/>
        <v>540.59471816745133</v>
      </c>
      <c r="AL31" s="1672">
        <f t="shared" si="9"/>
        <v>432.4757745339611</v>
      </c>
      <c r="AM31" s="1672">
        <f t="shared" si="10"/>
        <v>4054.7663305599481</v>
      </c>
      <c r="AN31" s="1694">
        <f t="shared" si="11"/>
        <v>3409.1558803352791</v>
      </c>
    </row>
    <row r="32" spans="1:40" ht="12.75" customHeight="1" x14ac:dyDescent="0.2">
      <c r="A32" s="1639">
        <v>6</v>
      </c>
      <c r="B32" s="2530"/>
      <c r="C32" s="2531"/>
      <c r="D32" s="1302">
        <v>1.4</v>
      </c>
      <c r="E32" s="1696" t="s">
        <v>35</v>
      </c>
      <c r="F32" s="1680" t="s">
        <v>100</v>
      </c>
      <c r="G32" s="2145">
        <f>'СР6 перевод на Баграс'!G6</f>
        <v>8.2967555031037516</v>
      </c>
      <c r="H32" s="2136">
        <f>'СР6 перевод на Баграс'!H6</f>
        <v>9.1031996394772428</v>
      </c>
      <c r="I32" s="2073"/>
      <c r="J32" s="1681">
        <v>11.08</v>
      </c>
      <c r="K32" s="1682"/>
      <c r="L32" s="1682"/>
      <c r="M32" s="1683"/>
      <c r="N32" s="1684"/>
      <c r="O32" s="1685">
        <f t="shared" si="19"/>
        <v>2.7589199999999998</v>
      </c>
      <c r="P32" s="1674">
        <f t="shared" si="20"/>
        <v>4.4320000000000004</v>
      </c>
      <c r="Q32" s="1686">
        <f t="shared" si="21"/>
        <v>13.024317879420558</v>
      </c>
      <c r="R32" s="1687">
        <f t="shared" si="22"/>
        <v>13.813517613081213</v>
      </c>
      <c r="S32" s="1672">
        <f t="shared" si="0"/>
        <v>1642.103904020018</v>
      </c>
      <c r="T32" s="1688">
        <f t="shared" si="1"/>
        <v>1339.2678474945985</v>
      </c>
      <c r="U32" s="1689">
        <v>2</v>
      </c>
      <c r="V32" s="1674" t="s">
        <v>50</v>
      </c>
      <c r="W32" s="1674">
        <v>6.3</v>
      </c>
      <c r="X32" s="1660">
        <v>11</v>
      </c>
      <c r="Y32" s="1674">
        <v>35</v>
      </c>
      <c r="Z32" s="1690">
        <v>6.3</v>
      </c>
      <c r="AA32" s="1690">
        <v>7.6</v>
      </c>
      <c r="AB32" s="1674"/>
      <c r="AC32" s="1674">
        <v>5</v>
      </c>
      <c r="AD32" s="1691">
        <f t="shared" si="23"/>
        <v>14.77777777777778</v>
      </c>
      <c r="AE32" s="1685">
        <f t="shared" si="2"/>
        <v>27.644547612479453</v>
      </c>
      <c r="AF32" s="1692">
        <f t="shared" si="3"/>
        <v>28.447079459874136</v>
      </c>
      <c r="AG32" s="1237">
        <f t="shared" si="4"/>
        <v>0.89568334264433425</v>
      </c>
      <c r="AH32" s="1238">
        <f t="shared" si="5"/>
        <v>0.92168537449992194</v>
      </c>
      <c r="AI32" s="1693">
        <f t="shared" si="6"/>
        <v>773.65285685989863</v>
      </c>
      <c r="AJ32" s="1672">
        <f t="shared" si="7"/>
        <v>650.3303801747054</v>
      </c>
      <c r="AK32" s="1666">
        <f t="shared" si="24"/>
        <v>541.9419834789212</v>
      </c>
      <c r="AL32" s="1666">
        <f t="shared" si="9"/>
        <v>433.55358678313695</v>
      </c>
      <c r="AM32" s="1672">
        <f t="shared" si="10"/>
        <v>4065.7432417562245</v>
      </c>
      <c r="AN32" s="1311">
        <f t="shared" si="11"/>
        <v>3417.6521480652686</v>
      </c>
    </row>
    <row r="33" spans="1:40" ht="12.75" customHeight="1" x14ac:dyDescent="0.2">
      <c r="A33" s="1639">
        <v>6</v>
      </c>
      <c r="B33" s="2524" t="s">
        <v>134</v>
      </c>
      <c r="C33" s="2526" t="s">
        <v>43</v>
      </c>
      <c r="D33" s="1302">
        <v>1.4</v>
      </c>
      <c r="E33" s="1675" t="s">
        <v>35</v>
      </c>
      <c r="F33" s="1680" t="s">
        <v>100</v>
      </c>
      <c r="G33" s="2145">
        <f>'СР6 перевод на Баграс'!G5</f>
        <v>8.2869415032183689</v>
      </c>
      <c r="H33" s="2136">
        <f>'СР6 перевод на Баграс'!H5</f>
        <v>9.0895455227238635</v>
      </c>
      <c r="I33" s="2072"/>
      <c r="J33" s="1661">
        <v>5.47</v>
      </c>
      <c r="K33" s="1307"/>
      <c r="L33" s="1307"/>
      <c r="M33" s="1662"/>
      <c r="N33" s="1308"/>
      <c r="O33" s="1663">
        <f t="shared" si="19"/>
        <v>1.3620299999999999</v>
      </c>
      <c r="P33" s="1660">
        <f t="shared" si="20"/>
        <v>2.1880000000000002</v>
      </c>
      <c r="Q33" s="1664">
        <f t="shared" si="21"/>
        <v>10.563120997922287</v>
      </c>
      <c r="R33" s="1665">
        <f t="shared" si="22"/>
        <v>11.359496412165861</v>
      </c>
      <c r="S33" s="1666">
        <f t="shared" si="0"/>
        <v>2024.7125107438408</v>
      </c>
      <c r="T33" s="1667">
        <f t="shared" si="1"/>
        <v>1628.5933221640671</v>
      </c>
      <c r="U33" s="1668">
        <v>1</v>
      </c>
      <c r="V33" s="1660" t="s">
        <v>192</v>
      </c>
      <c r="W33" s="1660">
        <v>4</v>
      </c>
      <c r="X33" s="1660">
        <v>11</v>
      </c>
      <c r="Y33" s="1660">
        <v>35</v>
      </c>
      <c r="Z33" s="1669">
        <v>6.3</v>
      </c>
      <c r="AA33" s="1669">
        <v>6.2</v>
      </c>
      <c r="AB33" s="1660"/>
      <c r="AC33" s="1660"/>
      <c r="AD33" s="1670">
        <f t="shared" si="23"/>
        <v>18.987500000000001</v>
      </c>
      <c r="AE33" s="1663">
        <f t="shared" si="2"/>
        <v>29.493907592102207</v>
      </c>
      <c r="AF33" s="1671">
        <f t="shared" si="3"/>
        <v>30.295678012110042</v>
      </c>
      <c r="AG33" s="1303">
        <f t="shared" si="4"/>
        <v>0.95560260598411151</v>
      </c>
      <c r="AH33" s="1304">
        <f t="shared" si="5"/>
        <v>0.98157996759236543</v>
      </c>
      <c r="AI33" s="1310">
        <f t="shared" si="6"/>
        <v>725.14241018105179</v>
      </c>
      <c r="AJ33" s="1666">
        <f t="shared" si="7"/>
        <v>610.64815887616123</v>
      </c>
      <c r="AK33" s="1666">
        <f t="shared" si="24"/>
        <v>508.8734657301344</v>
      </c>
      <c r="AL33" s="1666">
        <f t="shared" si="9"/>
        <v>407.09877258410751</v>
      </c>
      <c r="AM33" s="1672">
        <f t="shared" si="10"/>
        <v>3810.8084619124347</v>
      </c>
      <c r="AN33" s="1311">
        <f t="shared" si="11"/>
        <v>3209.1119460458926</v>
      </c>
    </row>
    <row r="34" spans="1:40" ht="12.75" customHeight="1" x14ac:dyDescent="0.2">
      <c r="A34" s="1639">
        <v>6</v>
      </c>
      <c r="B34" s="2530"/>
      <c r="C34" s="2531"/>
      <c r="D34" s="1302">
        <v>1.4</v>
      </c>
      <c r="E34" s="1675" t="s">
        <v>35</v>
      </c>
      <c r="F34" s="1680" t="s">
        <v>100</v>
      </c>
      <c r="G34" s="2145">
        <f>'СР6 перевод на Баграс'!G6</f>
        <v>8.2967555031037516</v>
      </c>
      <c r="H34" s="2136">
        <f>'СР6 перевод на Баграс'!H6</f>
        <v>9.1031996394772428</v>
      </c>
      <c r="I34" s="2072"/>
      <c r="J34" s="1661">
        <v>5.0199999999999996</v>
      </c>
      <c r="K34" s="1307"/>
      <c r="L34" s="1307"/>
      <c r="M34" s="1662"/>
      <c r="N34" s="1308"/>
      <c r="O34" s="1663">
        <f t="shared" si="19"/>
        <v>1.2499799999999999</v>
      </c>
      <c r="P34" s="1660">
        <f t="shared" si="20"/>
        <v>2.008</v>
      </c>
      <c r="Q34" s="1664">
        <f t="shared" si="21"/>
        <v>10.380290746368672</v>
      </c>
      <c r="R34" s="1665">
        <f t="shared" si="22"/>
        <v>11.181288272319929</v>
      </c>
      <c r="S34" s="1666">
        <f t="shared" si="0"/>
        <v>2060.3741994872457</v>
      </c>
      <c r="T34" s="1667">
        <f t="shared" si="1"/>
        <v>1654.5499543016042</v>
      </c>
      <c r="U34" s="1668">
        <v>2</v>
      </c>
      <c r="V34" s="1660" t="s">
        <v>192</v>
      </c>
      <c r="W34" s="1660">
        <v>4</v>
      </c>
      <c r="X34" s="1660">
        <v>11</v>
      </c>
      <c r="Y34" s="1660">
        <v>35</v>
      </c>
      <c r="Z34" s="1669">
        <v>6.3</v>
      </c>
      <c r="AA34" s="1669">
        <v>6.35</v>
      </c>
      <c r="AB34" s="1660"/>
      <c r="AC34" s="1660"/>
      <c r="AD34" s="1670">
        <f t="shared" si="23"/>
        <v>19.446875000000002</v>
      </c>
      <c r="AE34" s="1663">
        <f t="shared" si="2"/>
        <v>29.777877150556144</v>
      </c>
      <c r="AF34" s="1671">
        <f t="shared" si="3"/>
        <v>30.583629210286052</v>
      </c>
      <c r="AG34" s="1303">
        <f t="shared" si="4"/>
        <v>0.96480321967801896</v>
      </c>
      <c r="AH34" s="1304">
        <f t="shared" si="5"/>
        <v>0.99090958641326798</v>
      </c>
      <c r="AI34" s="1310">
        <f t="shared" si="6"/>
        <v>718.22726411492306</v>
      </c>
      <c r="AJ34" s="1666">
        <f t="shared" si="7"/>
        <v>604.89878008911967</v>
      </c>
      <c r="AK34" s="1666">
        <f t="shared" si="24"/>
        <v>504.08231674093309</v>
      </c>
      <c r="AL34" s="1666">
        <f t="shared" si="9"/>
        <v>403.26585339274646</v>
      </c>
      <c r="AM34" s="1672">
        <f t="shared" si="10"/>
        <v>3774.4676042075539</v>
      </c>
      <c r="AN34" s="1311">
        <f t="shared" si="11"/>
        <v>3178.8974929608394</v>
      </c>
    </row>
    <row r="35" spans="1:40" ht="12.75" customHeight="1" x14ac:dyDescent="0.2">
      <c r="A35" s="1639">
        <v>6</v>
      </c>
      <c r="B35" s="2524" t="s">
        <v>167</v>
      </c>
      <c r="C35" s="2526" t="s">
        <v>43</v>
      </c>
      <c r="D35" s="1302">
        <v>2.2999999999999998</v>
      </c>
      <c r="E35" s="1675" t="s">
        <v>35</v>
      </c>
      <c r="F35" s="1695" t="s">
        <v>100</v>
      </c>
      <c r="G35" s="2145">
        <f>'СР6 перевод на Баграс'!G5</f>
        <v>8.2869415032183689</v>
      </c>
      <c r="H35" s="2136">
        <f>'СР6 перевод на Баграс'!H5</f>
        <v>9.0895455227238635</v>
      </c>
      <c r="I35" s="2072"/>
      <c r="J35" s="1661">
        <v>10.57</v>
      </c>
      <c r="K35" s="1307"/>
      <c r="L35" s="1307"/>
      <c r="M35" s="1662"/>
      <c r="N35" s="1308"/>
      <c r="O35" s="1663">
        <f t="shared" si="12"/>
        <v>2.6319300000000001</v>
      </c>
      <c r="P35" s="1660">
        <f t="shared" si="13"/>
        <v>4.2280000000000006</v>
      </c>
      <c r="Q35" s="1664">
        <f t="shared" si="21"/>
        <v>12.788698774851087</v>
      </c>
      <c r="R35" s="1665">
        <f t="shared" si="22"/>
        <v>13.575127044514996</v>
      </c>
      <c r="S35" s="1666">
        <f t="shared" si="0"/>
        <v>1672.3580415430697</v>
      </c>
      <c r="T35" s="1667">
        <f t="shared" si="1"/>
        <v>1362.7865094253309</v>
      </c>
      <c r="U35" s="1668">
        <v>1</v>
      </c>
      <c r="V35" s="1660" t="s">
        <v>192</v>
      </c>
      <c r="W35" s="1676">
        <v>4</v>
      </c>
      <c r="X35" s="1660">
        <v>11</v>
      </c>
      <c r="Y35" s="1676">
        <v>35</v>
      </c>
      <c r="Z35" s="1677">
        <v>6.3</v>
      </c>
      <c r="AA35" s="1676">
        <v>6.14</v>
      </c>
      <c r="AB35" s="1660"/>
      <c r="AC35" s="1660">
        <v>5</v>
      </c>
      <c r="AD35" s="1670">
        <f t="shared" si="23"/>
        <v>18.803750000000001</v>
      </c>
      <c r="AE35" s="1663">
        <f t="shared" si="2"/>
        <v>31.429086735039927</v>
      </c>
      <c r="AF35" s="1671">
        <f t="shared" si="3"/>
        <v>32.228941676435177</v>
      </c>
      <c r="AG35" s="1303">
        <f t="shared" si="4"/>
        <v>1.0183024102152936</v>
      </c>
      <c r="AH35" s="1304">
        <f t="shared" si="5"/>
        <v>1.0442177103164996</v>
      </c>
      <c r="AI35" s="1310">
        <f t="shared" si="6"/>
        <v>680.49330918514352</v>
      </c>
      <c r="AJ35" s="1666">
        <f t="shared" si="7"/>
        <v>574.0182282661375</v>
      </c>
      <c r="AK35" s="1666">
        <f t="shared" si="24"/>
        <v>478.34852355511458</v>
      </c>
      <c r="AL35" s="1666">
        <f t="shared" si="9"/>
        <v>382.67881884409167</v>
      </c>
      <c r="AM35" s="1672">
        <f t="shared" si="10"/>
        <v>3576.1660392612653</v>
      </c>
      <c r="AN35" s="1311">
        <f t="shared" si="11"/>
        <v>3016.6123107079302</v>
      </c>
    </row>
    <row r="36" spans="1:40" ht="12.75" customHeight="1" x14ac:dyDescent="0.2">
      <c r="A36" s="1639">
        <v>6</v>
      </c>
      <c r="B36" s="2530"/>
      <c r="C36" s="2531"/>
      <c r="D36" s="1302">
        <v>2.2999999999999998</v>
      </c>
      <c r="E36" s="1675" t="s">
        <v>35</v>
      </c>
      <c r="F36" s="1695" t="s">
        <v>100</v>
      </c>
      <c r="G36" s="2145">
        <f>'СР6 перевод на Баграс'!G6</f>
        <v>8.2967555031037516</v>
      </c>
      <c r="H36" s="2136">
        <f>'СР6 перевод на Баграс'!H6</f>
        <v>9.1031996394772428</v>
      </c>
      <c r="I36" s="2072"/>
      <c r="J36" s="1661">
        <v>10.57</v>
      </c>
      <c r="K36" s="1307"/>
      <c r="L36" s="1307"/>
      <c r="M36" s="1662"/>
      <c r="N36" s="1308"/>
      <c r="O36" s="1663">
        <f t="shared" si="12"/>
        <v>2.6319300000000001</v>
      </c>
      <c r="P36" s="1660">
        <f t="shared" si="13"/>
        <v>4.2280000000000006</v>
      </c>
      <c r="Q36" s="1664">
        <f t="shared" si="21"/>
        <v>12.798302853793846</v>
      </c>
      <c r="R36" s="1665">
        <f t="shared" si="22"/>
        <v>13.588522338815881</v>
      </c>
      <c r="S36" s="1666">
        <f t="shared" si="0"/>
        <v>1671.1030736902987</v>
      </c>
      <c r="T36" s="1667">
        <f t="shared" si="1"/>
        <v>1361.4431016648798</v>
      </c>
      <c r="U36" s="1668">
        <v>2</v>
      </c>
      <c r="V36" s="1660" t="s">
        <v>192</v>
      </c>
      <c r="W36" s="1676">
        <v>4</v>
      </c>
      <c r="X36" s="1660">
        <v>11</v>
      </c>
      <c r="Y36" s="1676">
        <v>35</v>
      </c>
      <c r="Z36" s="1677">
        <v>6.3</v>
      </c>
      <c r="AA36" s="1676">
        <v>6.26</v>
      </c>
      <c r="AB36" s="1660"/>
      <c r="AC36" s="1660">
        <v>5</v>
      </c>
      <c r="AD36" s="1670">
        <f t="shared" si="23"/>
        <v>19.171250000000004</v>
      </c>
      <c r="AE36" s="1663">
        <f t="shared" si="2"/>
        <v>31.805091107834979</v>
      </c>
      <c r="AF36" s="1671">
        <f t="shared" si="3"/>
        <v>32.608837576516812</v>
      </c>
      <c r="AG36" s="1303">
        <f t="shared" si="4"/>
        <v>1.0304849518938533</v>
      </c>
      <c r="AH36" s="1304">
        <f t="shared" si="5"/>
        <v>1.0565263374791447</v>
      </c>
      <c r="AI36" s="1310">
        <f t="shared" si="6"/>
        <v>672.44841916914368</v>
      </c>
      <c r="AJ36" s="1666">
        <f t="shared" si="7"/>
        <v>567.33086411282375</v>
      </c>
      <c r="AK36" s="1666">
        <f t="shared" si="24"/>
        <v>472.77572009401979</v>
      </c>
      <c r="AL36" s="1666">
        <f t="shared" si="9"/>
        <v>378.22057607521583</v>
      </c>
      <c r="AM36" s="1672">
        <f t="shared" si="10"/>
        <v>3533.8880887267314</v>
      </c>
      <c r="AN36" s="1311">
        <f t="shared" si="11"/>
        <v>2981.4685050974222</v>
      </c>
    </row>
    <row r="37" spans="1:40" ht="12.75" customHeight="1" x14ac:dyDescent="0.2">
      <c r="A37" s="1639">
        <v>6</v>
      </c>
      <c r="B37" s="2524" t="s">
        <v>145</v>
      </c>
      <c r="C37" s="2526" t="s">
        <v>341</v>
      </c>
      <c r="D37" s="1302">
        <v>1.4</v>
      </c>
      <c r="E37" s="1675" t="s">
        <v>35</v>
      </c>
      <c r="F37" s="1680" t="s">
        <v>100</v>
      </c>
      <c r="G37" s="2145">
        <f>'СР6 перевод на Баграс'!G5</f>
        <v>8.2869415032183689</v>
      </c>
      <c r="H37" s="2136">
        <f>'СР6 перевод на Баграс'!H5</f>
        <v>9.0895455227238635</v>
      </c>
      <c r="I37" s="2072"/>
      <c r="J37" s="1661">
        <v>8.43</v>
      </c>
      <c r="K37" s="1307"/>
      <c r="L37" s="1307"/>
      <c r="M37" s="1662"/>
      <c r="N37" s="1308"/>
      <c r="O37" s="1663">
        <f>0.314*I37+0.249*J37+0.195*K37+0.159*L37+0.06*M37</f>
        <v>2.0990699999999998</v>
      </c>
      <c r="P37" s="1660">
        <f>0.4*SUM(I37:M37)</f>
        <v>3.3719999999999999</v>
      </c>
      <c r="Q37" s="1664">
        <f t="shared" si="21"/>
        <v>11.84639235549658</v>
      </c>
      <c r="R37" s="1665">
        <f t="shared" si="22"/>
        <v>12.63709664756186</v>
      </c>
      <c r="S37" s="1666">
        <f t="shared" si="0"/>
        <v>1805.3836640883148</v>
      </c>
      <c r="T37" s="1667">
        <f t="shared" si="1"/>
        <v>1463.9438564054426</v>
      </c>
      <c r="U37" s="1668">
        <v>1</v>
      </c>
      <c r="V37" s="1660" t="s">
        <v>122</v>
      </c>
      <c r="W37" s="1660">
        <v>4</v>
      </c>
      <c r="X37" s="1660">
        <v>11</v>
      </c>
      <c r="Y37" s="1660">
        <v>35</v>
      </c>
      <c r="Z37" s="1669">
        <v>6.3</v>
      </c>
      <c r="AA37" s="1660">
        <v>7.4</v>
      </c>
      <c r="AB37" s="1660"/>
      <c r="AC37" s="1660"/>
      <c r="AD37" s="1670">
        <f t="shared" si="23"/>
        <v>22.662500000000001</v>
      </c>
      <c r="AE37" s="1663">
        <f t="shared" si="2"/>
        <v>34.385570254450343</v>
      </c>
      <c r="AF37" s="1671">
        <f t="shared" si="3"/>
        <v>35.186711536420653</v>
      </c>
      <c r="AG37" s="1303">
        <f t="shared" si="4"/>
        <v>1.1140924762441911</v>
      </c>
      <c r="AH37" s="1304">
        <f t="shared" si="5"/>
        <v>1.140049453780029</v>
      </c>
      <c r="AI37" s="1310">
        <f t="shared" si="6"/>
        <v>621.98425324140658</v>
      </c>
      <c r="AJ37" s="1666">
        <f t="shared" si="7"/>
        <v>525.76666565874552</v>
      </c>
      <c r="AK37" s="1666">
        <f t="shared" si="24"/>
        <v>438.13888804895464</v>
      </c>
      <c r="AL37" s="1666">
        <f t="shared" si="9"/>
        <v>350.5111104391637</v>
      </c>
      <c r="AM37" s="1672">
        <f t="shared" si="10"/>
        <v>3268.6860155329177</v>
      </c>
      <c r="AN37" s="1311">
        <f t="shared" si="11"/>
        <v>2763.0380327411553</v>
      </c>
    </row>
    <row r="38" spans="1:40" ht="12.75" customHeight="1" x14ac:dyDescent="0.2">
      <c r="A38" s="1639">
        <v>6</v>
      </c>
      <c r="B38" s="2530"/>
      <c r="C38" s="2531"/>
      <c r="D38" s="1302">
        <v>1.4</v>
      </c>
      <c r="E38" s="1675" t="s">
        <v>35</v>
      </c>
      <c r="F38" s="1680" t="s">
        <v>100</v>
      </c>
      <c r="G38" s="2145">
        <f>'СР6 перевод на Баграс'!G6</f>
        <v>8.2967555031037516</v>
      </c>
      <c r="H38" s="2136">
        <f>'СР6 перевод на Баграс'!H6</f>
        <v>9.1031996394772428</v>
      </c>
      <c r="I38" s="2072"/>
      <c r="J38" s="1661">
        <v>8.23</v>
      </c>
      <c r="K38" s="1307"/>
      <c r="L38" s="1307"/>
      <c r="M38" s="1662"/>
      <c r="N38" s="1308"/>
      <c r="O38" s="1663">
        <f>0.314*I38+0.249*J38+0.195*K38+0.159*L38+0.06*M38</f>
        <v>2.0492699999999999</v>
      </c>
      <c r="P38" s="1660">
        <f>0.4*SUM(I38:M38)</f>
        <v>3.2920000000000003</v>
      </c>
      <c r="Q38" s="1664">
        <f t="shared" si="21"/>
        <v>11.768549683101034</v>
      </c>
      <c r="R38" s="1665">
        <f t="shared" si="22"/>
        <v>12.563458187752158</v>
      </c>
      <c r="S38" s="1666">
        <f t="shared" si="0"/>
        <v>1817.325313050693</v>
      </c>
      <c r="T38" s="1667">
        <f t="shared" si="1"/>
        <v>1472.5245010991678</v>
      </c>
      <c r="U38" s="1668">
        <v>2</v>
      </c>
      <c r="V38" s="1660" t="s">
        <v>122</v>
      </c>
      <c r="W38" s="1660">
        <v>4</v>
      </c>
      <c r="X38" s="1660">
        <v>11</v>
      </c>
      <c r="Y38" s="1660">
        <v>35</v>
      </c>
      <c r="Z38" s="1669">
        <v>6.3</v>
      </c>
      <c r="AA38" s="1660">
        <v>7.82</v>
      </c>
      <c r="AB38" s="1660"/>
      <c r="AC38" s="1660"/>
      <c r="AD38" s="1670">
        <f t="shared" si="23"/>
        <v>23.94875</v>
      </c>
      <c r="AE38" s="1663">
        <f t="shared" si="2"/>
        <v>35.596542035934185</v>
      </c>
      <c r="AF38" s="1671">
        <f t="shared" si="3"/>
        <v>36.401678298256499</v>
      </c>
      <c r="AG38" s="1303">
        <f t="shared" si="4"/>
        <v>1.1533279619642676</v>
      </c>
      <c r="AH38" s="1304">
        <f t="shared" si="5"/>
        <v>1.1794143768635106</v>
      </c>
      <c r="AI38" s="1310">
        <f t="shared" si="6"/>
        <v>600.82474346536446</v>
      </c>
      <c r="AJ38" s="1666">
        <f t="shared" si="7"/>
        <v>508.21832577115214</v>
      </c>
      <c r="AK38" s="1666">
        <f t="shared" si="24"/>
        <v>423.51527147596011</v>
      </c>
      <c r="AL38" s="1666">
        <f t="shared" si="9"/>
        <v>338.81221718076807</v>
      </c>
      <c r="AM38" s="1672">
        <f t="shared" si="10"/>
        <v>3157.4873905837471</v>
      </c>
      <c r="AN38" s="1311">
        <f t="shared" si="11"/>
        <v>2670.8170273258747</v>
      </c>
    </row>
    <row r="39" spans="1:40" ht="12.75" customHeight="1" x14ac:dyDescent="0.2">
      <c r="A39" s="1678">
        <v>6</v>
      </c>
      <c r="B39" s="2524" t="s">
        <v>146</v>
      </c>
      <c r="C39" s="2526" t="s">
        <v>381</v>
      </c>
      <c r="D39" s="1679">
        <v>2.2999999999999998</v>
      </c>
      <c r="E39" s="1696" t="s">
        <v>35</v>
      </c>
      <c r="F39" s="1680" t="s">
        <v>100</v>
      </c>
      <c r="G39" s="2145">
        <f>'СР6 перевод на Баграс'!G5</f>
        <v>8.2869415032183689</v>
      </c>
      <c r="H39" s="2136">
        <f>'СР6 перевод на Баграс'!H5</f>
        <v>9.0895455227238635</v>
      </c>
      <c r="I39" s="2073"/>
      <c r="J39" s="1681">
        <v>9.44</v>
      </c>
      <c r="K39" s="1682"/>
      <c r="L39" s="1682"/>
      <c r="M39" s="1683"/>
      <c r="N39" s="1684"/>
      <c r="O39" s="1685">
        <f t="shared" si="12"/>
        <v>2.3505599999999998</v>
      </c>
      <c r="P39" s="1674">
        <f t="shared" si="13"/>
        <v>3.7759999999999998</v>
      </c>
      <c r="Q39" s="1686">
        <f>SQRT(POWER(O39,2)+POWER(P39+G39,2))</f>
        <v>12.289820585495471</v>
      </c>
      <c r="R39" s="1692">
        <f>SQRT(POWER(O39,2)+POWER(P39+H39,2))</f>
        <v>13.07850885655089</v>
      </c>
      <c r="S39" s="1672">
        <f t="shared" si="0"/>
        <v>1740.2437316485834</v>
      </c>
      <c r="T39" s="1688">
        <f t="shared" si="1"/>
        <v>1414.5343481366028</v>
      </c>
      <c r="U39" s="1689">
        <v>1</v>
      </c>
      <c r="V39" s="1674" t="s">
        <v>193</v>
      </c>
      <c r="W39" s="1674">
        <v>6.3</v>
      </c>
      <c r="X39" s="1660">
        <v>11</v>
      </c>
      <c r="Y39" s="1674">
        <v>35</v>
      </c>
      <c r="Z39" s="1690">
        <v>6.3</v>
      </c>
      <c r="AA39" s="1674">
        <v>7.4</v>
      </c>
      <c r="AB39" s="1674"/>
      <c r="AC39" s="1674"/>
      <c r="AD39" s="1691">
        <f>AA39/100*Y39*Y39/W39</f>
        <v>14.388888888888891</v>
      </c>
      <c r="AE39" s="1685">
        <f t="shared" si="2"/>
        <v>26.556062648789055</v>
      </c>
      <c r="AF39" s="1691">
        <f t="shared" si="3"/>
        <v>27.35560870115124</v>
      </c>
      <c r="AG39" s="1237">
        <f t="shared" si="4"/>
        <v>0.86041642982076538</v>
      </c>
      <c r="AH39" s="1238">
        <f t="shared" si="5"/>
        <v>0.8863217219173003</v>
      </c>
      <c r="AI39" s="1693">
        <f t="shared" si="6"/>
        <v>805.36348779737</v>
      </c>
      <c r="AJ39" s="1672">
        <f t="shared" si="7"/>
        <v>676.2781337496408</v>
      </c>
      <c r="AK39" s="1672">
        <f>AJ39/1.2</f>
        <v>563.56511145803404</v>
      </c>
      <c r="AL39" s="1672">
        <f t="shared" si="9"/>
        <v>450.85208916642722</v>
      </c>
      <c r="AM39" s="1672">
        <f t="shared" si="10"/>
        <v>4232.3907016378307</v>
      </c>
      <c r="AN39" s="1694">
        <f t="shared" si="11"/>
        <v>3554.0142164020167</v>
      </c>
    </row>
    <row r="40" spans="1:40" ht="12.75" customHeight="1" thickBot="1" x14ac:dyDescent="0.25">
      <c r="A40" s="1697">
        <v>6</v>
      </c>
      <c r="B40" s="2525"/>
      <c r="C40" s="2527"/>
      <c r="D40" s="1698">
        <v>2.2999999999999998</v>
      </c>
      <c r="E40" s="2077" t="s">
        <v>35</v>
      </c>
      <c r="F40" s="2078" t="s">
        <v>100</v>
      </c>
      <c r="G40" s="2139">
        <f>'СР6 перевод на Баграс'!G6</f>
        <v>8.2967555031037516</v>
      </c>
      <c r="H40" s="2146">
        <f>'СР6 перевод на Баграс'!H6</f>
        <v>9.1031996394772428</v>
      </c>
      <c r="I40" s="2074"/>
      <c r="J40" s="1700">
        <v>9.34</v>
      </c>
      <c r="K40" s="1701"/>
      <c r="L40" s="1701"/>
      <c r="M40" s="1702"/>
      <c r="N40" s="1703"/>
      <c r="O40" s="1704">
        <f t="shared" si="12"/>
        <v>2.3256600000000001</v>
      </c>
      <c r="P40" s="1699">
        <f t="shared" si="13"/>
        <v>3.7360000000000002</v>
      </c>
      <c r="Q40" s="1705">
        <f>SQRT(POWER(O40,2)+POWER(P40+G40,2))</f>
        <v>12.255443665289055</v>
      </c>
      <c r="R40" s="1706">
        <f>SQRT(POWER(O40,2)+POWER(P40+H40,2))</f>
        <v>13.048131736687541</v>
      </c>
      <c r="S40" s="1707">
        <f t="shared" si="0"/>
        <v>1745.1251722178906</v>
      </c>
      <c r="T40" s="1708">
        <f t="shared" si="1"/>
        <v>1417.8275000077901</v>
      </c>
      <c r="U40" s="1709">
        <v>2</v>
      </c>
      <c r="V40" s="1699" t="s">
        <v>193</v>
      </c>
      <c r="W40" s="1699">
        <v>6.3</v>
      </c>
      <c r="X40" s="1699">
        <v>11</v>
      </c>
      <c r="Y40" s="1699">
        <v>35</v>
      </c>
      <c r="Z40" s="1710">
        <v>6.3</v>
      </c>
      <c r="AA40" s="1699">
        <v>7.9</v>
      </c>
      <c r="AB40" s="1699"/>
      <c r="AC40" s="1699"/>
      <c r="AD40" s="1711">
        <f>AA40/100*Y40*Y40/W40</f>
        <v>15.361111111111112</v>
      </c>
      <c r="AE40" s="1704">
        <f t="shared" si="2"/>
        <v>27.49241027107292</v>
      </c>
      <c r="AF40" s="1711">
        <f t="shared" si="3"/>
        <v>28.296046028824399</v>
      </c>
      <c r="AG40" s="1712">
        <f t="shared" si="4"/>
        <v>0.89075409278276252</v>
      </c>
      <c r="AH40" s="1713">
        <f t="shared" si="5"/>
        <v>0.91679189133391059</v>
      </c>
      <c r="AI40" s="1714">
        <f t="shared" si="6"/>
        <v>777.93409257745509</v>
      </c>
      <c r="AJ40" s="1707">
        <f t="shared" si="7"/>
        <v>653.80159408684028</v>
      </c>
      <c r="AK40" s="1707">
        <f>AJ40/1.2</f>
        <v>544.83466173903355</v>
      </c>
      <c r="AL40" s="1707">
        <f t="shared" si="9"/>
        <v>435.86772939122687</v>
      </c>
      <c r="AM40" s="1707">
        <f t="shared" si="10"/>
        <v>4088.2422282598995</v>
      </c>
      <c r="AN40" s="1715">
        <f t="shared" si="11"/>
        <v>3435.8942632191306</v>
      </c>
    </row>
    <row r="41" spans="1:40" ht="12.75" customHeight="1" x14ac:dyDescent="0.2">
      <c r="A41" s="293">
        <v>6</v>
      </c>
      <c r="B41" s="2528" t="s">
        <v>100</v>
      </c>
      <c r="C41" s="2529" t="s">
        <v>43</v>
      </c>
      <c r="D41" s="1716">
        <v>1.4</v>
      </c>
      <c r="E41" s="1760" t="s">
        <v>602</v>
      </c>
      <c r="F41" s="1761" t="s">
        <v>603</v>
      </c>
      <c r="G41" s="1762">
        <v>14.593499006406928</v>
      </c>
      <c r="H41" s="1763">
        <v>16.3042195842058</v>
      </c>
      <c r="I41" s="1718"/>
      <c r="J41" s="1719">
        <v>6.88</v>
      </c>
      <c r="K41" s="1720"/>
      <c r="L41" s="1720"/>
      <c r="M41" s="1721"/>
      <c r="N41" s="1722"/>
      <c r="O41" s="1723">
        <f t="shared" ref="O41:O48" si="25">0.314*I41+0.249*J41+0.195*K41+0.159*L41+0.06*M41</f>
        <v>1.71312</v>
      </c>
      <c r="P41" s="1717">
        <f t="shared" ref="P41:P48" si="26">0.4*SUM(I41:M41)</f>
        <v>2.7520000000000002</v>
      </c>
      <c r="Q41" s="1724">
        <f>SQRT(POWER(O41,2)+POWER(P41+G41,2))</f>
        <v>17.429891448763062</v>
      </c>
      <c r="R41" s="1725">
        <f>SQRT(POWER(O41,2)+POWER(P41+H41,2))</f>
        <v>19.133067840152258</v>
      </c>
      <c r="S41" s="1726">
        <f t="shared" ref="S41:S48" si="27">37000/1.73/SQRT(POWER((G41+P41),2)+O41*O41)</f>
        <v>1227.0462670329482</v>
      </c>
      <c r="T41" s="1727">
        <f t="shared" ref="T41:T48" si="28">37000/2/SQRT(O41*O41+POWER((H41+P41),2))</f>
        <v>966.91237153177735</v>
      </c>
      <c r="U41" s="1728">
        <v>1</v>
      </c>
      <c r="V41" s="1717" t="s">
        <v>192</v>
      </c>
      <c r="W41" s="1717">
        <v>4</v>
      </c>
      <c r="X41" s="1717">
        <v>11</v>
      </c>
      <c r="Y41" s="1717">
        <v>35</v>
      </c>
      <c r="Z41" s="1729">
        <v>6.3</v>
      </c>
      <c r="AA41" s="1729">
        <v>6.3</v>
      </c>
      <c r="AB41" s="1717"/>
      <c r="AC41" s="1717"/>
      <c r="AD41" s="1730">
        <f>AA41/100*Y41*Y41/W41</f>
        <v>19.293749999999999</v>
      </c>
      <c r="AE41" s="1723">
        <f t="shared" ref="AE41:AE48" si="29">SQRT(POWER(O41,2)+POWER(P41+AD41+G41,2))</f>
        <v>36.679276817951184</v>
      </c>
      <c r="AF41" s="1731">
        <f t="shared" ref="AF41:AF48" si="30">SQRT(POWER(O41,2)+POWER(P41+AD41+H41,2))</f>
        <v>38.388213650076366</v>
      </c>
      <c r="AG41" s="1732">
        <f t="shared" ref="AG41:AG48" si="31">SQRT(POWER((AD41+P41+G41),2)+POWER(O41,2))*POWER(6.3/35,2)</f>
        <v>1.1884085689016184</v>
      </c>
      <c r="AH41" s="1733">
        <f t="shared" ref="AH41:AH48" si="32">SQRT(POWER((H41+P41+AD41),2)+POWER(O41,2))*POWER(6.3/35,2)</f>
        <v>1.2437781222624742</v>
      </c>
      <c r="AI41" s="1734">
        <f t="shared" ref="AI41:AI48" si="33">37000/1.73/SQRT(POWER((G41+P41+AD41),2)+O41*O41)</f>
        <v>583.08901080969736</v>
      </c>
      <c r="AJ41" s="1726">
        <f t="shared" ref="AJ41:AJ48" si="34">37000/2/SQRT(POWER((H41+P41+AD41),2)+O41*O41)</f>
        <v>481.91875164170858</v>
      </c>
      <c r="AK41" s="1726">
        <f>AJ41/1.2</f>
        <v>401.59895970142384</v>
      </c>
      <c r="AL41" s="1726">
        <f t="shared" ref="AL41:AL48" si="35">AJ41/1.5</f>
        <v>321.27916776113904</v>
      </c>
      <c r="AM41" s="1726">
        <f t="shared" ref="AM41:AM48" si="36">6300/(1.73*AG41)</f>
        <v>3064.2815883392504</v>
      </c>
      <c r="AN41" s="1735">
        <f t="shared" ref="AN41:AN48" si="37">6300/(2*AH41)</f>
        <v>2532.6060521711415</v>
      </c>
    </row>
    <row r="42" spans="1:40" ht="12.75" customHeight="1" x14ac:dyDescent="0.2">
      <c r="A42" s="255">
        <v>6</v>
      </c>
      <c r="B42" s="2519"/>
      <c r="C42" s="2521"/>
      <c r="D42" s="1736">
        <v>1.4</v>
      </c>
      <c r="E42" s="1737" t="s">
        <v>602</v>
      </c>
      <c r="F42" s="1738" t="s">
        <v>603</v>
      </c>
      <c r="G42" s="1739">
        <v>14.593499006406928</v>
      </c>
      <c r="H42" s="1740">
        <v>16.3042195842058</v>
      </c>
      <c r="I42" s="1741"/>
      <c r="J42" s="1742">
        <v>6.68</v>
      </c>
      <c r="K42" s="1743"/>
      <c r="L42" s="1743"/>
      <c r="M42" s="1744"/>
      <c r="N42" s="1745"/>
      <c r="O42" s="1746">
        <f t="shared" si="25"/>
        <v>1.6633199999999999</v>
      </c>
      <c r="P42" s="1739">
        <f t="shared" si="26"/>
        <v>2.6720000000000002</v>
      </c>
      <c r="Q42" s="1747">
        <f>SQRT(POWER(O42,2)+POWER(P42+G42,2))</f>
        <v>17.345434251198167</v>
      </c>
      <c r="R42" s="1638">
        <f>SQRT(POWER(O42,2)+POWER(P42+H42,2))</f>
        <v>19.048977482542096</v>
      </c>
      <c r="S42" s="1748">
        <f t="shared" si="27"/>
        <v>1233.020916470676</v>
      </c>
      <c r="T42" s="1749">
        <f t="shared" si="28"/>
        <v>971.18073749390385</v>
      </c>
      <c r="U42" s="1750">
        <v>2</v>
      </c>
      <c r="V42" s="1739" t="s">
        <v>192</v>
      </c>
      <c r="W42" s="1739">
        <v>4</v>
      </c>
      <c r="X42" s="1739">
        <v>11</v>
      </c>
      <c r="Y42" s="1739">
        <v>35</v>
      </c>
      <c r="Z42" s="1751">
        <v>6.3</v>
      </c>
      <c r="AA42" s="1751">
        <v>6.14</v>
      </c>
      <c r="AB42" s="1739"/>
      <c r="AC42" s="1739"/>
      <c r="AD42" s="1752">
        <f>AA42/100*Y42*Y42/W42</f>
        <v>18.803750000000001</v>
      </c>
      <c r="AE42" s="1746">
        <f t="shared" si="29"/>
        <v>36.107580330293352</v>
      </c>
      <c r="AF42" s="1753">
        <f t="shared" si="30"/>
        <v>37.816566941036776</v>
      </c>
      <c r="AG42" s="1754">
        <f t="shared" si="31"/>
        <v>1.1698856027015045</v>
      </c>
      <c r="AH42" s="1755">
        <f t="shared" si="32"/>
        <v>1.2252567688895915</v>
      </c>
      <c r="AI42" s="1756">
        <f t="shared" si="33"/>
        <v>592.3211425787739</v>
      </c>
      <c r="AJ42" s="1748">
        <f t="shared" si="34"/>
        <v>489.20358182817125</v>
      </c>
      <c r="AK42" s="1748">
        <f>AJ42/1.2</f>
        <v>407.66965152347603</v>
      </c>
      <c r="AL42" s="1748">
        <f t="shared" si="35"/>
        <v>326.13572121878082</v>
      </c>
      <c r="AM42" s="1757">
        <f t="shared" si="36"/>
        <v>3112.7987973358991</v>
      </c>
      <c r="AN42" s="1758">
        <f t="shared" si="37"/>
        <v>2570.8896942921915</v>
      </c>
    </row>
    <row r="43" spans="1:40" ht="12.75" customHeight="1" x14ac:dyDescent="0.2">
      <c r="A43" s="254">
        <v>6</v>
      </c>
      <c r="B43" s="2518" t="s">
        <v>140</v>
      </c>
      <c r="C43" s="2520" t="s">
        <v>43</v>
      </c>
      <c r="D43" s="1759">
        <v>1.4</v>
      </c>
      <c r="E43" s="1760" t="s">
        <v>602</v>
      </c>
      <c r="F43" s="1761" t="s">
        <v>603</v>
      </c>
      <c r="G43" s="1762">
        <v>14.593499006406928</v>
      </c>
      <c r="H43" s="1763">
        <v>16.3042195842058</v>
      </c>
      <c r="I43" s="1764"/>
      <c r="J43" s="1765">
        <v>11.28</v>
      </c>
      <c r="K43" s="1766"/>
      <c r="L43" s="1766"/>
      <c r="M43" s="1767"/>
      <c r="N43" s="1768"/>
      <c r="O43" s="1769">
        <f t="shared" si="25"/>
        <v>2.8087199999999997</v>
      </c>
      <c r="P43" s="1762">
        <f t="shared" si="26"/>
        <v>4.5119999999999996</v>
      </c>
      <c r="Q43" s="1770">
        <f t="shared" ref="Q43:Q48" si="38">SQRT(POWER(O43,2)+POWER(P43+G43,2))</f>
        <v>19.310851879764808</v>
      </c>
      <c r="R43" s="1771">
        <f t="shared" ref="R43:R48" si="39">SQRT(POWER(O43,2)+POWER(P43+H43,2))</f>
        <v>21.004854339325306</v>
      </c>
      <c r="S43" s="1757">
        <f t="shared" si="27"/>
        <v>1107.5266575580351</v>
      </c>
      <c r="T43" s="1772">
        <f t="shared" si="28"/>
        <v>880.74878792966842</v>
      </c>
      <c r="U43" s="1773">
        <v>1</v>
      </c>
      <c r="V43" s="1762" t="s">
        <v>50</v>
      </c>
      <c r="W43" s="1762">
        <v>6.3</v>
      </c>
      <c r="X43" s="1762">
        <v>11</v>
      </c>
      <c r="Y43" s="1762">
        <v>35</v>
      </c>
      <c r="Z43" s="1774">
        <v>6.3</v>
      </c>
      <c r="AA43" s="1774">
        <v>7.6</v>
      </c>
      <c r="AB43" s="1762"/>
      <c r="AC43" s="1762">
        <v>5</v>
      </c>
      <c r="AD43" s="1775">
        <f t="shared" ref="AD43:AD48" si="40">AA43/100*Y43*Y43/W43</f>
        <v>14.77777777777778</v>
      </c>
      <c r="AE43" s="1769">
        <f t="shared" si="29"/>
        <v>33.999490491359872</v>
      </c>
      <c r="AF43" s="1776">
        <f t="shared" si="30"/>
        <v>35.704643342894407</v>
      </c>
      <c r="AG43" s="1777">
        <f t="shared" si="31"/>
        <v>1.1015834919200598</v>
      </c>
      <c r="AH43" s="1778">
        <f t="shared" si="32"/>
        <v>1.1568304443097788</v>
      </c>
      <c r="AI43" s="1779">
        <f t="shared" si="33"/>
        <v>629.04716888122982</v>
      </c>
      <c r="AJ43" s="1757">
        <f t="shared" si="34"/>
        <v>518.13989072325217</v>
      </c>
      <c r="AK43" s="1757">
        <f t="shared" ref="AK43:AK48" si="41">AJ43/1.2</f>
        <v>431.78324226937684</v>
      </c>
      <c r="AL43" s="1757">
        <f t="shared" si="35"/>
        <v>345.42659381550146</v>
      </c>
      <c r="AM43" s="1757">
        <f t="shared" si="36"/>
        <v>3305.8034400665229</v>
      </c>
      <c r="AN43" s="1780">
        <f t="shared" si="37"/>
        <v>2722.9573836807544</v>
      </c>
    </row>
    <row r="44" spans="1:40" ht="12.75" customHeight="1" x14ac:dyDescent="0.2">
      <c r="A44" s="255">
        <v>6</v>
      </c>
      <c r="B44" s="2519"/>
      <c r="C44" s="2521"/>
      <c r="D44" s="1736">
        <v>1.4</v>
      </c>
      <c r="E44" s="1760" t="s">
        <v>602</v>
      </c>
      <c r="F44" s="1761" t="s">
        <v>603</v>
      </c>
      <c r="G44" s="1739">
        <v>14.593499006406928</v>
      </c>
      <c r="H44" s="1781">
        <v>16.3042195842058</v>
      </c>
      <c r="I44" s="1764"/>
      <c r="J44" s="1765">
        <v>11.08</v>
      </c>
      <c r="K44" s="1766"/>
      <c r="L44" s="1766"/>
      <c r="M44" s="1767"/>
      <c r="N44" s="1768"/>
      <c r="O44" s="1769">
        <f t="shared" si="25"/>
        <v>2.7589199999999998</v>
      </c>
      <c r="P44" s="1762">
        <f t="shared" si="26"/>
        <v>4.4320000000000004</v>
      </c>
      <c r="Q44" s="1770">
        <f t="shared" si="38"/>
        <v>19.22449614448168</v>
      </c>
      <c r="R44" s="1771">
        <f t="shared" si="39"/>
        <v>20.918949357240678</v>
      </c>
      <c r="S44" s="1757">
        <f t="shared" si="27"/>
        <v>1112.5016268961285</v>
      </c>
      <c r="T44" s="1772">
        <f t="shared" si="28"/>
        <v>884.36563825785993</v>
      </c>
      <c r="U44" s="1773">
        <v>2</v>
      </c>
      <c r="V44" s="1762" t="s">
        <v>50</v>
      </c>
      <c r="W44" s="1762">
        <v>6.3</v>
      </c>
      <c r="X44" s="1739">
        <v>11</v>
      </c>
      <c r="Y44" s="1762">
        <v>35</v>
      </c>
      <c r="Z44" s="1774">
        <v>6.3</v>
      </c>
      <c r="AA44" s="1774">
        <v>7.6</v>
      </c>
      <c r="AB44" s="1762"/>
      <c r="AC44" s="1762">
        <v>5</v>
      </c>
      <c r="AD44" s="1775">
        <f t="shared" si="40"/>
        <v>14.77777777777778</v>
      </c>
      <c r="AE44" s="1769">
        <f t="shared" si="29"/>
        <v>33.915677214447612</v>
      </c>
      <c r="AF44" s="1776">
        <f t="shared" si="30"/>
        <v>35.621000100971017</v>
      </c>
      <c r="AG44" s="1777">
        <f t="shared" si="31"/>
        <v>1.0988679417481027</v>
      </c>
      <c r="AH44" s="1778">
        <f t="shared" si="32"/>
        <v>1.1541204032714607</v>
      </c>
      <c r="AI44" s="1779">
        <f t="shared" si="33"/>
        <v>630.60168611003087</v>
      </c>
      <c r="AJ44" s="1757">
        <f t="shared" si="34"/>
        <v>519.35655786081372</v>
      </c>
      <c r="AK44" s="1748">
        <f t="shared" si="41"/>
        <v>432.7971315506781</v>
      </c>
      <c r="AL44" s="1748">
        <f t="shared" si="35"/>
        <v>346.23770524054248</v>
      </c>
      <c r="AM44" s="1757">
        <f t="shared" si="36"/>
        <v>3313.9728249025648</v>
      </c>
      <c r="AN44" s="1758">
        <f t="shared" si="37"/>
        <v>2729.3512800493213</v>
      </c>
    </row>
    <row r="45" spans="1:40" ht="12.75" customHeight="1" x14ac:dyDescent="0.2">
      <c r="A45" s="255">
        <v>6</v>
      </c>
      <c r="B45" s="2518" t="s">
        <v>134</v>
      </c>
      <c r="C45" s="2520" t="s">
        <v>43</v>
      </c>
      <c r="D45" s="1736">
        <v>1.4</v>
      </c>
      <c r="E45" s="1737" t="s">
        <v>602</v>
      </c>
      <c r="F45" s="1761" t="s">
        <v>603</v>
      </c>
      <c r="G45" s="1762">
        <v>14.593499006406928</v>
      </c>
      <c r="H45" s="1763">
        <v>16.3042195842058</v>
      </c>
      <c r="I45" s="1741"/>
      <c r="J45" s="1742">
        <v>5.47</v>
      </c>
      <c r="K45" s="1743"/>
      <c r="L45" s="1743"/>
      <c r="M45" s="1744"/>
      <c r="N45" s="1745"/>
      <c r="O45" s="1746">
        <f t="shared" si="25"/>
        <v>1.3620299999999999</v>
      </c>
      <c r="P45" s="1739">
        <f t="shared" si="26"/>
        <v>2.1880000000000002</v>
      </c>
      <c r="Q45" s="1747">
        <f t="shared" si="38"/>
        <v>16.83668122353502</v>
      </c>
      <c r="R45" s="1638">
        <f t="shared" si="39"/>
        <v>18.542311368094982</v>
      </c>
      <c r="S45" s="1748">
        <f t="shared" si="27"/>
        <v>1270.2790385493654</v>
      </c>
      <c r="T45" s="1749">
        <f t="shared" si="28"/>
        <v>997.71811791663765</v>
      </c>
      <c r="U45" s="1750">
        <v>1</v>
      </c>
      <c r="V45" s="1739" t="s">
        <v>192</v>
      </c>
      <c r="W45" s="1739">
        <v>4</v>
      </c>
      <c r="X45" s="1739">
        <v>11</v>
      </c>
      <c r="Y45" s="1739">
        <v>35</v>
      </c>
      <c r="Z45" s="1751">
        <v>6.3</v>
      </c>
      <c r="AA45" s="1751">
        <v>6.2</v>
      </c>
      <c r="AB45" s="1739"/>
      <c r="AC45" s="1739"/>
      <c r="AD45" s="1752">
        <f t="shared" si="40"/>
        <v>18.987500000000001</v>
      </c>
      <c r="AE45" s="1746">
        <f t="shared" si="29"/>
        <v>35.794921645971513</v>
      </c>
      <c r="AF45" s="1753">
        <f t="shared" si="30"/>
        <v>37.504459812555623</v>
      </c>
      <c r="AG45" s="1754">
        <f t="shared" si="31"/>
        <v>1.1597554613294769</v>
      </c>
      <c r="AH45" s="1755">
        <f t="shared" si="32"/>
        <v>1.2151444979268022</v>
      </c>
      <c r="AI45" s="1756">
        <f t="shared" si="33"/>
        <v>597.49490300675711</v>
      </c>
      <c r="AJ45" s="1748">
        <f t="shared" si="34"/>
        <v>493.27466899834212</v>
      </c>
      <c r="AK45" s="1748">
        <f t="shared" si="41"/>
        <v>411.0622241652851</v>
      </c>
      <c r="AL45" s="1748">
        <f t="shared" si="35"/>
        <v>328.84977933222808</v>
      </c>
      <c r="AM45" s="1757">
        <f t="shared" si="36"/>
        <v>3139.9882290144897</v>
      </c>
      <c r="AN45" s="1758">
        <f t="shared" si="37"/>
        <v>2592.2842965378341</v>
      </c>
    </row>
    <row r="46" spans="1:40" ht="12.75" customHeight="1" x14ac:dyDescent="0.2">
      <c r="A46" s="255">
        <v>6</v>
      </c>
      <c r="B46" s="2519"/>
      <c r="C46" s="2521"/>
      <c r="D46" s="1736">
        <v>1.4</v>
      </c>
      <c r="E46" s="1737" t="s">
        <v>602</v>
      </c>
      <c r="F46" s="1761" t="s">
        <v>603</v>
      </c>
      <c r="G46" s="1739">
        <v>14.593499006406928</v>
      </c>
      <c r="H46" s="1740">
        <v>16.3042195842058</v>
      </c>
      <c r="I46" s="1741"/>
      <c r="J46" s="1742">
        <v>5.0199999999999996</v>
      </c>
      <c r="K46" s="1743"/>
      <c r="L46" s="1743"/>
      <c r="M46" s="1744"/>
      <c r="N46" s="1745"/>
      <c r="O46" s="1746">
        <f t="shared" si="25"/>
        <v>1.2499799999999999</v>
      </c>
      <c r="P46" s="1739">
        <f t="shared" si="26"/>
        <v>2.008</v>
      </c>
      <c r="Q46" s="1747">
        <f t="shared" si="38"/>
        <v>16.648489999400255</v>
      </c>
      <c r="R46" s="1638">
        <f t="shared" si="39"/>
        <v>18.354831410300953</v>
      </c>
      <c r="S46" s="1748">
        <f t="shared" si="27"/>
        <v>1284.6380204910281</v>
      </c>
      <c r="T46" s="1749">
        <f t="shared" si="28"/>
        <v>1007.9090124258825</v>
      </c>
      <c r="U46" s="1750">
        <v>2</v>
      </c>
      <c r="V46" s="1739" t="s">
        <v>192</v>
      </c>
      <c r="W46" s="1739">
        <v>4</v>
      </c>
      <c r="X46" s="1739">
        <v>11</v>
      </c>
      <c r="Y46" s="1739">
        <v>35</v>
      </c>
      <c r="Z46" s="1751">
        <v>6.3</v>
      </c>
      <c r="AA46" s="1751">
        <v>6.35</v>
      </c>
      <c r="AB46" s="1739"/>
      <c r="AC46" s="1739"/>
      <c r="AD46" s="1752">
        <f t="shared" si="40"/>
        <v>19.446875000000002</v>
      </c>
      <c r="AE46" s="1746">
        <f t="shared" si="29"/>
        <v>36.070039069928868</v>
      </c>
      <c r="AF46" s="1753">
        <f t="shared" si="30"/>
        <v>37.779778636453123</v>
      </c>
      <c r="AG46" s="1754">
        <f t="shared" si="31"/>
        <v>1.1686692658656952</v>
      </c>
      <c r="AH46" s="1755">
        <f t="shared" si="32"/>
        <v>1.2240648278210811</v>
      </c>
      <c r="AI46" s="1756">
        <f t="shared" si="33"/>
        <v>592.93762325931402</v>
      </c>
      <c r="AJ46" s="1748">
        <f t="shared" si="34"/>
        <v>489.6799469902038</v>
      </c>
      <c r="AK46" s="1748">
        <f t="shared" si="41"/>
        <v>408.06662249183654</v>
      </c>
      <c r="AL46" s="1748">
        <f t="shared" si="35"/>
        <v>326.45329799346922</v>
      </c>
      <c r="AM46" s="1757">
        <f t="shared" si="36"/>
        <v>3116.0385606720711</v>
      </c>
      <c r="AN46" s="1758">
        <f t="shared" si="37"/>
        <v>2573.3931148133838</v>
      </c>
    </row>
    <row r="47" spans="1:40" ht="12.75" customHeight="1" x14ac:dyDescent="0.2">
      <c r="A47" s="255">
        <v>6</v>
      </c>
      <c r="B47" s="2518" t="s">
        <v>145</v>
      </c>
      <c r="C47" s="2520" t="s">
        <v>341</v>
      </c>
      <c r="D47" s="1736">
        <v>1.4</v>
      </c>
      <c r="E47" s="1737" t="s">
        <v>602</v>
      </c>
      <c r="F47" s="1761" t="s">
        <v>603</v>
      </c>
      <c r="G47" s="1762">
        <v>14.593499006406928</v>
      </c>
      <c r="H47" s="1763">
        <v>16.3042195842058</v>
      </c>
      <c r="I47" s="1741"/>
      <c r="J47" s="1742">
        <v>8.43</v>
      </c>
      <c r="K47" s="1743"/>
      <c r="L47" s="1743"/>
      <c r="M47" s="1744"/>
      <c r="N47" s="1745"/>
      <c r="O47" s="1746">
        <f t="shared" si="25"/>
        <v>2.0990699999999998</v>
      </c>
      <c r="P47" s="1739">
        <f t="shared" si="26"/>
        <v>3.3719999999999999</v>
      </c>
      <c r="Q47" s="1747">
        <f t="shared" si="38"/>
        <v>18.087709899655852</v>
      </c>
      <c r="R47" s="1638">
        <f t="shared" si="39"/>
        <v>19.787867797991371</v>
      </c>
      <c r="S47" s="1748">
        <f t="shared" si="27"/>
        <v>1182.4207351645521</v>
      </c>
      <c r="T47" s="1749">
        <f t="shared" si="28"/>
        <v>934.91629259206491</v>
      </c>
      <c r="U47" s="1750">
        <v>1</v>
      </c>
      <c r="V47" s="1739" t="s">
        <v>122</v>
      </c>
      <c r="W47" s="1739">
        <v>4</v>
      </c>
      <c r="X47" s="1739">
        <v>11</v>
      </c>
      <c r="Y47" s="1739">
        <v>35</v>
      </c>
      <c r="Z47" s="1751">
        <v>6.3</v>
      </c>
      <c r="AA47" s="1739">
        <v>7.4</v>
      </c>
      <c r="AB47" s="1739"/>
      <c r="AC47" s="1739"/>
      <c r="AD47" s="1752">
        <f t="shared" si="40"/>
        <v>22.662500000000001</v>
      </c>
      <c r="AE47" s="1746">
        <f t="shared" si="29"/>
        <v>40.682187725459194</v>
      </c>
      <c r="AF47" s="1753">
        <f t="shared" si="30"/>
        <v>42.390721518923364</v>
      </c>
      <c r="AG47" s="1754">
        <f t="shared" si="31"/>
        <v>1.3181028823048777</v>
      </c>
      <c r="AH47" s="1755">
        <f t="shared" si="32"/>
        <v>1.3734593772131169</v>
      </c>
      <c r="AI47" s="1756">
        <f t="shared" si="33"/>
        <v>525.71615325421419</v>
      </c>
      <c r="AJ47" s="1748">
        <f t="shared" si="34"/>
        <v>436.41625660326486</v>
      </c>
      <c r="AK47" s="1748">
        <f t="shared" si="41"/>
        <v>363.68021383605407</v>
      </c>
      <c r="AL47" s="1748">
        <f t="shared" si="35"/>
        <v>290.94417106884322</v>
      </c>
      <c r="AM47" s="1757">
        <f t="shared" si="36"/>
        <v>2762.772577161787</v>
      </c>
      <c r="AN47" s="1758">
        <f t="shared" si="37"/>
        <v>2293.4788259931338</v>
      </c>
    </row>
    <row r="48" spans="1:40" ht="12.75" customHeight="1" thickBot="1" x14ac:dyDescent="0.25">
      <c r="A48" s="255">
        <v>6</v>
      </c>
      <c r="B48" s="2519"/>
      <c r="C48" s="2521"/>
      <c r="D48" s="1736">
        <v>1.4</v>
      </c>
      <c r="E48" s="1737" t="s">
        <v>602</v>
      </c>
      <c r="F48" s="1761" t="s">
        <v>603</v>
      </c>
      <c r="G48" s="1739">
        <v>14.593499006406928</v>
      </c>
      <c r="H48" s="1740">
        <v>16.3042195842058</v>
      </c>
      <c r="I48" s="1741"/>
      <c r="J48" s="1742">
        <v>8.23</v>
      </c>
      <c r="K48" s="1743"/>
      <c r="L48" s="1743"/>
      <c r="M48" s="1744"/>
      <c r="N48" s="1745"/>
      <c r="O48" s="1746">
        <f t="shared" si="25"/>
        <v>2.0492699999999999</v>
      </c>
      <c r="P48" s="1739">
        <f t="shared" si="26"/>
        <v>3.2920000000000003</v>
      </c>
      <c r="Q48" s="1747">
        <f t="shared" si="38"/>
        <v>18.002515997523325</v>
      </c>
      <c r="R48" s="1638">
        <f t="shared" si="39"/>
        <v>19.703079188931639</v>
      </c>
      <c r="S48" s="1748">
        <f t="shared" si="27"/>
        <v>1188.0163439341784</v>
      </c>
      <c r="T48" s="1749">
        <f t="shared" si="28"/>
        <v>938.93953440498387</v>
      </c>
      <c r="U48" s="1750">
        <v>2</v>
      </c>
      <c r="V48" s="1739" t="s">
        <v>122</v>
      </c>
      <c r="W48" s="1739">
        <v>4</v>
      </c>
      <c r="X48" s="1739">
        <v>11</v>
      </c>
      <c r="Y48" s="1739">
        <v>35</v>
      </c>
      <c r="Z48" s="1751">
        <v>6.3</v>
      </c>
      <c r="AA48" s="1739">
        <v>7.82</v>
      </c>
      <c r="AB48" s="1739"/>
      <c r="AC48" s="1739"/>
      <c r="AD48" s="1752">
        <f t="shared" si="40"/>
        <v>23.94875</v>
      </c>
      <c r="AE48" s="1746">
        <f t="shared" si="29"/>
        <v>41.884411150963544</v>
      </c>
      <c r="AF48" s="1753">
        <f t="shared" si="30"/>
        <v>43.593163266988419</v>
      </c>
      <c r="AG48" s="1754">
        <f t="shared" si="31"/>
        <v>1.3570549212912189</v>
      </c>
      <c r="AH48" s="1755">
        <f t="shared" si="32"/>
        <v>1.4124184898504246</v>
      </c>
      <c r="AI48" s="1756">
        <f t="shared" si="33"/>
        <v>510.6263320715733</v>
      </c>
      <c r="AJ48" s="1748">
        <f t="shared" si="34"/>
        <v>424.37847161252932</v>
      </c>
      <c r="AK48" s="1748">
        <f t="shared" si="41"/>
        <v>353.64872634377446</v>
      </c>
      <c r="AL48" s="1748">
        <f t="shared" si="35"/>
        <v>282.91898107501953</v>
      </c>
      <c r="AM48" s="1757">
        <f t="shared" si="36"/>
        <v>2683.4717150908509</v>
      </c>
      <c r="AN48" s="1758">
        <f t="shared" si="37"/>
        <v>2230.2171931589382</v>
      </c>
    </row>
    <row r="49" spans="1:40" ht="12.75" customHeight="1" x14ac:dyDescent="0.2">
      <c r="A49" s="816">
        <v>6</v>
      </c>
      <c r="B49" s="2383" t="s">
        <v>168</v>
      </c>
      <c r="C49" s="2494" t="s">
        <v>341</v>
      </c>
      <c r="D49" s="454">
        <v>2.2999999999999998</v>
      </c>
      <c r="E49" s="487" t="s">
        <v>35</v>
      </c>
      <c r="F49" s="420" t="s">
        <v>197</v>
      </c>
      <c r="G49" s="421">
        <v>6.3479999999999999</v>
      </c>
      <c r="H49" s="457">
        <v>6.79</v>
      </c>
      <c r="I49" s="423"/>
      <c r="J49" s="424">
        <v>22.99</v>
      </c>
      <c r="K49" s="425"/>
      <c r="L49" s="425"/>
      <c r="M49" s="426"/>
      <c r="N49" s="774">
        <v>0.6</v>
      </c>
      <c r="O49" s="533">
        <f t="shared" ref="O49:O60" si="42">0.314*I49+0.249*J49+0.195*K49+0.159*L49+0.06*M49+0.025*N49</f>
        <v>5.7395099999999992</v>
      </c>
      <c r="P49" s="421">
        <f t="shared" ref="P49:P60" si="43">0.4*SUM(I49:M49)+0.04725*N49</f>
        <v>9.2243499999999994</v>
      </c>
      <c r="Q49" s="458">
        <f t="shared" ref="Q49:Q60" si="44">SQRT(POWER(O49,2)+POWER(P49+G49,2))</f>
        <v>16.596386943024676</v>
      </c>
      <c r="R49" s="431">
        <f t="shared" ref="R49:R60" si="45">SQRT(POWER(O49,2)+POWER(P49+H49,2))</f>
        <v>17.011801226284064</v>
      </c>
      <c r="S49" s="448">
        <f t="shared" si="0"/>
        <v>1288.6710408968331</v>
      </c>
      <c r="T49" s="1039">
        <f t="shared" si="1"/>
        <v>1087.480376352893</v>
      </c>
      <c r="U49" s="608">
        <v>1</v>
      </c>
      <c r="V49" s="421" t="s">
        <v>195</v>
      </c>
      <c r="W49" s="900">
        <v>6.3</v>
      </c>
      <c r="X49" s="421">
        <v>11</v>
      </c>
      <c r="Y49" s="900">
        <v>35</v>
      </c>
      <c r="Z49" s="901">
        <v>6.3</v>
      </c>
      <c r="AA49" s="900">
        <v>8.1300000000000008</v>
      </c>
      <c r="AB49" s="421"/>
      <c r="AC49" s="421">
        <v>5</v>
      </c>
      <c r="AD49" s="525">
        <f t="shared" ref="AD49:AD60" si="46">AA49/100*Y49*Y49/W49</f>
        <v>15.808333333333335</v>
      </c>
      <c r="AE49" s="902">
        <f t="shared" si="2"/>
        <v>31.901242319180056</v>
      </c>
      <c r="AF49" s="903">
        <f t="shared" si="3"/>
        <v>32.336127621805787</v>
      </c>
      <c r="AG49" s="139">
        <f t="shared" si="4"/>
        <v>1.0336002511414337</v>
      </c>
      <c r="AH49" s="140">
        <f t="shared" si="5"/>
        <v>1.0476905349465073</v>
      </c>
      <c r="AI49" s="514">
        <f t="shared" si="6"/>
        <v>670.42164135832081</v>
      </c>
      <c r="AJ49" s="448">
        <f t="shared" si="7"/>
        <v>572.11550549189974</v>
      </c>
      <c r="AK49" s="448">
        <f t="shared" ref="AK49:AK60" si="47">AJ49/1.2</f>
        <v>476.76292124324982</v>
      </c>
      <c r="AL49" s="448">
        <f t="shared" si="9"/>
        <v>381.41033699459985</v>
      </c>
      <c r="AM49" s="448">
        <f t="shared" si="10"/>
        <v>3523.23685398517</v>
      </c>
      <c r="AN49" s="449">
        <f t="shared" si="11"/>
        <v>3006.6130168493237</v>
      </c>
    </row>
    <row r="50" spans="1:40" ht="12.75" customHeight="1" x14ac:dyDescent="0.2">
      <c r="A50" s="940">
        <v>6</v>
      </c>
      <c r="B50" s="2480"/>
      <c r="C50" s="2495"/>
      <c r="D50" s="460">
        <v>2.2999999999999998</v>
      </c>
      <c r="E50" s="488" t="s">
        <v>35</v>
      </c>
      <c r="F50" s="413" t="s">
        <v>197</v>
      </c>
      <c r="G50" s="890">
        <v>6.3479999999999999</v>
      </c>
      <c r="H50" s="948">
        <v>6.79</v>
      </c>
      <c r="I50" s="485"/>
      <c r="J50" s="464">
        <v>22.99</v>
      </c>
      <c r="K50" s="781"/>
      <c r="L50" s="781"/>
      <c r="M50" s="782"/>
      <c r="N50" s="928">
        <v>0.6</v>
      </c>
      <c r="O50" s="892">
        <f t="shared" si="42"/>
        <v>5.7395099999999992</v>
      </c>
      <c r="P50" s="890">
        <f t="shared" si="43"/>
        <v>9.2243499999999994</v>
      </c>
      <c r="Q50" s="414">
        <f t="shared" si="44"/>
        <v>16.596386943024676</v>
      </c>
      <c r="R50" s="417">
        <f t="shared" si="45"/>
        <v>17.011801226284064</v>
      </c>
      <c r="S50" s="415">
        <f t="shared" si="0"/>
        <v>1288.6710408968331</v>
      </c>
      <c r="T50" s="480">
        <f t="shared" si="1"/>
        <v>1087.480376352893</v>
      </c>
      <c r="U50" s="609">
        <v>2</v>
      </c>
      <c r="V50" s="416" t="s">
        <v>195</v>
      </c>
      <c r="W50" s="895">
        <v>6.3</v>
      </c>
      <c r="X50" s="416">
        <v>11</v>
      </c>
      <c r="Y50" s="895">
        <v>35</v>
      </c>
      <c r="Z50" s="896">
        <v>6.3</v>
      </c>
      <c r="AA50" s="895">
        <v>8.1300000000000008</v>
      </c>
      <c r="AB50" s="416"/>
      <c r="AC50" s="416">
        <v>5</v>
      </c>
      <c r="AD50" s="526">
        <f t="shared" si="46"/>
        <v>15.808333333333335</v>
      </c>
      <c r="AE50" s="897">
        <f t="shared" si="2"/>
        <v>31.901242319180056</v>
      </c>
      <c r="AF50" s="898">
        <f t="shared" si="3"/>
        <v>32.336127621805787</v>
      </c>
      <c r="AG50" s="157">
        <f t="shared" si="4"/>
        <v>1.0336002511414337</v>
      </c>
      <c r="AH50" s="158">
        <f t="shared" si="5"/>
        <v>1.0476905349465073</v>
      </c>
      <c r="AI50" s="515">
        <f t="shared" si="6"/>
        <v>670.42164135832081</v>
      </c>
      <c r="AJ50" s="415">
        <f t="shared" si="7"/>
        <v>572.11550549189974</v>
      </c>
      <c r="AK50" s="415">
        <f t="shared" si="47"/>
        <v>476.76292124324982</v>
      </c>
      <c r="AL50" s="415">
        <f t="shared" si="9"/>
        <v>381.41033699459985</v>
      </c>
      <c r="AM50" s="446">
        <f t="shared" si="10"/>
        <v>3523.23685398517</v>
      </c>
      <c r="AN50" s="481">
        <f t="shared" si="11"/>
        <v>3006.6130168493237</v>
      </c>
    </row>
    <row r="51" spans="1:40" ht="12.75" customHeight="1" x14ac:dyDescent="0.2">
      <c r="A51" s="940">
        <v>6</v>
      </c>
      <c r="B51" s="2481" t="s">
        <v>167</v>
      </c>
      <c r="C51" s="2494" t="s">
        <v>43</v>
      </c>
      <c r="D51" s="460">
        <v>2.2999999999999998</v>
      </c>
      <c r="E51" s="488" t="s">
        <v>35</v>
      </c>
      <c r="F51" s="899" t="s">
        <v>197</v>
      </c>
      <c r="G51" s="890">
        <v>6.3479999999999999</v>
      </c>
      <c r="H51" s="948">
        <v>6.79</v>
      </c>
      <c r="I51" s="485"/>
      <c r="J51" s="464">
        <v>22.41</v>
      </c>
      <c r="K51" s="781"/>
      <c r="L51" s="781"/>
      <c r="M51" s="782"/>
      <c r="N51" s="928">
        <v>0.6</v>
      </c>
      <c r="O51" s="892">
        <f t="shared" si="42"/>
        <v>5.5950899999999999</v>
      </c>
      <c r="P51" s="890">
        <f t="shared" si="43"/>
        <v>8.9923500000000001</v>
      </c>
      <c r="Q51" s="414">
        <f t="shared" si="44"/>
        <v>16.328850854564141</v>
      </c>
      <c r="R51" s="417">
        <f t="shared" si="45"/>
        <v>16.744778398969633</v>
      </c>
      <c r="S51" s="415">
        <f t="shared" si="0"/>
        <v>1309.7849583834111</v>
      </c>
      <c r="T51" s="480">
        <f t="shared" si="1"/>
        <v>1104.8220262585482</v>
      </c>
      <c r="U51" s="609">
        <v>1</v>
      </c>
      <c r="V51" s="416" t="s">
        <v>192</v>
      </c>
      <c r="W51" s="895">
        <v>4</v>
      </c>
      <c r="X51" s="416">
        <v>11</v>
      </c>
      <c r="Y51" s="895">
        <v>35</v>
      </c>
      <c r="Z51" s="896">
        <v>6.3</v>
      </c>
      <c r="AA51" s="895">
        <v>6.14</v>
      </c>
      <c r="AB51" s="416"/>
      <c r="AC51" s="416">
        <v>5</v>
      </c>
      <c r="AD51" s="526">
        <f t="shared" si="46"/>
        <v>18.803750000000001</v>
      </c>
      <c r="AE51" s="897">
        <f t="shared" si="2"/>
        <v>34.599488390987808</v>
      </c>
      <c r="AF51" s="898">
        <f t="shared" si="3"/>
        <v>35.03574382424469</v>
      </c>
      <c r="AG51" s="157">
        <f t="shared" si="4"/>
        <v>1.121023423868005</v>
      </c>
      <c r="AH51" s="158">
        <f t="shared" si="5"/>
        <v>1.135158099905528</v>
      </c>
      <c r="AI51" s="515">
        <f t="shared" si="6"/>
        <v>618.13871336216073</v>
      </c>
      <c r="AJ51" s="415">
        <f t="shared" si="7"/>
        <v>528.032174593023</v>
      </c>
      <c r="AK51" s="415">
        <f t="shared" si="47"/>
        <v>440.0268121608525</v>
      </c>
      <c r="AL51" s="415">
        <f t="shared" si="9"/>
        <v>352.021449728682</v>
      </c>
      <c r="AM51" s="446">
        <f t="shared" si="10"/>
        <v>3248.4767218732168</v>
      </c>
      <c r="AN51" s="481">
        <f t="shared" si="11"/>
        <v>2774.9438604738448</v>
      </c>
    </row>
    <row r="52" spans="1:40" ht="12.75" customHeight="1" x14ac:dyDescent="0.2">
      <c r="A52" s="940">
        <v>6</v>
      </c>
      <c r="B52" s="2480"/>
      <c r="C52" s="2495"/>
      <c r="D52" s="460">
        <v>2.2999999999999998</v>
      </c>
      <c r="E52" s="488" t="s">
        <v>35</v>
      </c>
      <c r="F52" s="899" t="s">
        <v>197</v>
      </c>
      <c r="G52" s="890">
        <v>6.3479999999999999</v>
      </c>
      <c r="H52" s="948">
        <v>6.79</v>
      </c>
      <c r="I52" s="485"/>
      <c r="J52" s="464">
        <v>22.41</v>
      </c>
      <c r="K52" s="781"/>
      <c r="L52" s="781"/>
      <c r="M52" s="782"/>
      <c r="N52" s="928">
        <v>0.6</v>
      </c>
      <c r="O52" s="892">
        <f t="shared" si="42"/>
        <v>5.5950899999999999</v>
      </c>
      <c r="P52" s="890">
        <f t="shared" si="43"/>
        <v>8.9923500000000001</v>
      </c>
      <c r="Q52" s="414">
        <f t="shared" si="44"/>
        <v>16.328850854564141</v>
      </c>
      <c r="R52" s="417">
        <f t="shared" si="45"/>
        <v>16.744778398969633</v>
      </c>
      <c r="S52" s="415">
        <f t="shared" si="0"/>
        <v>1309.7849583834111</v>
      </c>
      <c r="T52" s="480">
        <f t="shared" si="1"/>
        <v>1104.8220262585482</v>
      </c>
      <c r="U52" s="609">
        <v>2</v>
      </c>
      <c r="V52" s="416" t="s">
        <v>192</v>
      </c>
      <c r="W52" s="895">
        <v>4</v>
      </c>
      <c r="X52" s="416">
        <v>11</v>
      </c>
      <c r="Y52" s="895">
        <v>35</v>
      </c>
      <c r="Z52" s="896">
        <v>6.3</v>
      </c>
      <c r="AA52" s="895">
        <v>6.26</v>
      </c>
      <c r="AB52" s="416"/>
      <c r="AC52" s="416">
        <v>5</v>
      </c>
      <c r="AD52" s="526">
        <f t="shared" si="46"/>
        <v>19.171250000000004</v>
      </c>
      <c r="AE52" s="897">
        <f t="shared" si="2"/>
        <v>34.962201971101592</v>
      </c>
      <c r="AF52" s="898">
        <f t="shared" si="3"/>
        <v>35.398576031644268</v>
      </c>
      <c r="AG52" s="157">
        <f t="shared" si="4"/>
        <v>1.1327753438636916</v>
      </c>
      <c r="AH52" s="158">
        <f t="shared" si="5"/>
        <v>1.1469138634252745</v>
      </c>
      <c r="AI52" s="515">
        <f t="shared" si="6"/>
        <v>611.72586482602333</v>
      </c>
      <c r="AJ52" s="415">
        <f t="shared" si="7"/>
        <v>522.61989249121416</v>
      </c>
      <c r="AK52" s="415">
        <f t="shared" si="47"/>
        <v>435.5165770760118</v>
      </c>
      <c r="AL52" s="415">
        <f t="shared" si="9"/>
        <v>348.41326166080944</v>
      </c>
      <c r="AM52" s="446">
        <f t="shared" si="10"/>
        <v>3214.7755659025252</v>
      </c>
      <c r="AN52" s="481">
        <f t="shared" si="11"/>
        <v>2746.5009365153896</v>
      </c>
    </row>
    <row r="53" spans="1:40" ht="12.75" customHeight="1" x14ac:dyDescent="0.2">
      <c r="A53" s="949">
        <v>6</v>
      </c>
      <c r="B53" s="2522" t="s">
        <v>146</v>
      </c>
      <c r="C53" s="2494" t="s">
        <v>381</v>
      </c>
      <c r="D53" s="652">
        <v>2.2999999999999998</v>
      </c>
      <c r="E53" s="885" t="s">
        <v>35</v>
      </c>
      <c r="F53" s="886" t="s">
        <v>197</v>
      </c>
      <c r="G53" s="890">
        <v>6.3479999999999999</v>
      </c>
      <c r="H53" s="948">
        <v>6.79</v>
      </c>
      <c r="I53" s="887"/>
      <c r="J53" s="950">
        <v>10.88</v>
      </c>
      <c r="K53" s="951"/>
      <c r="L53" s="951"/>
      <c r="M53" s="951"/>
      <c r="N53" s="952">
        <v>0.6</v>
      </c>
      <c r="O53" s="892">
        <f t="shared" si="42"/>
        <v>2.7241200000000001</v>
      </c>
      <c r="P53" s="890">
        <f t="shared" si="43"/>
        <v>4.38035</v>
      </c>
      <c r="Q53" s="888">
        <f t="shared" si="44"/>
        <v>11.068799550850127</v>
      </c>
      <c r="R53" s="953">
        <f t="shared" si="45"/>
        <v>11.49771929109856</v>
      </c>
      <c r="S53" s="446">
        <f t="shared" si="0"/>
        <v>1932.2134382089873</v>
      </c>
      <c r="T53" s="1040">
        <f t="shared" si="1"/>
        <v>1609.0147560240532</v>
      </c>
      <c r="U53" s="889">
        <v>1</v>
      </c>
      <c r="V53" s="890" t="s">
        <v>193</v>
      </c>
      <c r="W53" s="890">
        <v>6.3</v>
      </c>
      <c r="X53" s="890">
        <v>11</v>
      </c>
      <c r="Y53" s="890">
        <v>35</v>
      </c>
      <c r="Z53" s="891">
        <v>6.3</v>
      </c>
      <c r="AA53" s="890">
        <v>7.4</v>
      </c>
      <c r="AB53" s="890"/>
      <c r="AC53" s="890"/>
      <c r="AD53" s="893">
        <f t="shared" si="46"/>
        <v>14.388888888888891</v>
      </c>
      <c r="AE53" s="1086">
        <f t="shared" si="2"/>
        <v>25.264530852084164</v>
      </c>
      <c r="AF53" s="893">
        <f t="shared" si="3"/>
        <v>25.703998178370817</v>
      </c>
      <c r="AG53" s="179">
        <f t="shared" si="4"/>
        <v>0.81857079960752688</v>
      </c>
      <c r="AH53" s="180">
        <f t="shared" si="5"/>
        <v>0.83280954097921445</v>
      </c>
      <c r="AI53" s="894">
        <f t="shared" si="6"/>
        <v>846.53395553671658</v>
      </c>
      <c r="AJ53" s="446">
        <f t="shared" si="7"/>
        <v>719.73238838645818</v>
      </c>
      <c r="AK53" s="446">
        <f t="shared" si="47"/>
        <v>599.7769903220485</v>
      </c>
      <c r="AL53" s="446">
        <f t="shared" si="9"/>
        <v>479.82159225763877</v>
      </c>
      <c r="AM53" s="446">
        <f t="shared" si="10"/>
        <v>4448.7520185863486</v>
      </c>
      <c r="AN53" s="452">
        <f t="shared" si="11"/>
        <v>3782.3774164453512</v>
      </c>
    </row>
    <row r="54" spans="1:40" ht="12.75" customHeight="1" thickBot="1" x14ac:dyDescent="0.25">
      <c r="A54" s="472">
        <v>6</v>
      </c>
      <c r="B54" s="2384"/>
      <c r="C54" s="2496"/>
      <c r="D54" s="433">
        <v>2.2999999999999998</v>
      </c>
      <c r="E54" s="883" t="s">
        <v>35</v>
      </c>
      <c r="F54" s="435" t="s">
        <v>197</v>
      </c>
      <c r="G54" s="436">
        <v>6.3479999999999999</v>
      </c>
      <c r="H54" s="2153">
        <v>6.79</v>
      </c>
      <c r="I54" s="790"/>
      <c r="J54" s="439">
        <v>10.98</v>
      </c>
      <c r="K54" s="440"/>
      <c r="L54" s="440"/>
      <c r="M54" s="440"/>
      <c r="N54" s="441">
        <v>0.6</v>
      </c>
      <c r="O54" s="442">
        <f t="shared" si="42"/>
        <v>2.7490200000000002</v>
      </c>
      <c r="P54" s="436">
        <f t="shared" si="43"/>
        <v>4.42035</v>
      </c>
      <c r="Q54" s="443">
        <f t="shared" si="44"/>
        <v>11.113706523158688</v>
      </c>
      <c r="R54" s="444">
        <f t="shared" si="45"/>
        <v>11.542489249849877</v>
      </c>
      <c r="S54" s="445">
        <f t="shared" si="0"/>
        <v>1924.4059749488167</v>
      </c>
      <c r="T54" s="484">
        <f t="shared" si="1"/>
        <v>1602.7738557556474</v>
      </c>
      <c r="U54" s="610">
        <v>2</v>
      </c>
      <c r="V54" s="436" t="s">
        <v>193</v>
      </c>
      <c r="W54" s="436">
        <v>6.3</v>
      </c>
      <c r="X54" s="436">
        <v>11</v>
      </c>
      <c r="Y54" s="436">
        <v>35</v>
      </c>
      <c r="Z54" s="513">
        <v>6.3</v>
      </c>
      <c r="AA54" s="436">
        <v>7.9</v>
      </c>
      <c r="AB54" s="436"/>
      <c r="AC54" s="436"/>
      <c r="AD54" s="527">
        <f t="shared" si="46"/>
        <v>15.361111111111112</v>
      </c>
      <c r="AE54" s="1023">
        <f t="shared" si="2"/>
        <v>26.273672162784326</v>
      </c>
      <c r="AF54" s="527">
        <f t="shared" si="3"/>
        <v>26.713286142661111</v>
      </c>
      <c r="AG54" s="175">
        <f t="shared" si="4"/>
        <v>0.85126697807421214</v>
      </c>
      <c r="AH54" s="176">
        <f t="shared" si="5"/>
        <v>0.86551047102222001</v>
      </c>
      <c r="AI54" s="450">
        <f t="shared" si="6"/>
        <v>814.01956698266588</v>
      </c>
      <c r="AJ54" s="445">
        <f t="shared" si="7"/>
        <v>692.53928180911839</v>
      </c>
      <c r="AK54" s="445">
        <f t="shared" si="47"/>
        <v>577.11606817426537</v>
      </c>
      <c r="AL54" s="445">
        <f t="shared" si="9"/>
        <v>461.69285453941228</v>
      </c>
      <c r="AM54" s="445">
        <f t="shared" si="10"/>
        <v>4277.8806072662619</v>
      </c>
      <c r="AN54" s="451">
        <f t="shared" si="11"/>
        <v>3639.4707001980696</v>
      </c>
    </row>
    <row r="55" spans="1:40" ht="12.75" customHeight="1" x14ac:dyDescent="0.2">
      <c r="A55" s="954">
        <v>6</v>
      </c>
      <c r="B55" s="2374" t="s">
        <v>168</v>
      </c>
      <c r="C55" s="2489" t="s">
        <v>341</v>
      </c>
      <c r="D55" s="695">
        <v>3.4</v>
      </c>
      <c r="E55" s="904" t="s">
        <v>35</v>
      </c>
      <c r="F55" s="740" t="s">
        <v>46</v>
      </c>
      <c r="G55" s="2145">
        <f>Мартыновская!G15</f>
        <v>4.9020181386774881</v>
      </c>
      <c r="H55" s="2145">
        <f>Мартыновская!H15</f>
        <v>5.2862861120779669</v>
      </c>
      <c r="I55" s="744"/>
      <c r="J55" s="698">
        <v>22.99</v>
      </c>
      <c r="K55" s="745"/>
      <c r="L55" s="745"/>
      <c r="M55" s="746"/>
      <c r="N55" s="747">
        <v>0.6</v>
      </c>
      <c r="O55" s="578">
        <f t="shared" si="42"/>
        <v>5.7395099999999992</v>
      </c>
      <c r="P55" s="579">
        <f t="shared" si="43"/>
        <v>9.2243499999999994</v>
      </c>
      <c r="Q55" s="580">
        <f t="shared" si="44"/>
        <v>15.247827774130402</v>
      </c>
      <c r="R55" s="581">
        <f t="shared" si="45"/>
        <v>15.604503690192814</v>
      </c>
      <c r="S55" s="582">
        <f t="shared" si="0"/>
        <v>1402.6445965818207</v>
      </c>
      <c r="T55" s="1020">
        <f t="shared" si="1"/>
        <v>1185.5551683855833</v>
      </c>
      <c r="U55" s="696">
        <v>1</v>
      </c>
      <c r="V55" s="579" t="s">
        <v>195</v>
      </c>
      <c r="W55" s="905">
        <v>6.3</v>
      </c>
      <c r="X55" s="579">
        <v>11</v>
      </c>
      <c r="Y55" s="905">
        <v>35</v>
      </c>
      <c r="Z55" s="906">
        <v>6.3</v>
      </c>
      <c r="AA55" s="905">
        <v>8.1300000000000008</v>
      </c>
      <c r="AB55" s="579"/>
      <c r="AC55" s="579">
        <v>5</v>
      </c>
      <c r="AD55" s="583">
        <f t="shared" si="46"/>
        <v>15.808333333333335</v>
      </c>
      <c r="AE55" s="907">
        <f t="shared" si="2"/>
        <v>30.479965998316121</v>
      </c>
      <c r="AF55" s="908">
        <f t="shared" si="3"/>
        <v>30.857444535668925</v>
      </c>
      <c r="AG55" s="139">
        <f t="shared" si="4"/>
        <v>0.9875508983454423</v>
      </c>
      <c r="AH55" s="140">
        <f t="shared" si="5"/>
        <v>0.99978120295567308</v>
      </c>
      <c r="AI55" s="808">
        <f t="shared" si="6"/>
        <v>701.68330365512111</v>
      </c>
      <c r="AJ55" s="582">
        <f t="shared" si="7"/>
        <v>599.53117564921388</v>
      </c>
      <c r="AK55" s="582">
        <f t="shared" si="47"/>
        <v>499.6093130410116</v>
      </c>
      <c r="AL55" s="582">
        <f t="shared" si="9"/>
        <v>399.68745043280927</v>
      </c>
      <c r="AM55" s="582">
        <f t="shared" si="10"/>
        <v>3687.5248690584449</v>
      </c>
      <c r="AN55" s="728">
        <f t="shared" si="11"/>
        <v>3150.6893615198928</v>
      </c>
    </row>
    <row r="56" spans="1:40" ht="12.75" customHeight="1" x14ac:dyDescent="0.2">
      <c r="A56" s="955">
        <v>6</v>
      </c>
      <c r="B56" s="2485"/>
      <c r="C56" s="2490"/>
      <c r="D56" s="702">
        <v>3.4</v>
      </c>
      <c r="E56" s="909" t="s">
        <v>35</v>
      </c>
      <c r="F56" s="753" t="s">
        <v>46</v>
      </c>
      <c r="G56" s="2145">
        <f>Мартыновская!G16</f>
        <v>4.8982573492001933</v>
      </c>
      <c r="H56" s="2145">
        <f>Мартыновская!H16</f>
        <v>5.2312064066132784</v>
      </c>
      <c r="I56" s="757"/>
      <c r="J56" s="706">
        <v>22.99</v>
      </c>
      <c r="K56" s="758"/>
      <c r="L56" s="758"/>
      <c r="M56" s="759"/>
      <c r="N56" s="956">
        <v>0.6</v>
      </c>
      <c r="O56" s="920">
        <f t="shared" si="42"/>
        <v>5.7395099999999992</v>
      </c>
      <c r="P56" s="573">
        <f t="shared" si="43"/>
        <v>9.2243499999999994</v>
      </c>
      <c r="Q56" s="709">
        <f t="shared" si="44"/>
        <v>15.244343651983948</v>
      </c>
      <c r="R56" s="710">
        <f t="shared" si="45"/>
        <v>15.55329823750828</v>
      </c>
      <c r="S56" s="716">
        <f t="shared" si="0"/>
        <v>1402.9651735259069</v>
      </c>
      <c r="T56" s="729">
        <f t="shared" si="1"/>
        <v>1189.4583205114311</v>
      </c>
      <c r="U56" s="703">
        <v>2</v>
      </c>
      <c r="V56" s="705" t="s">
        <v>195</v>
      </c>
      <c r="W56" s="910">
        <v>6.3</v>
      </c>
      <c r="X56" s="705">
        <v>11</v>
      </c>
      <c r="Y56" s="910">
        <v>35</v>
      </c>
      <c r="Z56" s="911">
        <v>6.3</v>
      </c>
      <c r="AA56" s="910">
        <v>8.1300000000000008</v>
      </c>
      <c r="AB56" s="705"/>
      <c r="AC56" s="705">
        <v>5</v>
      </c>
      <c r="AD56" s="711">
        <f t="shared" si="46"/>
        <v>15.808333333333335</v>
      </c>
      <c r="AE56" s="912">
        <f t="shared" si="2"/>
        <v>30.476272494867882</v>
      </c>
      <c r="AF56" s="913">
        <f t="shared" si="3"/>
        <v>30.803327697372989</v>
      </c>
      <c r="AG56" s="157">
        <f t="shared" si="4"/>
        <v>0.98743122883371937</v>
      </c>
      <c r="AH56" s="158">
        <f t="shared" si="5"/>
        <v>0.99802781739488478</v>
      </c>
      <c r="AI56" s="924">
        <f t="shared" si="6"/>
        <v>701.7683425883456</v>
      </c>
      <c r="AJ56" s="716">
        <f t="shared" si="7"/>
        <v>600.58446222931104</v>
      </c>
      <c r="AK56" s="716">
        <f t="shared" si="47"/>
        <v>500.48705185775924</v>
      </c>
      <c r="AL56" s="716">
        <f t="shared" si="9"/>
        <v>400.38964148620738</v>
      </c>
      <c r="AM56" s="599">
        <f t="shared" si="10"/>
        <v>3687.9717703591741</v>
      </c>
      <c r="AN56" s="730">
        <f t="shared" si="11"/>
        <v>3156.2246513552386</v>
      </c>
    </row>
    <row r="57" spans="1:40" ht="12.75" customHeight="1" x14ac:dyDescent="0.2">
      <c r="A57" s="955">
        <v>6</v>
      </c>
      <c r="B57" s="2488" t="s">
        <v>167</v>
      </c>
      <c r="C57" s="2489" t="s">
        <v>43</v>
      </c>
      <c r="D57" s="702">
        <v>3.4</v>
      </c>
      <c r="E57" s="909" t="s">
        <v>35</v>
      </c>
      <c r="F57" s="914" t="s">
        <v>46</v>
      </c>
      <c r="G57" s="2145">
        <f>Мартыновская!G15</f>
        <v>4.9020181386774881</v>
      </c>
      <c r="H57" s="2145">
        <f>Мартыновская!H15</f>
        <v>5.2862861120779669</v>
      </c>
      <c r="I57" s="757"/>
      <c r="J57" s="706">
        <v>22.41</v>
      </c>
      <c r="K57" s="758"/>
      <c r="L57" s="758"/>
      <c r="M57" s="759"/>
      <c r="N57" s="956">
        <v>0.6</v>
      </c>
      <c r="O57" s="920">
        <f t="shared" si="42"/>
        <v>5.5950899999999999</v>
      </c>
      <c r="P57" s="573">
        <f t="shared" si="43"/>
        <v>8.9923500000000001</v>
      </c>
      <c r="Q57" s="709">
        <f t="shared" si="44"/>
        <v>14.978601339283857</v>
      </c>
      <c r="R57" s="710">
        <f t="shared" si="45"/>
        <v>15.335725653820134</v>
      </c>
      <c r="S57" s="716">
        <f t="shared" si="0"/>
        <v>1427.8558292957923</v>
      </c>
      <c r="T57" s="729">
        <f t="shared" si="1"/>
        <v>1206.3335258864417</v>
      </c>
      <c r="U57" s="703">
        <v>1</v>
      </c>
      <c r="V57" s="705" t="s">
        <v>192</v>
      </c>
      <c r="W57" s="910">
        <v>4</v>
      </c>
      <c r="X57" s="705">
        <v>11</v>
      </c>
      <c r="Y57" s="910">
        <v>35</v>
      </c>
      <c r="Z57" s="911">
        <v>6.3</v>
      </c>
      <c r="AA57" s="910">
        <v>6.14</v>
      </c>
      <c r="AB57" s="705"/>
      <c r="AC57" s="705">
        <v>5</v>
      </c>
      <c r="AD57" s="711">
        <f t="shared" si="46"/>
        <v>18.803750000000001</v>
      </c>
      <c r="AE57" s="912">
        <f t="shared" si="2"/>
        <v>33.173362234163271</v>
      </c>
      <c r="AF57" s="913">
        <f t="shared" si="3"/>
        <v>33.552187752465699</v>
      </c>
      <c r="AG57" s="157">
        <f t="shared" si="4"/>
        <v>1.07481693638689</v>
      </c>
      <c r="AH57" s="158">
        <f t="shared" si="5"/>
        <v>1.0870908831798887</v>
      </c>
      <c r="AI57" s="924">
        <f t="shared" si="6"/>
        <v>644.71255840834647</v>
      </c>
      <c r="AJ57" s="716">
        <f t="shared" si="7"/>
        <v>551.37984254515459</v>
      </c>
      <c r="AK57" s="716">
        <f t="shared" si="47"/>
        <v>459.48320212096218</v>
      </c>
      <c r="AL57" s="716">
        <f t="shared" si="9"/>
        <v>367.58656169676971</v>
      </c>
      <c r="AM57" s="599">
        <f t="shared" si="10"/>
        <v>3388.129060704523</v>
      </c>
      <c r="AN57" s="730">
        <f t="shared" si="11"/>
        <v>2897.6418151772386</v>
      </c>
    </row>
    <row r="58" spans="1:40" ht="12.75" customHeight="1" x14ac:dyDescent="0.2">
      <c r="A58" s="955">
        <v>6</v>
      </c>
      <c r="B58" s="2485"/>
      <c r="C58" s="2490"/>
      <c r="D58" s="702">
        <v>3.4</v>
      </c>
      <c r="E58" s="909" t="s">
        <v>35</v>
      </c>
      <c r="F58" s="914" t="s">
        <v>46</v>
      </c>
      <c r="G58" s="2145">
        <f>Мартыновская!G16</f>
        <v>4.8982573492001933</v>
      </c>
      <c r="H58" s="2145">
        <f>Мартыновская!H16</f>
        <v>5.2312064066132784</v>
      </c>
      <c r="I58" s="757"/>
      <c r="J58" s="706">
        <v>22.41</v>
      </c>
      <c r="K58" s="758"/>
      <c r="L58" s="758"/>
      <c r="M58" s="759"/>
      <c r="N58" s="956">
        <v>0.6</v>
      </c>
      <c r="O58" s="920">
        <f t="shared" si="42"/>
        <v>5.5950899999999999</v>
      </c>
      <c r="P58" s="573">
        <f t="shared" si="43"/>
        <v>8.9923500000000001</v>
      </c>
      <c r="Q58" s="709">
        <f t="shared" si="44"/>
        <v>14.975112842237763</v>
      </c>
      <c r="R58" s="710">
        <f t="shared" si="45"/>
        <v>15.284455795356589</v>
      </c>
      <c r="S58" s="716">
        <f t="shared" si="0"/>
        <v>1428.1884525551443</v>
      </c>
      <c r="T58" s="729">
        <f t="shared" si="1"/>
        <v>1210.3800258050596</v>
      </c>
      <c r="U58" s="703">
        <v>2</v>
      </c>
      <c r="V58" s="705" t="s">
        <v>192</v>
      </c>
      <c r="W58" s="910">
        <v>4</v>
      </c>
      <c r="X58" s="705">
        <v>11</v>
      </c>
      <c r="Y58" s="910">
        <v>35</v>
      </c>
      <c r="Z58" s="911">
        <v>6.3</v>
      </c>
      <c r="AA58" s="910">
        <v>6.26</v>
      </c>
      <c r="AB58" s="705"/>
      <c r="AC58" s="705">
        <v>5</v>
      </c>
      <c r="AD58" s="711">
        <f t="shared" si="46"/>
        <v>19.171250000000004</v>
      </c>
      <c r="AE58" s="912">
        <f t="shared" si="2"/>
        <v>33.531946610463329</v>
      </c>
      <c r="AF58" s="913">
        <f t="shared" si="3"/>
        <v>33.860273581931963</v>
      </c>
      <c r="AG58" s="157">
        <f t="shared" si="4"/>
        <v>1.0864350701790118</v>
      </c>
      <c r="AH58" s="158">
        <f t="shared" si="5"/>
        <v>1.0970728640545955</v>
      </c>
      <c r="AI58" s="924">
        <f t="shared" si="6"/>
        <v>637.81812268305703</v>
      </c>
      <c r="AJ58" s="716">
        <f t="shared" si="7"/>
        <v>546.36298065446545</v>
      </c>
      <c r="AK58" s="716">
        <f t="shared" si="47"/>
        <v>455.3024838787212</v>
      </c>
      <c r="AL58" s="716">
        <f t="shared" si="9"/>
        <v>364.24198710297696</v>
      </c>
      <c r="AM58" s="599">
        <f t="shared" si="10"/>
        <v>3351.8970411271771</v>
      </c>
      <c r="AN58" s="730">
        <f t="shared" si="11"/>
        <v>2871.2769253613051</v>
      </c>
    </row>
    <row r="59" spans="1:40" ht="12.75" hidden="1" customHeight="1" x14ac:dyDescent="0.2">
      <c r="A59" s="957">
        <v>6</v>
      </c>
      <c r="B59" s="2523" t="s">
        <v>146</v>
      </c>
      <c r="C59" s="2489" t="s">
        <v>381</v>
      </c>
      <c r="D59" s="712">
        <v>3.4</v>
      </c>
      <c r="E59" s="915" t="s">
        <v>35</v>
      </c>
      <c r="F59" s="752" t="s">
        <v>46</v>
      </c>
      <c r="G59" s="705">
        <v>3.9689999999999999</v>
      </c>
      <c r="H59" s="707">
        <v>5.8179999999999996</v>
      </c>
      <c r="I59" s="916"/>
      <c r="J59" s="575">
        <v>10.88</v>
      </c>
      <c r="K59" s="576"/>
      <c r="L59" s="576"/>
      <c r="M59" s="576"/>
      <c r="N59" s="958">
        <v>0.6</v>
      </c>
      <c r="O59" s="920">
        <f t="shared" si="42"/>
        <v>2.7241200000000001</v>
      </c>
      <c r="P59" s="573">
        <f t="shared" si="43"/>
        <v>4.38035</v>
      </c>
      <c r="Q59" s="917">
        <f t="shared" si="44"/>
        <v>8.7825096183778815</v>
      </c>
      <c r="R59" s="959">
        <f t="shared" si="45"/>
        <v>10.555906995464673</v>
      </c>
      <c r="S59" s="599">
        <f t="shared" si="0"/>
        <v>2435.2131869278182</v>
      </c>
      <c r="T59" s="1052">
        <f t="shared" si="1"/>
        <v>1752.5732282359529</v>
      </c>
      <c r="U59" s="918">
        <v>1</v>
      </c>
      <c r="V59" s="573" t="s">
        <v>193</v>
      </c>
      <c r="W59" s="573">
        <v>6.3</v>
      </c>
      <c r="X59" s="573">
        <v>11</v>
      </c>
      <c r="Y59" s="573">
        <v>35</v>
      </c>
      <c r="Z59" s="919">
        <v>6.3</v>
      </c>
      <c r="AA59" s="573">
        <v>7.4</v>
      </c>
      <c r="AB59" s="573"/>
      <c r="AC59" s="573"/>
      <c r="AD59" s="921">
        <f t="shared" si="46"/>
        <v>14.388888888888891</v>
      </c>
      <c r="AE59" s="1087">
        <f t="shared" si="2"/>
        <v>22.9008370489504</v>
      </c>
      <c r="AF59" s="921">
        <f t="shared" si="3"/>
        <v>24.737686754296373</v>
      </c>
      <c r="AG59" s="179">
        <f t="shared" si="4"/>
        <v>0.7419871203859929</v>
      </c>
      <c r="AH59" s="180">
        <f t="shared" si="5"/>
        <v>0.80150105083920242</v>
      </c>
      <c r="AI59" s="598">
        <f t="shared" si="6"/>
        <v>933.90836288119226</v>
      </c>
      <c r="AJ59" s="599">
        <f t="shared" si="7"/>
        <v>747.84680490737367</v>
      </c>
      <c r="AK59" s="599">
        <f t="shared" si="47"/>
        <v>623.20567075614474</v>
      </c>
      <c r="AL59" s="599">
        <f t="shared" si="9"/>
        <v>498.56453660491576</v>
      </c>
      <c r="AM59" s="599">
        <f t="shared" si="10"/>
        <v>4907.9268319582179</v>
      </c>
      <c r="AN59" s="600">
        <f t="shared" si="11"/>
        <v>3930.1258516153271</v>
      </c>
    </row>
    <row r="60" spans="1:40" ht="12.75" hidden="1" customHeight="1" thickBot="1" x14ac:dyDescent="0.25">
      <c r="A60" s="719">
        <v>6</v>
      </c>
      <c r="B60" s="2375"/>
      <c r="C60" s="2491"/>
      <c r="D60" s="585">
        <v>3.4</v>
      </c>
      <c r="E60" s="922" t="s">
        <v>35</v>
      </c>
      <c r="F60" s="587" t="s">
        <v>46</v>
      </c>
      <c r="G60" s="588">
        <v>3.9689999999999999</v>
      </c>
      <c r="H60" s="723">
        <v>5.8179999999999996</v>
      </c>
      <c r="I60" s="765"/>
      <c r="J60" s="590">
        <v>10.98</v>
      </c>
      <c r="K60" s="591"/>
      <c r="L60" s="591"/>
      <c r="M60" s="591"/>
      <c r="N60" s="766">
        <v>0.6</v>
      </c>
      <c r="O60" s="593">
        <f t="shared" si="42"/>
        <v>2.7490200000000002</v>
      </c>
      <c r="P60" s="588">
        <f t="shared" si="43"/>
        <v>4.42035</v>
      </c>
      <c r="Q60" s="594">
        <f t="shared" si="44"/>
        <v>8.828267348857306</v>
      </c>
      <c r="R60" s="595">
        <f t="shared" si="45"/>
        <v>10.600986825899748</v>
      </c>
      <c r="S60" s="596">
        <f t="shared" si="0"/>
        <v>2422.5912505654351</v>
      </c>
      <c r="T60" s="733">
        <f t="shared" si="1"/>
        <v>1745.120553758431</v>
      </c>
      <c r="U60" s="721">
        <v>2</v>
      </c>
      <c r="V60" s="588" t="s">
        <v>193</v>
      </c>
      <c r="W60" s="588">
        <v>6.3</v>
      </c>
      <c r="X60" s="588">
        <v>11</v>
      </c>
      <c r="Y60" s="588">
        <v>35</v>
      </c>
      <c r="Z60" s="923">
        <v>6.3</v>
      </c>
      <c r="AA60" s="588">
        <v>7.9</v>
      </c>
      <c r="AB60" s="588"/>
      <c r="AC60" s="588"/>
      <c r="AD60" s="597">
        <f t="shared" si="46"/>
        <v>15.361111111111112</v>
      </c>
      <c r="AE60" s="1024">
        <f t="shared" si="2"/>
        <v>23.909025784226369</v>
      </c>
      <c r="AF60" s="597">
        <f t="shared" si="3"/>
        <v>25.74664094866921</v>
      </c>
      <c r="AG60" s="175">
        <f t="shared" si="4"/>
        <v>0.77465243540893436</v>
      </c>
      <c r="AH60" s="176">
        <f t="shared" si="5"/>
        <v>0.83419116673688232</v>
      </c>
      <c r="AI60" s="601">
        <f t="shared" si="6"/>
        <v>894.52759096124134</v>
      </c>
      <c r="AJ60" s="596">
        <f t="shared" si="7"/>
        <v>718.54033451910266</v>
      </c>
      <c r="AK60" s="596">
        <f t="shared" si="47"/>
        <v>598.7836120992522</v>
      </c>
      <c r="AL60" s="596">
        <f t="shared" si="9"/>
        <v>479.02688967940179</v>
      </c>
      <c r="AM60" s="596">
        <f t="shared" si="10"/>
        <v>4700.9708233698875</v>
      </c>
      <c r="AN60" s="602">
        <f t="shared" si="11"/>
        <v>3776.1128690943838</v>
      </c>
    </row>
    <row r="61" spans="1:40" x14ac:dyDescent="0.2">
      <c r="F61" s="187"/>
      <c r="O61" s="100"/>
      <c r="U61" s="100"/>
    </row>
    <row r="62" spans="1:40" ht="15.75" x14ac:dyDescent="0.2">
      <c r="B62" s="192" t="s">
        <v>158</v>
      </c>
      <c r="D62" s="192"/>
      <c r="E62" s="2378">
        <v>42648</v>
      </c>
      <c r="F62" s="2378"/>
      <c r="G62" s="188" t="s">
        <v>337</v>
      </c>
    </row>
    <row r="63" spans="1:40" x14ac:dyDescent="0.2">
      <c r="B63" s="185" t="s">
        <v>380</v>
      </c>
      <c r="D63" s="185"/>
      <c r="E63" s="2380" t="s">
        <v>189</v>
      </c>
      <c r="F63" s="2380"/>
      <c r="G63" s="188" t="s">
        <v>391</v>
      </c>
    </row>
  </sheetData>
  <mergeCells count="86">
    <mergeCell ref="B13:B14"/>
    <mergeCell ref="C13:C14"/>
    <mergeCell ref="B7:B8"/>
    <mergeCell ref="C7:C8"/>
    <mergeCell ref="B9:B10"/>
    <mergeCell ref="C9:C10"/>
    <mergeCell ref="A1:AH1"/>
    <mergeCell ref="A2:A4"/>
    <mergeCell ref="B2:B4"/>
    <mergeCell ref="C2:C4"/>
    <mergeCell ref="D2:D4"/>
    <mergeCell ref="E2:E4"/>
    <mergeCell ref="F2:F4"/>
    <mergeCell ref="G2:H2"/>
    <mergeCell ref="I2:N2"/>
    <mergeCell ref="O2:P3"/>
    <mergeCell ref="AL2:AL3"/>
    <mergeCell ref="AM2:AN2"/>
    <mergeCell ref="Y2:Y3"/>
    <mergeCell ref="Z2:Z3"/>
    <mergeCell ref="AA2:AA3"/>
    <mergeCell ref="AB2:AB3"/>
    <mergeCell ref="AC2:AC3"/>
    <mergeCell ref="AD2:AD3"/>
    <mergeCell ref="AE2:AF2"/>
    <mergeCell ref="AG2:AH2"/>
    <mergeCell ref="AI2:AJ2"/>
    <mergeCell ref="AK2:AK3"/>
    <mergeCell ref="Q2:R2"/>
    <mergeCell ref="S2:T2"/>
    <mergeCell ref="U2:U4"/>
    <mergeCell ref="V2:V4"/>
    <mergeCell ref="W2:W3"/>
    <mergeCell ref="X2:X4"/>
    <mergeCell ref="B37:B38"/>
    <mergeCell ref="C37:C38"/>
    <mergeCell ref="B27:B28"/>
    <mergeCell ref="C27:C28"/>
    <mergeCell ref="B35:B36"/>
    <mergeCell ref="C35:C36"/>
    <mergeCell ref="B31:B32"/>
    <mergeCell ref="C31:C32"/>
    <mergeCell ref="B33:B34"/>
    <mergeCell ref="C33:C34"/>
    <mergeCell ref="B29:B30"/>
    <mergeCell ref="C29:C30"/>
    <mergeCell ref="B5:B6"/>
    <mergeCell ref="C5:C6"/>
    <mergeCell ref="B25:B26"/>
    <mergeCell ref="C25:C26"/>
    <mergeCell ref="B15:B16"/>
    <mergeCell ref="C15:C16"/>
    <mergeCell ref="B19:B20"/>
    <mergeCell ref="C19:C20"/>
    <mergeCell ref="B11:B12"/>
    <mergeCell ref="C11:C12"/>
    <mergeCell ref="B17:B18"/>
    <mergeCell ref="C17:C18"/>
    <mergeCell ref="B23:B24"/>
    <mergeCell ref="C23:C24"/>
    <mergeCell ref="B21:B22"/>
    <mergeCell ref="C21:C22"/>
    <mergeCell ref="B39:B40"/>
    <mergeCell ref="C39:C40"/>
    <mergeCell ref="B49:B50"/>
    <mergeCell ref="C49:C50"/>
    <mergeCell ref="B51:B52"/>
    <mergeCell ref="C51:C52"/>
    <mergeCell ref="B41:B42"/>
    <mergeCell ref="C41:C42"/>
    <mergeCell ref="B43:B44"/>
    <mergeCell ref="C43:C44"/>
    <mergeCell ref="E62:F62"/>
    <mergeCell ref="E63:F63"/>
    <mergeCell ref="B55:B56"/>
    <mergeCell ref="C55:C56"/>
    <mergeCell ref="B57:B58"/>
    <mergeCell ref="C57:C58"/>
    <mergeCell ref="B59:B60"/>
    <mergeCell ref="C59:C60"/>
    <mergeCell ref="B45:B46"/>
    <mergeCell ref="C45:C46"/>
    <mergeCell ref="B53:B54"/>
    <mergeCell ref="C53:C54"/>
    <mergeCell ref="B47:B48"/>
    <mergeCell ref="C47:C48"/>
  </mergeCells>
  <pageMargins left="0.27559055118110237" right="0.27559055118110237" top="0.39370078740157483" bottom="0.72" header="0.35433070866141736" footer="0.15748031496062992"/>
  <pageSetup paperSize="9" scale="76" orientation="landscape" r:id="rId1"/>
  <headerFooter>
    <oddFooter>&amp;L&amp;Z&amp;F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D8EC7-9881-40DE-9359-CA76C4DB080B}">
  <sheetPr codeName="Лист9"/>
  <dimension ref="A1:AN6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44" sqref="H44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00" customWidth="1"/>
    <col min="4" max="4" width="5.140625" style="186" customWidth="1"/>
    <col min="5" max="5" width="11.28515625" style="186" customWidth="1"/>
    <col min="6" max="6" width="16.42578125" style="100" customWidth="1"/>
    <col min="7" max="8" width="7" style="100" customWidth="1"/>
    <col min="9" max="10" width="5.5703125" style="188" customWidth="1"/>
    <col min="11" max="11" width="5.5703125" style="189" customWidth="1"/>
    <col min="12" max="16" width="5.5703125" style="186" customWidth="1"/>
    <col min="17" max="18" width="6.7109375" style="100" customWidth="1"/>
    <col min="19" max="20" width="6.7109375" style="190" customWidth="1"/>
    <col min="21" max="21" width="3.5703125" style="186" customWidth="1"/>
    <col min="22" max="22" width="15.85546875" style="100" customWidth="1"/>
    <col min="23" max="23" width="5.7109375" style="100" customWidth="1"/>
    <col min="24" max="24" width="7.42578125" style="100" customWidth="1"/>
    <col min="25" max="27" width="5.85546875" style="100" customWidth="1"/>
    <col min="28" max="28" width="11.42578125" style="100" customWidth="1"/>
    <col min="29" max="29" width="6.140625" style="186" customWidth="1"/>
    <col min="30" max="30" width="6.140625" style="100" customWidth="1"/>
    <col min="31" max="34" width="6.7109375" style="100" customWidth="1"/>
    <col min="35" max="36" width="6.7109375" style="190" hidden="1" customWidth="1"/>
    <col min="37" max="37" width="6.7109375" style="191" hidden="1" customWidth="1"/>
    <col min="38" max="38" width="6.7109375" style="190" hidden="1" customWidth="1"/>
    <col min="39" max="40" width="6.7109375" style="190" customWidth="1"/>
    <col min="41" max="16384" width="9.140625" style="100"/>
  </cols>
  <sheetData>
    <row r="1" spans="1:40" ht="36.75" customHeight="1" thickBot="1" x14ac:dyDescent="0.25">
      <c r="A1" s="2302" t="s">
        <v>378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345"/>
      <c r="AJ1" s="345"/>
      <c r="AK1" s="345"/>
      <c r="AL1" s="345"/>
      <c r="AM1" s="345"/>
      <c r="AN1" s="345"/>
    </row>
    <row r="2" spans="1:40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536" t="s">
        <v>7</v>
      </c>
      <c r="J2" s="2323"/>
      <c r="K2" s="2323"/>
      <c r="L2" s="2323"/>
      <c r="M2" s="2323"/>
      <c r="N2" s="2537"/>
      <c r="O2" s="2323" t="s">
        <v>8</v>
      </c>
      <c r="P2" s="2324"/>
      <c r="Q2" s="2327" t="s">
        <v>385</v>
      </c>
      <c r="R2" s="2327"/>
      <c r="S2" s="2328" t="s">
        <v>388</v>
      </c>
      <c r="T2" s="2328"/>
      <c r="U2" s="2541" t="s">
        <v>9</v>
      </c>
      <c r="V2" s="2333" t="s">
        <v>10</v>
      </c>
      <c r="W2" s="2341" t="s">
        <v>12</v>
      </c>
      <c r="X2" s="2338" t="s">
        <v>13</v>
      </c>
      <c r="Y2" s="2341" t="s">
        <v>335</v>
      </c>
      <c r="Z2" s="2341" t="s">
        <v>336</v>
      </c>
      <c r="AA2" s="2460" t="s">
        <v>16</v>
      </c>
      <c r="AB2" s="2341" t="s">
        <v>17</v>
      </c>
      <c r="AC2" s="2341" t="s">
        <v>18</v>
      </c>
      <c r="AD2" s="2539" t="s">
        <v>19</v>
      </c>
      <c r="AE2" s="2538" t="s">
        <v>386</v>
      </c>
      <c r="AF2" s="2321"/>
      <c r="AG2" s="2347" t="s">
        <v>387</v>
      </c>
      <c r="AH2" s="2348"/>
      <c r="AI2" s="2349" t="s">
        <v>382</v>
      </c>
      <c r="AJ2" s="2350"/>
      <c r="AK2" s="2351" t="s">
        <v>20</v>
      </c>
      <c r="AL2" s="2351" t="s">
        <v>21</v>
      </c>
      <c r="AM2" s="2349" t="s">
        <v>383</v>
      </c>
      <c r="AN2" s="2353"/>
    </row>
    <row r="3" spans="1:40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611" t="s">
        <v>24</v>
      </c>
      <c r="J3" s="401" t="s">
        <v>25</v>
      </c>
      <c r="K3" s="861" t="s">
        <v>26</v>
      </c>
      <c r="L3" s="402" t="s">
        <v>27</v>
      </c>
      <c r="M3" s="685" t="s">
        <v>28</v>
      </c>
      <c r="N3" s="862" t="s">
        <v>198</v>
      </c>
      <c r="O3" s="2325"/>
      <c r="P3" s="2326"/>
      <c r="Q3" s="104" t="s">
        <v>216</v>
      </c>
      <c r="R3" s="104" t="s">
        <v>217</v>
      </c>
      <c r="S3" s="105" t="s">
        <v>218</v>
      </c>
      <c r="T3" s="105" t="s">
        <v>219</v>
      </c>
      <c r="U3" s="2542"/>
      <c r="V3" s="2334"/>
      <c r="W3" s="2342"/>
      <c r="X3" s="2339"/>
      <c r="Y3" s="2342"/>
      <c r="Z3" s="2342"/>
      <c r="AA3" s="2461"/>
      <c r="AB3" s="2342"/>
      <c r="AC3" s="2342"/>
      <c r="AD3" s="2540"/>
      <c r="AE3" s="104" t="s">
        <v>216</v>
      </c>
      <c r="AF3" s="106" t="s">
        <v>217</v>
      </c>
      <c r="AG3" s="107" t="s">
        <v>216</v>
      </c>
      <c r="AH3" s="108" t="s">
        <v>217</v>
      </c>
      <c r="AI3" s="109" t="s">
        <v>218</v>
      </c>
      <c r="AJ3" s="110" t="s">
        <v>219</v>
      </c>
      <c r="AK3" s="2352"/>
      <c r="AL3" s="2352"/>
      <c r="AM3" s="105" t="s">
        <v>218</v>
      </c>
      <c r="AN3" s="111" t="s">
        <v>219</v>
      </c>
    </row>
    <row r="4" spans="1:40" s="101" customFormat="1" ht="15" customHeight="1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863" t="s">
        <v>31</v>
      </c>
      <c r="J4" s="115" t="s">
        <v>31</v>
      </c>
      <c r="K4" s="118" t="s">
        <v>31</v>
      </c>
      <c r="L4" s="116" t="s">
        <v>31</v>
      </c>
      <c r="M4" s="122" t="s">
        <v>31</v>
      </c>
      <c r="N4" s="117" t="s">
        <v>31</v>
      </c>
      <c r="O4" s="118" t="s">
        <v>30</v>
      </c>
      <c r="P4" s="116" t="s">
        <v>30</v>
      </c>
      <c r="Q4" s="116" t="s">
        <v>30</v>
      </c>
      <c r="R4" s="116" t="s">
        <v>30</v>
      </c>
      <c r="S4" s="119" t="s">
        <v>35</v>
      </c>
      <c r="T4" s="119" t="s">
        <v>35</v>
      </c>
      <c r="U4" s="2543"/>
      <c r="V4" s="2335"/>
      <c r="W4" s="120" t="s">
        <v>32</v>
      </c>
      <c r="X4" s="2340"/>
      <c r="Y4" s="120" t="s">
        <v>33</v>
      </c>
      <c r="Z4" s="120" t="s">
        <v>33</v>
      </c>
      <c r="AA4" s="121" t="s">
        <v>34</v>
      </c>
      <c r="AB4" s="120" t="s">
        <v>35</v>
      </c>
      <c r="AC4" s="120" t="s">
        <v>34</v>
      </c>
      <c r="AD4" s="120" t="s">
        <v>30</v>
      </c>
      <c r="AE4" s="116" t="s">
        <v>30</v>
      </c>
      <c r="AF4" s="122" t="s">
        <v>30</v>
      </c>
      <c r="AG4" s="123" t="s">
        <v>30</v>
      </c>
      <c r="AH4" s="124" t="s">
        <v>30</v>
      </c>
      <c r="AI4" s="125" t="s">
        <v>35</v>
      </c>
      <c r="AJ4" s="119" t="s">
        <v>35</v>
      </c>
      <c r="AK4" s="119" t="s">
        <v>35</v>
      </c>
      <c r="AL4" s="119" t="s">
        <v>35</v>
      </c>
      <c r="AM4" s="119" t="s">
        <v>35</v>
      </c>
      <c r="AN4" s="126" t="s">
        <v>35</v>
      </c>
    </row>
    <row r="5" spans="1:40" ht="12.75" customHeight="1" x14ac:dyDescent="0.2">
      <c r="A5" s="929">
        <v>6</v>
      </c>
      <c r="B5" s="2306" t="s">
        <v>100</v>
      </c>
      <c r="C5" s="2482" t="s">
        <v>43</v>
      </c>
      <c r="D5" s="672">
        <v>1.4</v>
      </c>
      <c r="E5" s="490" t="s">
        <v>39</v>
      </c>
      <c r="F5" s="491" t="s">
        <v>100</v>
      </c>
      <c r="G5" s="2242">
        <f>121.2/1.73/8.454</f>
        <v>8.2869415032183689</v>
      </c>
      <c r="H5" s="2243">
        <f>121.2/(2*6.667)</f>
        <v>9.0895455227238635</v>
      </c>
      <c r="I5" s="492"/>
      <c r="J5" s="348">
        <v>6.88</v>
      </c>
      <c r="K5" s="931"/>
      <c r="L5" s="931"/>
      <c r="M5" s="801"/>
      <c r="N5" s="943"/>
      <c r="O5" s="351">
        <f t="shared" ref="O5:O10" si="0">0.314*I5+0.249*J5+0.195*K5+0.159*L5+0.06*M5</f>
        <v>1.71312</v>
      </c>
      <c r="P5" s="349">
        <f t="shared" ref="P5:P10" si="1">0.4*SUM(I5:M5)</f>
        <v>2.7520000000000002</v>
      </c>
      <c r="Q5" s="352">
        <f t="shared" ref="Q5:Q10" si="2">SQRT(POWER(O5,2)+POWER(P5+G5,2))</f>
        <v>11.171079162098756</v>
      </c>
      <c r="R5" s="353">
        <f t="shared" ref="R5:R10" si="3">SQRT(POWER(O5,2)+POWER(P5+H5,2))</f>
        <v>11.964822627232783</v>
      </c>
      <c r="S5" s="354">
        <f t="shared" ref="S5:S46" si="4">37000/1.73/SQRT(POWER((G5+P5),2)+O5*O5)</f>
        <v>1914.5225744668435</v>
      </c>
      <c r="T5" s="357">
        <f t="shared" ref="T5:T46" si="5">37000/2/SQRT(O5*O5+POWER((H5+P5),2))</f>
        <v>1546.1992690048485</v>
      </c>
      <c r="U5" s="544">
        <v>1</v>
      </c>
      <c r="V5" s="349" t="s">
        <v>192</v>
      </c>
      <c r="W5" s="349">
        <v>4</v>
      </c>
      <c r="X5" s="349">
        <v>11</v>
      </c>
      <c r="Y5" s="349">
        <v>35</v>
      </c>
      <c r="Z5" s="493">
        <v>6.3</v>
      </c>
      <c r="AA5" s="493">
        <v>6.3</v>
      </c>
      <c r="AB5" s="349"/>
      <c r="AC5" s="349"/>
      <c r="AD5" s="528">
        <f t="shared" ref="AD5:AD10" si="6">AA5/100*Y5*Y5/W5</f>
        <v>19.293749999999999</v>
      </c>
      <c r="AE5" s="351">
        <f t="shared" ref="AE5:AE46" si="7">SQRT(POWER(O5,2)+POWER(P5+AD5+G5,2))</f>
        <v>30.381029507964598</v>
      </c>
      <c r="AF5" s="355">
        <f t="shared" ref="AF5:AF46" si="8">SQRT(POWER(O5,2)+POWER(P5+AD5+H5,2))</f>
        <v>31.182389379612147</v>
      </c>
      <c r="AG5" s="1239">
        <f t="shared" ref="AG5:AG46" si="9">SQRT(POWER((AD5+P5+G5),2)+POWER(O5,2))*POWER(6.3/35,2)</f>
        <v>0.98434535605805296</v>
      </c>
      <c r="AH5" s="1240">
        <f t="shared" ref="AH5:AH46" si="10">SQRT(POWER((H5+P5+AD5),2)+POWER(O5,2))*POWER(6.3/35,2)</f>
        <v>1.0103094158994337</v>
      </c>
      <c r="AI5" s="356">
        <f t="shared" ref="AI5:AI46" si="11">37000/1.73/SQRT(POWER((G5+P5+AD5),2)+O5*O5)</f>
        <v>703.96835075609897</v>
      </c>
      <c r="AJ5" s="354">
        <f t="shared" ref="AJ5:AJ46" si="12">37000/2/SQRT(POWER((H5+P5+AD5),2)+O5*O5)</f>
        <v>593.28359269658074</v>
      </c>
      <c r="AK5" s="354">
        <f>AJ5/1.2</f>
        <v>494.40299391381728</v>
      </c>
      <c r="AL5" s="354">
        <f>AJ5/1.5</f>
        <v>395.52239513105383</v>
      </c>
      <c r="AM5" s="354">
        <f>6300/(1.73*AG5)</f>
        <v>3699.533374844365</v>
      </c>
      <c r="AN5" s="358">
        <f>6300/(2*AH5)</f>
        <v>3117.8567183754244</v>
      </c>
    </row>
    <row r="6" spans="1:40" ht="12.75" customHeight="1" x14ac:dyDescent="0.2">
      <c r="A6" s="161">
        <v>6</v>
      </c>
      <c r="B6" s="2359"/>
      <c r="C6" s="2363"/>
      <c r="D6" s="673">
        <v>1.4</v>
      </c>
      <c r="E6" s="145" t="s">
        <v>39</v>
      </c>
      <c r="F6" s="146" t="s">
        <v>100</v>
      </c>
      <c r="G6" s="2244">
        <f>121.2/1.73/8.444</f>
        <v>8.2967555031037516</v>
      </c>
      <c r="H6" s="2244">
        <f>121.2/(2*6.657)</f>
        <v>9.1031996394772428</v>
      </c>
      <c r="I6" s="660"/>
      <c r="J6" s="148">
        <v>6.68</v>
      </c>
      <c r="K6" s="149"/>
      <c r="L6" s="149"/>
      <c r="M6" s="687"/>
      <c r="N6" s="150"/>
      <c r="O6" s="151">
        <f t="shared" si="0"/>
        <v>1.6633199999999999</v>
      </c>
      <c r="P6" s="152">
        <f t="shared" si="1"/>
        <v>2.6720000000000002</v>
      </c>
      <c r="Q6" s="153">
        <f t="shared" si="2"/>
        <v>11.09415299647832</v>
      </c>
      <c r="R6" s="154">
        <f t="shared" si="3"/>
        <v>11.892096533914657</v>
      </c>
      <c r="S6" s="155">
        <f t="shared" si="4"/>
        <v>1927.797754707665</v>
      </c>
      <c r="T6" s="361">
        <f t="shared" si="5"/>
        <v>1555.6550476394548</v>
      </c>
      <c r="U6" s="546">
        <v>2</v>
      </c>
      <c r="V6" s="152" t="s">
        <v>192</v>
      </c>
      <c r="W6" s="152">
        <v>4</v>
      </c>
      <c r="X6" s="152">
        <v>11</v>
      </c>
      <c r="Y6" s="152">
        <v>35</v>
      </c>
      <c r="Z6" s="494">
        <v>6.3</v>
      </c>
      <c r="AA6" s="494">
        <v>6.14</v>
      </c>
      <c r="AB6" s="152"/>
      <c r="AC6" s="152"/>
      <c r="AD6" s="274">
        <f t="shared" si="6"/>
        <v>18.803750000000001</v>
      </c>
      <c r="AE6" s="151">
        <f t="shared" si="7"/>
        <v>29.818932196756194</v>
      </c>
      <c r="AF6" s="156">
        <f t="shared" si="8"/>
        <v>30.624153775673303</v>
      </c>
      <c r="AG6" s="1303">
        <f t="shared" si="9"/>
        <v>0.9661334031749006</v>
      </c>
      <c r="AH6" s="1304">
        <f t="shared" si="10"/>
        <v>0.99222258233181493</v>
      </c>
      <c r="AI6" s="360">
        <f t="shared" si="11"/>
        <v>717.2384006198854</v>
      </c>
      <c r="AJ6" s="155">
        <f t="shared" si="12"/>
        <v>604.09832498606761</v>
      </c>
      <c r="AK6" s="155">
        <f t="shared" ref="AK6:AK40" si="13">AJ6/1.2</f>
        <v>503.41527082172303</v>
      </c>
      <c r="AL6" s="155">
        <f t="shared" ref="AL6:AL46" si="14">AJ6/1.5</f>
        <v>402.73221665737839</v>
      </c>
      <c r="AM6" s="137">
        <f t="shared" ref="AM6:AM46" si="15">6300/(1.73*AG6)</f>
        <v>3769.2708741285273</v>
      </c>
      <c r="AN6" s="160">
        <f t="shared" ref="AN6:AN46" si="16">6300/(2*AH6)</f>
        <v>3174.6908970739291</v>
      </c>
    </row>
    <row r="7" spans="1:40" x14ac:dyDescent="0.2">
      <c r="A7" s="161">
        <v>6</v>
      </c>
      <c r="B7" s="2358" t="s">
        <v>379</v>
      </c>
      <c r="C7" s="2362" t="s">
        <v>43</v>
      </c>
      <c r="D7" s="673">
        <v>5.8</v>
      </c>
      <c r="E7" s="145" t="s">
        <v>39</v>
      </c>
      <c r="F7" s="146" t="s">
        <v>44</v>
      </c>
      <c r="G7" s="154">
        <v>5.835</v>
      </c>
      <c r="H7" s="156">
        <v>7.0460000000000003</v>
      </c>
      <c r="I7" s="147"/>
      <c r="J7" s="148">
        <v>15.12</v>
      </c>
      <c r="K7" s="149">
        <v>0.55000000000000004</v>
      </c>
      <c r="L7" s="149"/>
      <c r="M7" s="687"/>
      <c r="N7" s="150"/>
      <c r="O7" s="151">
        <f t="shared" si="0"/>
        <v>3.8721299999999998</v>
      </c>
      <c r="P7" s="152">
        <f t="shared" si="1"/>
        <v>6.2680000000000007</v>
      </c>
      <c r="Q7" s="153">
        <f t="shared" si="2"/>
        <v>12.707320714332351</v>
      </c>
      <c r="R7" s="154">
        <f t="shared" si="3"/>
        <v>13.865640509435545</v>
      </c>
      <c r="S7" s="155">
        <f t="shared" si="4"/>
        <v>1683.0678722755379</v>
      </c>
      <c r="T7" s="361">
        <f t="shared" si="5"/>
        <v>1334.233350952001</v>
      </c>
      <c r="U7" s="546">
        <v>1</v>
      </c>
      <c r="V7" s="152" t="s">
        <v>50</v>
      </c>
      <c r="W7" s="152">
        <v>6.3</v>
      </c>
      <c r="X7" s="152">
        <v>11</v>
      </c>
      <c r="Y7" s="152">
        <v>35</v>
      </c>
      <c r="Z7" s="494">
        <v>6.3</v>
      </c>
      <c r="AA7" s="494">
        <v>7.82</v>
      </c>
      <c r="AB7" s="152"/>
      <c r="AC7" s="152"/>
      <c r="AD7" s="274">
        <f t="shared" si="6"/>
        <v>15.205555555555556</v>
      </c>
      <c r="AE7" s="151">
        <f t="shared" si="7"/>
        <v>27.581707656846852</v>
      </c>
      <c r="AF7" s="156">
        <f t="shared" si="8"/>
        <v>28.781216788442418</v>
      </c>
      <c r="AG7" s="157">
        <f t="shared" si="9"/>
        <v>0.893647328081838</v>
      </c>
      <c r="AH7" s="158">
        <f t="shared" si="10"/>
        <v>0.93251142394553432</v>
      </c>
      <c r="AI7" s="360">
        <f t="shared" si="11"/>
        <v>775.41548562114008</v>
      </c>
      <c r="AJ7" s="155">
        <f t="shared" si="12"/>
        <v>642.78032912871799</v>
      </c>
      <c r="AK7" s="155">
        <f t="shared" si="13"/>
        <v>535.6502742739317</v>
      </c>
      <c r="AL7" s="155">
        <f t="shared" si="14"/>
        <v>428.52021941914535</v>
      </c>
      <c r="AM7" s="137">
        <f t="shared" si="15"/>
        <v>4075.0063058168021</v>
      </c>
      <c r="AN7" s="160">
        <f t="shared" si="16"/>
        <v>3377.9747026283976</v>
      </c>
    </row>
    <row r="8" spans="1:40" ht="12.75" customHeight="1" x14ac:dyDescent="0.2">
      <c r="A8" s="161">
        <v>6</v>
      </c>
      <c r="B8" s="2359"/>
      <c r="C8" s="2363"/>
      <c r="D8" s="673">
        <v>5.8</v>
      </c>
      <c r="E8" s="145" t="s">
        <v>39</v>
      </c>
      <c r="F8" s="146" t="s">
        <v>44</v>
      </c>
      <c r="G8" s="154">
        <v>5.835</v>
      </c>
      <c r="H8" s="156">
        <v>7.0460000000000003</v>
      </c>
      <c r="I8" s="147"/>
      <c r="J8" s="148">
        <v>15.32</v>
      </c>
      <c r="K8" s="149">
        <v>0.55000000000000004</v>
      </c>
      <c r="L8" s="149"/>
      <c r="M8" s="687"/>
      <c r="N8" s="150"/>
      <c r="O8" s="151">
        <f t="shared" si="0"/>
        <v>3.9219300000000001</v>
      </c>
      <c r="P8" s="152">
        <f t="shared" si="1"/>
        <v>6.3480000000000008</v>
      </c>
      <c r="Q8" s="153">
        <f t="shared" si="2"/>
        <v>12.798711807244509</v>
      </c>
      <c r="R8" s="154">
        <f t="shared" si="3"/>
        <v>13.956388176204474</v>
      </c>
      <c r="S8" s="155">
        <f t="shared" si="4"/>
        <v>1671.0496774283397</v>
      </c>
      <c r="T8" s="361">
        <f t="shared" si="5"/>
        <v>1325.5578568345029</v>
      </c>
      <c r="U8" s="546">
        <v>2</v>
      </c>
      <c r="V8" s="152" t="s">
        <v>50</v>
      </c>
      <c r="W8" s="152">
        <v>6.3</v>
      </c>
      <c r="X8" s="152">
        <v>11</v>
      </c>
      <c r="Y8" s="152">
        <v>35</v>
      </c>
      <c r="Z8" s="494">
        <v>6.3</v>
      </c>
      <c r="AA8" s="494">
        <v>8.14</v>
      </c>
      <c r="AB8" s="152"/>
      <c r="AC8" s="152"/>
      <c r="AD8" s="274">
        <f t="shared" si="6"/>
        <v>15.827777777777779</v>
      </c>
      <c r="AE8" s="151">
        <f t="shared" si="7"/>
        <v>28.284009734140415</v>
      </c>
      <c r="AF8" s="156">
        <f t="shared" si="8"/>
        <v>29.483789298845686</v>
      </c>
      <c r="AG8" s="157">
        <f t="shared" si="9"/>
        <v>0.91640191538614946</v>
      </c>
      <c r="AH8" s="158">
        <f t="shared" si="10"/>
        <v>0.95527477328260013</v>
      </c>
      <c r="AI8" s="360">
        <f t="shared" si="11"/>
        <v>756.16164179078714</v>
      </c>
      <c r="AJ8" s="155">
        <f t="shared" si="12"/>
        <v>627.46344482675738</v>
      </c>
      <c r="AK8" s="155">
        <f t="shared" si="13"/>
        <v>522.88620402229787</v>
      </c>
      <c r="AL8" s="155">
        <f t="shared" si="14"/>
        <v>418.30896321783825</v>
      </c>
      <c r="AM8" s="137">
        <f t="shared" si="15"/>
        <v>3973.8224418434756</v>
      </c>
      <c r="AN8" s="160">
        <f t="shared" si="16"/>
        <v>3297.4805659063832</v>
      </c>
    </row>
    <row r="9" spans="1:40" ht="12.75" customHeight="1" x14ac:dyDescent="0.2">
      <c r="A9" s="161">
        <v>6</v>
      </c>
      <c r="B9" s="2358" t="s">
        <v>309</v>
      </c>
      <c r="C9" s="2360" t="s">
        <v>351</v>
      </c>
      <c r="D9" s="673">
        <v>5.8</v>
      </c>
      <c r="E9" s="145" t="s">
        <v>39</v>
      </c>
      <c r="F9" s="146" t="s">
        <v>44</v>
      </c>
      <c r="G9" s="154">
        <v>5.835</v>
      </c>
      <c r="H9" s="156">
        <v>7.0460000000000003</v>
      </c>
      <c r="I9" s="147"/>
      <c r="J9" s="148">
        <v>15.1</v>
      </c>
      <c r="K9" s="149">
        <v>0.55000000000000004</v>
      </c>
      <c r="L9" s="149"/>
      <c r="M9" s="687"/>
      <c r="N9" s="150"/>
      <c r="O9" s="151">
        <f t="shared" si="0"/>
        <v>3.8671500000000001</v>
      </c>
      <c r="P9" s="152">
        <f t="shared" si="1"/>
        <v>6.2600000000000007</v>
      </c>
      <c r="Q9" s="153">
        <f t="shared" si="2"/>
        <v>12.69818389071839</v>
      </c>
      <c r="R9" s="154">
        <f t="shared" si="3"/>
        <v>13.856568302523538</v>
      </c>
      <c r="S9" s="155">
        <f t="shared" si="4"/>
        <v>1684.2789032711237</v>
      </c>
      <c r="T9" s="361">
        <f t="shared" si="5"/>
        <v>1335.1069035347523</v>
      </c>
      <c r="U9" s="546">
        <v>1</v>
      </c>
      <c r="V9" s="152" t="s">
        <v>194</v>
      </c>
      <c r="W9" s="152">
        <v>6.3</v>
      </c>
      <c r="X9" s="152">
        <v>11</v>
      </c>
      <c r="Y9" s="152">
        <v>35</v>
      </c>
      <c r="Z9" s="494">
        <v>6.3</v>
      </c>
      <c r="AA9" s="494">
        <v>6.74</v>
      </c>
      <c r="AB9" s="152"/>
      <c r="AC9" s="152"/>
      <c r="AD9" s="274">
        <f t="shared" si="6"/>
        <v>13.105555555555556</v>
      </c>
      <c r="AE9" s="151">
        <f t="shared" si="7"/>
        <v>25.495545678238425</v>
      </c>
      <c r="AF9" s="156">
        <f t="shared" si="8"/>
        <v>26.693166091468008</v>
      </c>
      <c r="AG9" s="157">
        <f t="shared" si="9"/>
        <v>0.82605567997492491</v>
      </c>
      <c r="AH9" s="158">
        <f t="shared" si="10"/>
        <v>0.86485858136356364</v>
      </c>
      <c r="AI9" s="360">
        <f t="shared" si="11"/>
        <v>838.8635217660476</v>
      </c>
      <c r="AJ9" s="155">
        <f t="shared" si="12"/>
        <v>693.0612852970329</v>
      </c>
      <c r="AK9" s="155">
        <f t="shared" si="13"/>
        <v>577.55107108086077</v>
      </c>
      <c r="AL9" s="155">
        <f t="shared" si="14"/>
        <v>462.04085686468858</v>
      </c>
      <c r="AM9" s="137">
        <f t="shared" si="15"/>
        <v>4408.4419312029531</v>
      </c>
      <c r="AN9" s="160">
        <f t="shared" si="16"/>
        <v>3642.2139617711946</v>
      </c>
    </row>
    <row r="10" spans="1:40" ht="12.75" customHeight="1" x14ac:dyDescent="0.2">
      <c r="A10" s="161">
        <v>6</v>
      </c>
      <c r="B10" s="2359"/>
      <c r="C10" s="2361"/>
      <c r="D10" s="673">
        <v>5.8</v>
      </c>
      <c r="E10" s="145" t="s">
        <v>39</v>
      </c>
      <c r="F10" s="146" t="s">
        <v>44</v>
      </c>
      <c r="G10" s="154">
        <v>5.835</v>
      </c>
      <c r="H10" s="156">
        <v>7.0460000000000003</v>
      </c>
      <c r="I10" s="147"/>
      <c r="J10" s="148">
        <v>15.3</v>
      </c>
      <c r="K10" s="149">
        <v>0.55000000000000004</v>
      </c>
      <c r="L10" s="149"/>
      <c r="M10" s="687"/>
      <c r="N10" s="150"/>
      <c r="O10" s="151">
        <f t="shared" si="0"/>
        <v>3.9169500000000004</v>
      </c>
      <c r="P10" s="152">
        <f t="shared" si="1"/>
        <v>6.3400000000000007</v>
      </c>
      <c r="Q10" s="153">
        <f t="shared" si="2"/>
        <v>12.789570841216682</v>
      </c>
      <c r="R10" s="154">
        <f t="shared" si="3"/>
        <v>13.947311328800975</v>
      </c>
      <c r="S10" s="155">
        <f t="shared" si="4"/>
        <v>1672.2440105706964</v>
      </c>
      <c r="T10" s="361">
        <f t="shared" si="5"/>
        <v>1326.4205239183123</v>
      </c>
      <c r="U10" s="546">
        <v>2</v>
      </c>
      <c r="V10" s="152" t="s">
        <v>194</v>
      </c>
      <c r="W10" s="152">
        <v>6.3</v>
      </c>
      <c r="X10" s="152">
        <v>11</v>
      </c>
      <c r="Y10" s="152">
        <v>35</v>
      </c>
      <c r="Z10" s="494">
        <v>6.3</v>
      </c>
      <c r="AA10" s="494">
        <v>6.96</v>
      </c>
      <c r="AB10" s="152"/>
      <c r="AC10" s="152"/>
      <c r="AD10" s="274">
        <f t="shared" si="6"/>
        <v>13.533333333333331</v>
      </c>
      <c r="AE10" s="151">
        <f t="shared" si="7"/>
        <v>26.005016825225812</v>
      </c>
      <c r="AF10" s="156">
        <f t="shared" si="8"/>
        <v>27.202812435731914</v>
      </c>
      <c r="AG10" s="157">
        <f t="shared" si="9"/>
        <v>0.84256254513731632</v>
      </c>
      <c r="AH10" s="158">
        <f t="shared" si="10"/>
        <v>0.88137112291771413</v>
      </c>
      <c r="AI10" s="360">
        <f t="shared" si="11"/>
        <v>822.42912514664386</v>
      </c>
      <c r="AJ10" s="155">
        <f t="shared" si="12"/>
        <v>680.07673999544079</v>
      </c>
      <c r="AK10" s="155">
        <f t="shared" si="13"/>
        <v>566.73061666286731</v>
      </c>
      <c r="AL10" s="155">
        <f t="shared" si="14"/>
        <v>453.38449333029388</v>
      </c>
      <c r="AM10" s="137">
        <f t="shared" si="15"/>
        <v>4322.0749820018827</v>
      </c>
      <c r="AN10" s="160">
        <f t="shared" si="16"/>
        <v>3573.9768618379021</v>
      </c>
    </row>
    <row r="11" spans="1:40" ht="12.75" customHeight="1" x14ac:dyDescent="0.2">
      <c r="A11" s="161">
        <v>6</v>
      </c>
      <c r="B11" s="2358" t="s">
        <v>168</v>
      </c>
      <c r="C11" s="2362" t="s">
        <v>341</v>
      </c>
      <c r="D11" s="673">
        <v>1.2</v>
      </c>
      <c r="E11" s="145" t="s">
        <v>39</v>
      </c>
      <c r="F11" s="146" t="s">
        <v>46</v>
      </c>
      <c r="G11" s="2245">
        <f>Мартыновская!G15</f>
        <v>4.9020181386774881</v>
      </c>
      <c r="H11" s="2246">
        <f>Мартыновская!H15</f>
        <v>5.2862861120779669</v>
      </c>
      <c r="I11" s="147"/>
      <c r="J11" s="148">
        <v>23.01</v>
      </c>
      <c r="K11" s="149"/>
      <c r="L11" s="149"/>
      <c r="M11" s="687"/>
      <c r="N11" s="150"/>
      <c r="O11" s="151">
        <f t="shared" ref="O11:O18" si="17">0.314*I11+0.249*J11+0.195*K11+0.159*L11+0.06*M11</f>
        <v>5.7294900000000002</v>
      </c>
      <c r="P11" s="152">
        <f t="shared" ref="P11:P18" si="18">0.4*SUM(I11:M11)</f>
        <v>9.2040000000000006</v>
      </c>
      <c r="Q11" s="153">
        <f t="shared" ref="Q11:Q19" si="19">SQRT(POWER(O11,2)+POWER(P11+G11,2))</f>
        <v>15.225202901399978</v>
      </c>
      <c r="R11" s="154">
        <f t="shared" ref="R11:R18" si="20">SQRT(POWER(O11,2)+POWER(P11+H11,2))</f>
        <v>15.581894854926331</v>
      </c>
      <c r="S11" s="155">
        <f>37000/1.73/SQRT(POWER((G11+P11),2)+O11*O11)</f>
        <v>1404.7289468324675</v>
      </c>
      <c r="T11" s="361">
        <f>37000/2/SQRT(O11*O11+POWER((H11+P11),2))</f>
        <v>1187.275371335925</v>
      </c>
      <c r="U11" s="546">
        <v>1</v>
      </c>
      <c r="V11" s="152" t="s">
        <v>195</v>
      </c>
      <c r="W11" s="864">
        <v>6.3</v>
      </c>
      <c r="X11" s="152">
        <v>11</v>
      </c>
      <c r="Y11" s="864">
        <v>35</v>
      </c>
      <c r="Z11" s="865">
        <v>6.3</v>
      </c>
      <c r="AA11" s="864">
        <v>8.1300000000000008</v>
      </c>
      <c r="AB11" s="152"/>
      <c r="AC11" s="152">
        <v>5</v>
      </c>
      <c r="AD11" s="274">
        <f t="shared" ref="AD11:AD18" si="21">AA11/100*Y11*Y11/W11</f>
        <v>15.808333333333335</v>
      </c>
      <c r="AE11" s="151">
        <f>SQRT(POWER(O11,2)+POWER(P11+AD11+G11,2))</f>
        <v>30.458093828260104</v>
      </c>
      <c r="AF11" s="156">
        <f>SQRT(POWER(O11,2)+POWER(P11+AD11+H11,2))</f>
        <v>30.835586518792795</v>
      </c>
      <c r="AG11" s="157">
        <f>SQRT(POWER((AD11+P11+G11),2)+POWER(O11,2))*POWER(6.3/35,2)</f>
        <v>0.98684224003562726</v>
      </c>
      <c r="AH11" s="158">
        <f>SQRT(POWER((H11+P11+AD11),2)+POWER(O11,2))*POWER(6.3/35,2)</f>
        <v>0.99907300320888648</v>
      </c>
      <c r="AI11" s="360">
        <f>37000/1.73/SQRT(POWER((G11+P11+AD11),2)+O11*O11)</f>
        <v>702.18718733968637</v>
      </c>
      <c r="AJ11" s="155">
        <f>37000/2/SQRT(POWER((H11+P11+AD11),2)+O11*O11)</f>
        <v>599.95615743274891</v>
      </c>
      <c r="AK11" s="155">
        <f>AJ11/1.2</f>
        <v>499.9634645272908</v>
      </c>
      <c r="AL11" s="155">
        <f>AJ11/1.5</f>
        <v>399.97077162183263</v>
      </c>
      <c r="AM11" s="155">
        <f>6300/(1.73*AG11)</f>
        <v>3690.1729064397932</v>
      </c>
      <c r="AN11" s="160">
        <f>6300/(2*AH11)</f>
        <v>3152.9227492712034</v>
      </c>
    </row>
    <row r="12" spans="1:40" ht="12.75" customHeight="1" x14ac:dyDescent="0.2">
      <c r="A12" s="161">
        <v>6</v>
      </c>
      <c r="B12" s="2359"/>
      <c r="C12" s="2363"/>
      <c r="D12" s="673">
        <v>1.2</v>
      </c>
      <c r="E12" s="145" t="s">
        <v>39</v>
      </c>
      <c r="F12" s="146" t="s">
        <v>46</v>
      </c>
      <c r="G12" s="2245">
        <f>Мартыновская!G16</f>
        <v>4.8982573492001933</v>
      </c>
      <c r="H12" s="2246">
        <f>Мартыновская!H16</f>
        <v>5.2312064066132784</v>
      </c>
      <c r="I12" s="147"/>
      <c r="J12" s="148">
        <v>23.01</v>
      </c>
      <c r="K12" s="149"/>
      <c r="L12" s="149"/>
      <c r="M12" s="687"/>
      <c r="N12" s="150"/>
      <c r="O12" s="151">
        <f t="shared" si="17"/>
        <v>5.7294900000000002</v>
      </c>
      <c r="P12" s="152">
        <f t="shared" si="18"/>
        <v>9.2040000000000006</v>
      </c>
      <c r="Q12" s="153">
        <f t="shared" si="19"/>
        <v>15.221718628432562</v>
      </c>
      <c r="R12" s="154">
        <f t="shared" si="20"/>
        <v>15.530687031217552</v>
      </c>
      <c r="S12" s="155">
        <f>37000/1.73/SQRT(POWER((G12+P12),2)+O12*O12)</f>
        <v>1405.0504912792853</v>
      </c>
      <c r="T12" s="361">
        <f>37000/2/SQRT(O12*O12+POWER((H12+P12),2))</f>
        <v>1191.1900589339004</v>
      </c>
      <c r="U12" s="546">
        <v>2</v>
      </c>
      <c r="V12" s="152" t="s">
        <v>195</v>
      </c>
      <c r="W12" s="864">
        <v>6.3</v>
      </c>
      <c r="X12" s="152">
        <v>11</v>
      </c>
      <c r="Y12" s="864">
        <v>35</v>
      </c>
      <c r="Z12" s="865">
        <v>6.3</v>
      </c>
      <c r="AA12" s="864">
        <v>8.1300000000000008</v>
      </c>
      <c r="AB12" s="152"/>
      <c r="AC12" s="152">
        <v>5</v>
      </c>
      <c r="AD12" s="274">
        <f t="shared" si="21"/>
        <v>15.808333333333335</v>
      </c>
      <c r="AE12" s="151">
        <f>SQRT(POWER(O12,2)+POWER(P12+AD12+G12,2))</f>
        <v>30.454400185164733</v>
      </c>
      <c r="AF12" s="156">
        <f>SQRT(POWER(O12,2)+POWER(P12+AD12+H12,2))</f>
        <v>30.781467665818507</v>
      </c>
      <c r="AG12" s="157">
        <f>SQRT(POWER((AD12+P12+G12),2)+POWER(O12,2))*POWER(6.3/35,2)</f>
        <v>0.98672256599933728</v>
      </c>
      <c r="AH12" s="158">
        <f>SQRT(POWER((H12+P12+AD12),2)+POWER(O12,2))*POWER(6.3/35,2)</f>
        <v>0.99731955237251946</v>
      </c>
      <c r="AI12" s="360">
        <f>37000/1.73/SQRT(POWER((G12+P12+AD12),2)+O12*O12)</f>
        <v>702.27235167851427</v>
      </c>
      <c r="AJ12" s="155">
        <f>37000/2/SQRT(POWER((H12+P12+AD12),2)+O12*O12)</f>
        <v>601.01097845127947</v>
      </c>
      <c r="AK12" s="155">
        <f>AJ12/1.2</f>
        <v>500.84248204273291</v>
      </c>
      <c r="AL12" s="155">
        <f>AJ12/1.5</f>
        <v>400.67398563418629</v>
      </c>
      <c r="AM12" s="137">
        <f>6300/(1.73*AG12)</f>
        <v>3690.6204667789793</v>
      </c>
      <c r="AN12" s="160">
        <f>6300/(2*AH12)</f>
        <v>3158.4661029721897</v>
      </c>
    </row>
    <row r="13" spans="1:40" ht="12.75" customHeight="1" x14ac:dyDescent="0.2">
      <c r="A13" s="932">
        <v>6</v>
      </c>
      <c r="B13" s="2358" t="s">
        <v>140</v>
      </c>
      <c r="C13" s="2362" t="s">
        <v>43</v>
      </c>
      <c r="D13" s="649">
        <v>1.4</v>
      </c>
      <c r="E13" s="128" t="s">
        <v>39</v>
      </c>
      <c r="F13" s="655" t="s">
        <v>100</v>
      </c>
      <c r="G13" s="2247">
        <f>G5</f>
        <v>8.2869415032183689</v>
      </c>
      <c r="H13" s="2248">
        <f>H5</f>
        <v>9.0895455227238635</v>
      </c>
      <c r="I13" s="131"/>
      <c r="J13" s="132">
        <v>11.28</v>
      </c>
      <c r="K13" s="133"/>
      <c r="L13" s="133"/>
      <c r="M13" s="686"/>
      <c r="N13" s="134"/>
      <c r="O13" s="878">
        <f t="shared" si="17"/>
        <v>2.8087199999999997</v>
      </c>
      <c r="P13" s="129">
        <f t="shared" si="18"/>
        <v>4.5119999999999996</v>
      </c>
      <c r="Q13" s="135">
        <f t="shared" si="19"/>
        <v>13.103503792543645</v>
      </c>
      <c r="R13" s="136">
        <f t="shared" si="20"/>
        <v>13.888518590732764</v>
      </c>
      <c r="S13" s="137">
        <f>37000/1.73/SQRT(POWER((G13+P13),2)+O13*O13)</f>
        <v>1632.1804897072138</v>
      </c>
      <c r="T13" s="142">
        <f>37000/2/SQRT(O13*O13+POWER((H13+P13),2))</f>
        <v>1332.0355140212209</v>
      </c>
      <c r="U13" s="545">
        <v>1</v>
      </c>
      <c r="V13" s="129" t="s">
        <v>50</v>
      </c>
      <c r="W13" s="129">
        <v>6.3</v>
      </c>
      <c r="X13" s="129">
        <v>11</v>
      </c>
      <c r="Y13" s="129">
        <v>35</v>
      </c>
      <c r="Z13" s="495">
        <v>6.3</v>
      </c>
      <c r="AA13" s="495">
        <v>7.6</v>
      </c>
      <c r="AB13" s="129"/>
      <c r="AC13" s="129">
        <v>5</v>
      </c>
      <c r="AD13" s="529">
        <f t="shared" si="21"/>
        <v>14.77777777777778</v>
      </c>
      <c r="AE13" s="878">
        <f>SQRT(POWER(O13,2)+POWER(P13+AD13+G13,2))</f>
        <v>27.719385894014042</v>
      </c>
      <c r="AF13" s="138">
        <f>SQRT(POWER(O13,2)+POWER(P13+AD13+H13,2))</f>
        <v>28.517975016343559</v>
      </c>
      <c r="AG13" s="1237">
        <f>SQRT(POWER((AD13+P13+G13),2)+POWER(O13,2))*POWER(6.3/35,2)</f>
        <v>0.89810810296605492</v>
      </c>
      <c r="AH13" s="1238">
        <f>SQRT(POWER((H13+P13+AD13),2)+POWER(O13,2))*POWER(6.3/35,2)</f>
        <v>0.92398239052953135</v>
      </c>
      <c r="AI13" s="542">
        <f>37000/1.73/SQRT(POWER((G13+P13+AD13),2)+O13*O13)</f>
        <v>771.56410747226425</v>
      </c>
      <c r="AJ13" s="137">
        <f>37000/2/SQRT(POWER((H13+P13+AD13),2)+O13*O13)</f>
        <v>648.71366180094162</v>
      </c>
      <c r="AK13" s="137">
        <f>AJ13/1.2</f>
        <v>540.59471816745133</v>
      </c>
      <c r="AL13" s="137">
        <f>AJ13/1.5</f>
        <v>432.4757745339611</v>
      </c>
      <c r="AM13" s="137">
        <f>6300/(1.73*AG13)</f>
        <v>4054.7663305599481</v>
      </c>
      <c r="AN13" s="143">
        <f>6300/(2*AH13)</f>
        <v>3409.1558803352791</v>
      </c>
    </row>
    <row r="14" spans="1:40" ht="12.75" customHeight="1" x14ac:dyDescent="0.2">
      <c r="A14" s="161">
        <v>6</v>
      </c>
      <c r="B14" s="2359"/>
      <c r="C14" s="2363"/>
      <c r="D14" s="673">
        <v>1.4</v>
      </c>
      <c r="E14" s="128" t="s">
        <v>39</v>
      </c>
      <c r="F14" s="655" t="s">
        <v>100</v>
      </c>
      <c r="G14" s="2245">
        <f>G6</f>
        <v>8.2967555031037516</v>
      </c>
      <c r="H14" s="2249">
        <f>H6</f>
        <v>9.1031996394772428</v>
      </c>
      <c r="I14" s="131"/>
      <c r="J14" s="132">
        <v>11.08</v>
      </c>
      <c r="K14" s="133"/>
      <c r="L14" s="133"/>
      <c r="M14" s="686"/>
      <c r="N14" s="134"/>
      <c r="O14" s="878">
        <f t="shared" si="17"/>
        <v>2.7589199999999998</v>
      </c>
      <c r="P14" s="129">
        <f t="shared" si="18"/>
        <v>4.4320000000000004</v>
      </c>
      <c r="Q14" s="135">
        <f t="shared" si="19"/>
        <v>13.024317879420558</v>
      </c>
      <c r="R14" s="136">
        <f t="shared" si="20"/>
        <v>13.813517613081213</v>
      </c>
      <c r="S14" s="137">
        <f>37000/1.73/SQRT(POWER((G14+P14),2)+O14*O14)</f>
        <v>1642.103904020018</v>
      </c>
      <c r="T14" s="142">
        <f>37000/2/SQRT(O14*O14+POWER((H14+P14),2))</f>
        <v>1339.2678474945985</v>
      </c>
      <c r="U14" s="545">
        <v>2</v>
      </c>
      <c r="V14" s="129" t="s">
        <v>50</v>
      </c>
      <c r="W14" s="129">
        <v>6.3</v>
      </c>
      <c r="X14" s="152">
        <v>11</v>
      </c>
      <c r="Y14" s="129">
        <v>35</v>
      </c>
      <c r="Z14" s="495">
        <v>6.3</v>
      </c>
      <c r="AA14" s="495">
        <v>7.6</v>
      </c>
      <c r="AB14" s="129"/>
      <c r="AC14" s="129">
        <v>5</v>
      </c>
      <c r="AD14" s="529">
        <f t="shared" si="21"/>
        <v>14.77777777777778</v>
      </c>
      <c r="AE14" s="878">
        <f>SQRT(POWER(O14,2)+POWER(P14+AD14+G14,2))</f>
        <v>27.644547612479453</v>
      </c>
      <c r="AF14" s="138">
        <f>SQRT(POWER(O14,2)+POWER(P14+AD14+H14,2))</f>
        <v>28.447079459874136</v>
      </c>
      <c r="AG14" s="1237">
        <f>SQRT(POWER((AD14+P14+G14),2)+POWER(O14,2))*POWER(6.3/35,2)</f>
        <v>0.89568334264433425</v>
      </c>
      <c r="AH14" s="1238">
        <f>SQRT(POWER((H14+P14+AD14),2)+POWER(O14,2))*POWER(6.3/35,2)</f>
        <v>0.92168537449992194</v>
      </c>
      <c r="AI14" s="542">
        <f>37000/1.73/SQRT(POWER((G14+P14+AD14),2)+O14*O14)</f>
        <v>773.65285685989863</v>
      </c>
      <c r="AJ14" s="137">
        <f>37000/2/SQRT(POWER((H14+P14+AD14),2)+O14*O14)</f>
        <v>650.3303801747054</v>
      </c>
      <c r="AK14" s="155">
        <f>AJ14/1.2</f>
        <v>541.9419834789212</v>
      </c>
      <c r="AL14" s="155">
        <f>AJ14/1.5</f>
        <v>433.55358678313695</v>
      </c>
      <c r="AM14" s="137">
        <f>6300/(1.73*AG14)</f>
        <v>4065.7432417562245</v>
      </c>
      <c r="AN14" s="160">
        <f>6300/(2*AH14)</f>
        <v>3417.6521480652686</v>
      </c>
    </row>
    <row r="15" spans="1:40" ht="12.75" customHeight="1" x14ac:dyDescent="0.2">
      <c r="A15" s="161">
        <v>6</v>
      </c>
      <c r="B15" s="2358" t="s">
        <v>134</v>
      </c>
      <c r="C15" s="2362" t="s">
        <v>43</v>
      </c>
      <c r="D15" s="673">
        <v>1.4</v>
      </c>
      <c r="E15" s="145" t="s">
        <v>39</v>
      </c>
      <c r="F15" s="655" t="s">
        <v>100</v>
      </c>
      <c r="G15" s="2247">
        <f>G5</f>
        <v>8.2869415032183689</v>
      </c>
      <c r="H15" s="2248">
        <f>H5</f>
        <v>9.0895455227238635</v>
      </c>
      <c r="I15" s="147"/>
      <c r="J15" s="148">
        <v>5.47</v>
      </c>
      <c r="K15" s="149"/>
      <c r="L15" s="149"/>
      <c r="M15" s="687"/>
      <c r="N15" s="150"/>
      <c r="O15" s="151">
        <f t="shared" si="17"/>
        <v>1.3620299999999999</v>
      </c>
      <c r="P15" s="152">
        <f t="shared" si="18"/>
        <v>2.1880000000000002</v>
      </c>
      <c r="Q15" s="153">
        <f t="shared" si="19"/>
        <v>10.563120997922287</v>
      </c>
      <c r="R15" s="154">
        <f t="shared" si="20"/>
        <v>11.359496412165861</v>
      </c>
      <c r="S15" s="155">
        <f t="shared" si="4"/>
        <v>2024.7125107438408</v>
      </c>
      <c r="T15" s="361">
        <f t="shared" si="5"/>
        <v>1628.5933221640671</v>
      </c>
      <c r="U15" s="546">
        <v>1</v>
      </c>
      <c r="V15" s="152" t="s">
        <v>192</v>
      </c>
      <c r="W15" s="152">
        <v>4</v>
      </c>
      <c r="X15" s="152">
        <v>11</v>
      </c>
      <c r="Y15" s="152">
        <v>35</v>
      </c>
      <c r="Z15" s="494">
        <v>6.3</v>
      </c>
      <c r="AA15" s="494">
        <v>6.2</v>
      </c>
      <c r="AB15" s="152"/>
      <c r="AC15" s="152"/>
      <c r="AD15" s="274">
        <f t="shared" si="21"/>
        <v>18.987500000000001</v>
      </c>
      <c r="AE15" s="151">
        <f t="shared" si="7"/>
        <v>29.493907592102207</v>
      </c>
      <c r="AF15" s="156">
        <f t="shared" si="8"/>
        <v>30.295678012110042</v>
      </c>
      <c r="AG15" s="1303">
        <f t="shared" si="9"/>
        <v>0.95560260598411151</v>
      </c>
      <c r="AH15" s="1304">
        <f t="shared" si="10"/>
        <v>0.98157996759236543</v>
      </c>
      <c r="AI15" s="360">
        <f t="shared" si="11"/>
        <v>725.14241018105179</v>
      </c>
      <c r="AJ15" s="155">
        <f t="shared" si="12"/>
        <v>610.64815887616123</v>
      </c>
      <c r="AK15" s="155">
        <f t="shared" si="13"/>
        <v>508.8734657301344</v>
      </c>
      <c r="AL15" s="155">
        <f t="shared" si="14"/>
        <v>407.09877258410751</v>
      </c>
      <c r="AM15" s="137">
        <f t="shared" si="15"/>
        <v>3810.8084619124347</v>
      </c>
      <c r="AN15" s="160">
        <f t="shared" si="16"/>
        <v>3209.1119460458926</v>
      </c>
    </row>
    <row r="16" spans="1:40" ht="12.75" customHeight="1" x14ac:dyDescent="0.2">
      <c r="A16" s="161">
        <v>6</v>
      </c>
      <c r="B16" s="2359"/>
      <c r="C16" s="2363"/>
      <c r="D16" s="673">
        <v>1.4</v>
      </c>
      <c r="E16" s="145" t="s">
        <v>39</v>
      </c>
      <c r="F16" s="655" t="s">
        <v>100</v>
      </c>
      <c r="G16" s="2245">
        <f>G6</f>
        <v>8.2967555031037516</v>
      </c>
      <c r="H16" s="2249">
        <f>H6</f>
        <v>9.1031996394772428</v>
      </c>
      <c r="I16" s="147"/>
      <c r="J16" s="148">
        <v>5.0199999999999996</v>
      </c>
      <c r="K16" s="149"/>
      <c r="L16" s="149"/>
      <c r="M16" s="687"/>
      <c r="N16" s="150"/>
      <c r="O16" s="151">
        <f t="shared" si="17"/>
        <v>1.2499799999999999</v>
      </c>
      <c r="P16" s="152">
        <f t="shared" si="18"/>
        <v>2.008</v>
      </c>
      <c r="Q16" s="153">
        <f t="shared" si="19"/>
        <v>10.380290746368672</v>
      </c>
      <c r="R16" s="154">
        <f t="shared" si="20"/>
        <v>11.181288272319929</v>
      </c>
      <c r="S16" s="155">
        <f t="shared" si="4"/>
        <v>2060.3741994872457</v>
      </c>
      <c r="T16" s="361">
        <f t="shared" si="5"/>
        <v>1654.5499543016042</v>
      </c>
      <c r="U16" s="546">
        <v>2</v>
      </c>
      <c r="V16" s="152" t="s">
        <v>192</v>
      </c>
      <c r="W16" s="152">
        <v>4</v>
      </c>
      <c r="X16" s="152">
        <v>11</v>
      </c>
      <c r="Y16" s="152">
        <v>35</v>
      </c>
      <c r="Z16" s="494">
        <v>6.3</v>
      </c>
      <c r="AA16" s="494">
        <v>6.35</v>
      </c>
      <c r="AB16" s="152"/>
      <c r="AC16" s="152"/>
      <c r="AD16" s="274">
        <f t="shared" si="21"/>
        <v>19.446875000000002</v>
      </c>
      <c r="AE16" s="151">
        <f t="shared" si="7"/>
        <v>29.777877150556144</v>
      </c>
      <c r="AF16" s="156">
        <f t="shared" si="8"/>
        <v>30.583629210286052</v>
      </c>
      <c r="AG16" s="1303">
        <f t="shared" si="9"/>
        <v>0.96480321967801896</v>
      </c>
      <c r="AH16" s="1304">
        <f t="shared" si="10"/>
        <v>0.99090958641326798</v>
      </c>
      <c r="AI16" s="360">
        <f t="shared" si="11"/>
        <v>718.22726411492306</v>
      </c>
      <c r="AJ16" s="155">
        <f t="shared" si="12"/>
        <v>604.89878008911967</v>
      </c>
      <c r="AK16" s="155">
        <f t="shared" si="13"/>
        <v>504.08231674093309</v>
      </c>
      <c r="AL16" s="155">
        <f t="shared" si="14"/>
        <v>403.26585339274646</v>
      </c>
      <c r="AM16" s="137">
        <f t="shared" si="15"/>
        <v>3774.4676042075539</v>
      </c>
      <c r="AN16" s="160">
        <f t="shared" si="16"/>
        <v>3178.8974929608394</v>
      </c>
    </row>
    <row r="17" spans="1:40" ht="12.75" customHeight="1" x14ac:dyDescent="0.2">
      <c r="A17" s="161">
        <v>6</v>
      </c>
      <c r="B17" s="2358" t="s">
        <v>167</v>
      </c>
      <c r="C17" s="2362" t="s">
        <v>43</v>
      </c>
      <c r="D17" s="673">
        <v>1.2</v>
      </c>
      <c r="E17" s="145" t="s">
        <v>39</v>
      </c>
      <c r="F17" s="866" t="s">
        <v>46</v>
      </c>
      <c r="G17" s="2245">
        <f>Мартыновская!G15</f>
        <v>4.9020181386774881</v>
      </c>
      <c r="H17" s="2246">
        <f>Мартыновская!H15</f>
        <v>5.2862861120779669</v>
      </c>
      <c r="I17" s="147"/>
      <c r="J17" s="148">
        <v>22.43</v>
      </c>
      <c r="K17" s="149"/>
      <c r="L17" s="149"/>
      <c r="M17" s="687"/>
      <c r="N17" s="150"/>
      <c r="O17" s="151">
        <f t="shared" si="17"/>
        <v>5.58507</v>
      </c>
      <c r="P17" s="152">
        <f t="shared" si="18"/>
        <v>8.9719999999999995</v>
      </c>
      <c r="Q17" s="153">
        <f t="shared" si="19"/>
        <v>14.955981619982419</v>
      </c>
      <c r="R17" s="154">
        <f t="shared" si="20"/>
        <v>15.313122795784516</v>
      </c>
      <c r="S17" s="155">
        <f>37000/1.73/SQRT(POWER((G17+P17),2)+O17*O17)</f>
        <v>1430.0153463961906</v>
      </c>
      <c r="T17" s="361">
        <f>37000/2/SQRT(O17*O17+POWER((H17+P17),2))</f>
        <v>1208.1141284319085</v>
      </c>
      <c r="U17" s="546">
        <v>1</v>
      </c>
      <c r="V17" s="152" t="s">
        <v>192</v>
      </c>
      <c r="W17" s="864">
        <v>4</v>
      </c>
      <c r="X17" s="152">
        <v>11</v>
      </c>
      <c r="Y17" s="864">
        <v>35</v>
      </c>
      <c r="Z17" s="865">
        <v>6.3</v>
      </c>
      <c r="AA17" s="864">
        <v>6.14</v>
      </c>
      <c r="AB17" s="152"/>
      <c r="AC17" s="152">
        <v>5</v>
      </c>
      <c r="AD17" s="274">
        <f t="shared" si="21"/>
        <v>18.803750000000001</v>
      </c>
      <c r="AE17" s="151">
        <f>SQRT(POWER(O17,2)+POWER(P17+AD17+G17,2))</f>
        <v>33.151614401565212</v>
      </c>
      <c r="AF17" s="156">
        <f>SQRT(POWER(O17,2)+POWER(P17+AD17+H17,2))</f>
        <v>33.530452409432947</v>
      </c>
      <c r="AG17" s="157">
        <f>SQRT(POWER((AD17+P17+G17),2)+POWER(O17,2))*POWER(6.3/35,2)</f>
        <v>1.0741123066107128</v>
      </c>
      <c r="AH17" s="158">
        <f>SQRT(POWER((H17+P17+AD17),2)+POWER(O17,2))*POWER(6.3/35,2)</f>
        <v>1.0863866580656274</v>
      </c>
      <c r="AI17" s="360">
        <f>37000/1.73/SQRT(POWER((G17+P17+AD17),2)+O17*O17)</f>
        <v>645.13549711124915</v>
      </c>
      <c r="AJ17" s="155">
        <f>37000/2/SQRT(POWER((H17+P17+AD17),2)+O17*O17)</f>
        <v>551.73726182100336</v>
      </c>
      <c r="AK17" s="155">
        <f>AJ17/1.2</f>
        <v>459.78105151750282</v>
      </c>
      <c r="AL17" s="155">
        <f>AJ17/1.5</f>
        <v>367.82484121400222</v>
      </c>
      <c r="AM17" s="137">
        <f>6300/(1.73*AG17)</f>
        <v>3390.3517115456038</v>
      </c>
      <c r="AN17" s="160">
        <f>6300/(2*AH17)</f>
        <v>2899.5201447049731</v>
      </c>
    </row>
    <row r="18" spans="1:40" ht="12.75" customHeight="1" x14ac:dyDescent="0.2">
      <c r="A18" s="161">
        <v>6</v>
      </c>
      <c r="B18" s="2359"/>
      <c r="C18" s="2363"/>
      <c r="D18" s="673">
        <v>1.2</v>
      </c>
      <c r="E18" s="145" t="s">
        <v>39</v>
      </c>
      <c r="F18" s="866" t="s">
        <v>46</v>
      </c>
      <c r="G18" s="2245">
        <f>Мартыновская!G16</f>
        <v>4.8982573492001933</v>
      </c>
      <c r="H18" s="2246">
        <f>Мартыновская!H16</f>
        <v>5.2312064066132784</v>
      </c>
      <c r="I18" s="147"/>
      <c r="J18" s="148">
        <v>22.43</v>
      </c>
      <c r="K18" s="149"/>
      <c r="L18" s="149"/>
      <c r="M18" s="687"/>
      <c r="N18" s="150"/>
      <c r="O18" s="151">
        <f t="shared" si="17"/>
        <v>5.58507</v>
      </c>
      <c r="P18" s="152">
        <f t="shared" si="18"/>
        <v>8.9719999999999995</v>
      </c>
      <c r="Q18" s="153">
        <f t="shared" si="19"/>
        <v>14.952492963982358</v>
      </c>
      <c r="R18" s="154">
        <f t="shared" si="20"/>
        <v>15.261850449200466</v>
      </c>
      <c r="S18" s="155">
        <f>37000/1.73/SQRT(POWER((G18+P18),2)+O18*O18)</f>
        <v>1430.3489918712562</v>
      </c>
      <c r="T18" s="361">
        <f>37000/2/SQRT(O18*O18+POWER((H18+P18),2))</f>
        <v>1212.1728005118262</v>
      </c>
      <c r="U18" s="546">
        <v>2</v>
      </c>
      <c r="V18" s="152" t="s">
        <v>192</v>
      </c>
      <c r="W18" s="864">
        <v>4</v>
      </c>
      <c r="X18" s="152">
        <v>11</v>
      </c>
      <c r="Y18" s="864">
        <v>35</v>
      </c>
      <c r="Z18" s="865">
        <v>6.3</v>
      </c>
      <c r="AA18" s="864">
        <v>6.26</v>
      </c>
      <c r="AB18" s="152"/>
      <c r="AC18" s="152">
        <v>5</v>
      </c>
      <c r="AD18" s="274">
        <f t="shared" si="21"/>
        <v>19.171250000000004</v>
      </c>
      <c r="AE18" s="151">
        <f>SQRT(POWER(O18,2)+POWER(P18+AD18+G18,2))</f>
        <v>33.510210605308799</v>
      </c>
      <c r="AF18" s="156">
        <f>SQRT(POWER(O18,2)+POWER(P18+AD18+H18,2))</f>
        <v>33.838548245186729</v>
      </c>
      <c r="AG18" s="157">
        <f>SQRT(POWER((AD18+P18+G18),2)+POWER(O18,2))*POWER(6.3/35,2)</f>
        <v>1.0857308236120051</v>
      </c>
      <c r="AH18" s="158">
        <f>SQRT(POWER((H18+P18+AD18),2)+POWER(O18,2))*POWER(6.3/35,2)</f>
        <v>1.0963689631440501</v>
      </c>
      <c r="AI18" s="360">
        <f>37000/1.73/SQRT(POWER((G18+P18+AD18),2)+O18*O18)</f>
        <v>638.23183592901603</v>
      </c>
      <c r="AJ18" s="155">
        <f>37000/2/SQRT(POWER((H18+P18+AD18),2)+O18*O18)</f>
        <v>546.71376165292429</v>
      </c>
      <c r="AK18" s="155">
        <f>AJ18/1.2</f>
        <v>455.59480137743691</v>
      </c>
      <c r="AL18" s="155">
        <f>AJ18/1.5</f>
        <v>364.47584110194953</v>
      </c>
      <c r="AM18" s="137">
        <f>6300/(1.73*AG18)</f>
        <v>3354.0712098371714</v>
      </c>
      <c r="AN18" s="160">
        <f>6300/(2*AH18)</f>
        <v>2873.1203690468997</v>
      </c>
    </row>
    <row r="19" spans="1:40" ht="12.75" customHeight="1" x14ac:dyDescent="0.2">
      <c r="A19" s="161">
        <v>6</v>
      </c>
      <c r="B19" s="2358" t="s">
        <v>145</v>
      </c>
      <c r="C19" s="2362" t="s">
        <v>341</v>
      </c>
      <c r="D19" s="673">
        <v>1.4</v>
      </c>
      <c r="E19" s="145" t="s">
        <v>39</v>
      </c>
      <c r="F19" s="655" t="s">
        <v>100</v>
      </c>
      <c r="G19" s="2247">
        <f>G5</f>
        <v>8.2869415032183689</v>
      </c>
      <c r="H19" s="2248">
        <f>H5</f>
        <v>9.0895455227238635</v>
      </c>
      <c r="I19" s="147"/>
      <c r="J19" s="148">
        <v>8.43</v>
      </c>
      <c r="K19" s="149"/>
      <c r="L19" s="149"/>
      <c r="M19" s="687"/>
      <c r="N19" s="150"/>
      <c r="O19" s="151">
        <f t="shared" ref="O19:O24" si="22">0.314*I19+0.249*J19+0.195*K19+0.159*L19+0.06*M19</f>
        <v>2.0990699999999998</v>
      </c>
      <c r="P19" s="152">
        <f t="shared" ref="P19:P24" si="23">0.4*SUM(I19:M19)</f>
        <v>3.3719999999999999</v>
      </c>
      <c r="Q19" s="153">
        <f t="shared" si="19"/>
        <v>11.84639235549658</v>
      </c>
      <c r="R19" s="154">
        <f t="shared" ref="R19:R24" si="24">SQRT(POWER(O19,2)+POWER(P19+H19,2))</f>
        <v>12.63709664756186</v>
      </c>
      <c r="S19" s="155">
        <f t="shared" si="4"/>
        <v>1805.3836640883148</v>
      </c>
      <c r="T19" s="361">
        <f t="shared" si="5"/>
        <v>1463.9438564054426</v>
      </c>
      <c r="U19" s="546">
        <v>1</v>
      </c>
      <c r="V19" s="152" t="s">
        <v>122</v>
      </c>
      <c r="W19" s="152">
        <v>4</v>
      </c>
      <c r="X19" s="152">
        <v>11</v>
      </c>
      <c r="Y19" s="152">
        <v>35</v>
      </c>
      <c r="Z19" s="494">
        <v>6.3</v>
      </c>
      <c r="AA19" s="152">
        <v>7.4</v>
      </c>
      <c r="AB19" s="152"/>
      <c r="AC19" s="152"/>
      <c r="AD19" s="274">
        <f t="shared" ref="AD19:AD24" si="25">AA19/100*Y19*Y19/W19</f>
        <v>22.662500000000001</v>
      </c>
      <c r="AE19" s="151">
        <f t="shared" si="7"/>
        <v>34.385570254450343</v>
      </c>
      <c r="AF19" s="156">
        <f t="shared" si="8"/>
        <v>35.186711536420653</v>
      </c>
      <c r="AG19" s="1303">
        <f t="shared" si="9"/>
        <v>1.1140924762441911</v>
      </c>
      <c r="AH19" s="1304">
        <f t="shared" si="10"/>
        <v>1.140049453780029</v>
      </c>
      <c r="AI19" s="360">
        <f t="shared" si="11"/>
        <v>621.98425324140658</v>
      </c>
      <c r="AJ19" s="155">
        <f t="shared" si="12"/>
        <v>525.76666565874552</v>
      </c>
      <c r="AK19" s="155">
        <f t="shared" si="13"/>
        <v>438.13888804895464</v>
      </c>
      <c r="AL19" s="155">
        <f t="shared" si="14"/>
        <v>350.5111104391637</v>
      </c>
      <c r="AM19" s="137">
        <f t="shared" si="15"/>
        <v>3268.6860155329177</v>
      </c>
      <c r="AN19" s="160">
        <f t="shared" si="16"/>
        <v>2763.0380327411553</v>
      </c>
    </row>
    <row r="20" spans="1:40" ht="12.75" customHeight="1" x14ac:dyDescent="0.2">
      <c r="A20" s="161">
        <v>6</v>
      </c>
      <c r="B20" s="2359"/>
      <c r="C20" s="2363"/>
      <c r="D20" s="673">
        <v>1.4</v>
      </c>
      <c r="E20" s="145" t="s">
        <v>39</v>
      </c>
      <c r="F20" s="655" t="s">
        <v>100</v>
      </c>
      <c r="G20" s="2245">
        <f>G6</f>
        <v>8.2967555031037516</v>
      </c>
      <c r="H20" s="2249">
        <f>H6</f>
        <v>9.1031996394772428</v>
      </c>
      <c r="I20" s="147"/>
      <c r="J20" s="148">
        <v>8.23</v>
      </c>
      <c r="K20" s="149"/>
      <c r="L20" s="149"/>
      <c r="M20" s="687"/>
      <c r="N20" s="150"/>
      <c r="O20" s="151">
        <f t="shared" si="22"/>
        <v>2.0492699999999999</v>
      </c>
      <c r="P20" s="152">
        <f t="shared" si="23"/>
        <v>3.2920000000000003</v>
      </c>
      <c r="Q20" s="153">
        <f t="shared" ref="Q20:Q28" si="26">SQRT(POWER(O20,2)+POWER(P20+G20,2))</f>
        <v>11.768549683101034</v>
      </c>
      <c r="R20" s="154">
        <f t="shared" si="24"/>
        <v>12.563458187752158</v>
      </c>
      <c r="S20" s="155">
        <f t="shared" si="4"/>
        <v>1817.325313050693</v>
      </c>
      <c r="T20" s="361">
        <f t="shared" si="5"/>
        <v>1472.5245010991678</v>
      </c>
      <c r="U20" s="546">
        <v>2</v>
      </c>
      <c r="V20" s="152" t="s">
        <v>122</v>
      </c>
      <c r="W20" s="152">
        <v>4</v>
      </c>
      <c r="X20" s="152">
        <v>11</v>
      </c>
      <c r="Y20" s="152">
        <v>35</v>
      </c>
      <c r="Z20" s="494">
        <v>6.3</v>
      </c>
      <c r="AA20" s="152">
        <v>7.82</v>
      </c>
      <c r="AB20" s="152"/>
      <c r="AC20" s="152"/>
      <c r="AD20" s="274">
        <f t="shared" si="25"/>
        <v>23.94875</v>
      </c>
      <c r="AE20" s="151">
        <f t="shared" si="7"/>
        <v>35.596542035934185</v>
      </c>
      <c r="AF20" s="156">
        <f t="shared" si="8"/>
        <v>36.401678298256499</v>
      </c>
      <c r="AG20" s="1303">
        <f t="shared" si="9"/>
        <v>1.1533279619642676</v>
      </c>
      <c r="AH20" s="1304">
        <f t="shared" si="10"/>
        <v>1.1794143768635106</v>
      </c>
      <c r="AI20" s="360">
        <f t="shared" si="11"/>
        <v>600.82474346536446</v>
      </c>
      <c r="AJ20" s="155">
        <f t="shared" si="12"/>
        <v>508.21832577115214</v>
      </c>
      <c r="AK20" s="155">
        <f t="shared" si="13"/>
        <v>423.51527147596011</v>
      </c>
      <c r="AL20" s="155">
        <f t="shared" si="14"/>
        <v>338.81221718076807</v>
      </c>
      <c r="AM20" s="137">
        <f t="shared" si="15"/>
        <v>3157.4873905837471</v>
      </c>
      <c r="AN20" s="160">
        <f t="shared" si="16"/>
        <v>2670.8170273258747</v>
      </c>
    </row>
    <row r="21" spans="1:40" ht="12.75" customHeight="1" x14ac:dyDescent="0.2">
      <c r="A21" s="161">
        <v>6</v>
      </c>
      <c r="B21" s="2358" t="s">
        <v>146</v>
      </c>
      <c r="C21" s="2362" t="s">
        <v>381</v>
      </c>
      <c r="D21" s="673">
        <v>1.2</v>
      </c>
      <c r="E21" s="145" t="s">
        <v>39</v>
      </c>
      <c r="F21" s="146" t="s">
        <v>46</v>
      </c>
      <c r="G21" s="2245">
        <f>Мартыновская!G15</f>
        <v>4.9020181386774881</v>
      </c>
      <c r="H21" s="2246">
        <f>Мартыновская!H15</f>
        <v>5.2862861120779669</v>
      </c>
      <c r="I21" s="147"/>
      <c r="J21" s="148">
        <v>10.9</v>
      </c>
      <c r="K21" s="149"/>
      <c r="L21" s="149"/>
      <c r="M21" s="687"/>
      <c r="N21" s="150"/>
      <c r="O21" s="151">
        <f t="shared" si="22"/>
        <v>2.7141000000000002</v>
      </c>
      <c r="P21" s="152">
        <f t="shared" si="23"/>
        <v>4.3600000000000003</v>
      </c>
      <c r="Q21" s="153">
        <f t="shared" si="26"/>
        <v>9.6514930871441234</v>
      </c>
      <c r="R21" s="154">
        <f t="shared" si="24"/>
        <v>10.020837019234882</v>
      </c>
      <c r="S21" s="155">
        <f t="shared" si="4"/>
        <v>2215.9559193470568</v>
      </c>
      <c r="T21" s="361">
        <f t="shared" si="5"/>
        <v>1846.1531670946708</v>
      </c>
      <c r="U21" s="546">
        <v>1</v>
      </c>
      <c r="V21" s="152" t="s">
        <v>193</v>
      </c>
      <c r="W21" s="152">
        <v>6.3</v>
      </c>
      <c r="X21" s="152">
        <v>11</v>
      </c>
      <c r="Y21" s="864">
        <v>35</v>
      </c>
      <c r="Z21" s="865">
        <v>6.3</v>
      </c>
      <c r="AA21" s="152">
        <v>7.92</v>
      </c>
      <c r="AB21" s="152"/>
      <c r="AC21" s="152">
        <v>10</v>
      </c>
      <c r="AD21" s="274">
        <f t="shared" si="25"/>
        <v>15.4</v>
      </c>
      <c r="AE21" s="151">
        <f t="shared" si="7"/>
        <v>24.810914482994324</v>
      </c>
      <c r="AF21" s="156">
        <f t="shared" si="8"/>
        <v>25.192911439888597</v>
      </c>
      <c r="AG21" s="157">
        <f t="shared" si="9"/>
        <v>0.80387362924901606</v>
      </c>
      <c r="AH21" s="158">
        <f t="shared" si="10"/>
        <v>0.81625033065239039</v>
      </c>
      <c r="AI21" s="360">
        <f>37000/1.73/SQRT(POWER((G21+P21+AD21),2)+O21*O21)</f>
        <v>862.0110819233729</v>
      </c>
      <c r="AJ21" s="155">
        <f t="shared" si="12"/>
        <v>734.33354632876876</v>
      </c>
      <c r="AK21" s="155">
        <f t="shared" si="13"/>
        <v>611.94462194064067</v>
      </c>
      <c r="AL21" s="155">
        <f t="shared" si="14"/>
        <v>489.55569755251253</v>
      </c>
      <c r="AM21" s="137">
        <f t="shared" si="15"/>
        <v>4530.0882683660739</v>
      </c>
      <c r="AN21" s="160">
        <f t="shared" si="16"/>
        <v>3859.1102284544909</v>
      </c>
    </row>
    <row r="22" spans="1:40" ht="12.75" customHeight="1" thickBot="1" x14ac:dyDescent="0.25">
      <c r="A22" s="144">
        <v>6</v>
      </c>
      <c r="B22" s="2308"/>
      <c r="C22" s="2364"/>
      <c r="D22" s="648">
        <v>1.2</v>
      </c>
      <c r="E22" s="281" t="s">
        <v>39</v>
      </c>
      <c r="F22" s="654" t="s">
        <v>46</v>
      </c>
      <c r="G22" s="2245">
        <f>Мартыновская!G16</f>
        <v>4.8982573492001933</v>
      </c>
      <c r="H22" s="2246">
        <f>Мартыновская!H16</f>
        <v>5.2312064066132784</v>
      </c>
      <c r="I22" s="410"/>
      <c r="J22" s="623">
        <v>11</v>
      </c>
      <c r="K22" s="624"/>
      <c r="L22" s="624"/>
      <c r="M22" s="944"/>
      <c r="N22" s="625"/>
      <c r="O22" s="538">
        <f t="shared" si="22"/>
        <v>2.7389999999999999</v>
      </c>
      <c r="P22" s="276">
        <f t="shared" si="23"/>
        <v>4.4000000000000004</v>
      </c>
      <c r="Q22" s="287">
        <f t="shared" si="26"/>
        <v>9.6932817317952438</v>
      </c>
      <c r="R22" s="288">
        <f t="shared" si="24"/>
        <v>10.013104306197388</v>
      </c>
      <c r="S22" s="292">
        <f t="shared" si="4"/>
        <v>2206.4027260077573</v>
      </c>
      <c r="T22" s="867">
        <f t="shared" si="5"/>
        <v>1847.5788760684175</v>
      </c>
      <c r="U22" s="838">
        <v>2</v>
      </c>
      <c r="V22" s="276" t="s">
        <v>193</v>
      </c>
      <c r="W22" s="276">
        <v>6.3</v>
      </c>
      <c r="X22" s="276">
        <v>11</v>
      </c>
      <c r="Y22" s="868">
        <v>35</v>
      </c>
      <c r="Z22" s="869">
        <v>6.3</v>
      </c>
      <c r="AA22" s="276">
        <v>7.9</v>
      </c>
      <c r="AB22" s="276"/>
      <c r="AC22" s="276">
        <v>5</v>
      </c>
      <c r="AD22" s="290">
        <f t="shared" si="25"/>
        <v>15.361111111111112</v>
      </c>
      <c r="AE22" s="538">
        <f t="shared" si="7"/>
        <v>24.811017187156917</v>
      </c>
      <c r="AF22" s="411">
        <f t="shared" si="8"/>
        <v>25.141958076226949</v>
      </c>
      <c r="AG22" s="181">
        <f t="shared" si="9"/>
        <v>0.80387695686388405</v>
      </c>
      <c r="AH22" s="182">
        <f t="shared" si="10"/>
        <v>0.81459944166975307</v>
      </c>
      <c r="AI22" s="603">
        <f t="shared" si="11"/>
        <v>862.0075136647381</v>
      </c>
      <c r="AJ22" s="292">
        <f t="shared" si="12"/>
        <v>735.82176630438062</v>
      </c>
      <c r="AK22" s="292">
        <f t="shared" si="13"/>
        <v>613.18480525365055</v>
      </c>
      <c r="AL22" s="292">
        <f t="shared" si="14"/>
        <v>490.54784420292043</v>
      </c>
      <c r="AM22" s="289">
        <f t="shared" si="15"/>
        <v>4530.0695162561324</v>
      </c>
      <c r="AN22" s="318">
        <f t="shared" si="16"/>
        <v>3866.9312043023006</v>
      </c>
    </row>
    <row r="23" spans="1:40" ht="12.75" customHeight="1" x14ac:dyDescent="0.2">
      <c r="A23" s="293">
        <v>6</v>
      </c>
      <c r="B23" s="2478" t="s">
        <v>100</v>
      </c>
      <c r="C23" s="2484" t="s">
        <v>43</v>
      </c>
      <c r="D23" s="674">
        <v>5.8</v>
      </c>
      <c r="E23" s="294" t="s">
        <v>35</v>
      </c>
      <c r="F23" s="231" t="s">
        <v>44</v>
      </c>
      <c r="G23" s="238">
        <v>5.835</v>
      </c>
      <c r="H23" s="300">
        <v>7.0460000000000003</v>
      </c>
      <c r="I23" s="234"/>
      <c r="J23" s="235">
        <v>19.7</v>
      </c>
      <c r="K23" s="236">
        <v>0.55000000000000004</v>
      </c>
      <c r="L23" s="236"/>
      <c r="M23" s="688"/>
      <c r="N23" s="251"/>
      <c r="O23" s="879">
        <f t="shared" si="22"/>
        <v>5.0125499999999992</v>
      </c>
      <c r="P23" s="232">
        <f t="shared" si="23"/>
        <v>8.1</v>
      </c>
      <c r="Q23" s="252">
        <f t="shared" si="26"/>
        <v>14.809114845341027</v>
      </c>
      <c r="R23" s="238">
        <f t="shared" si="24"/>
        <v>15.95390151350133</v>
      </c>
      <c r="S23" s="253">
        <f t="shared" si="4"/>
        <v>1444.197270421108</v>
      </c>
      <c r="T23" s="870">
        <f t="shared" si="5"/>
        <v>1159.5909617684413</v>
      </c>
      <c r="U23" s="604">
        <v>1</v>
      </c>
      <c r="V23" s="232" t="s">
        <v>192</v>
      </c>
      <c r="W23" s="232">
        <v>4</v>
      </c>
      <c r="X23" s="232">
        <v>11</v>
      </c>
      <c r="Y23" s="232">
        <v>35</v>
      </c>
      <c r="Z23" s="497">
        <v>6.3</v>
      </c>
      <c r="AA23" s="497">
        <v>6.3</v>
      </c>
      <c r="AB23" s="232"/>
      <c r="AC23" s="232"/>
      <c r="AD23" s="300">
        <f t="shared" si="25"/>
        <v>19.293749999999999</v>
      </c>
      <c r="AE23" s="879">
        <f t="shared" si="7"/>
        <v>33.604694375414276</v>
      </c>
      <c r="AF23" s="880">
        <f t="shared" si="8"/>
        <v>34.80261538397653</v>
      </c>
      <c r="AG23" s="139">
        <f t="shared" si="9"/>
        <v>1.0887920977634225</v>
      </c>
      <c r="AH23" s="140">
        <f t="shared" si="10"/>
        <v>1.1276047384408396</v>
      </c>
      <c r="AI23" s="319">
        <f t="shared" si="11"/>
        <v>636.43736788874037</v>
      </c>
      <c r="AJ23" s="253">
        <f t="shared" si="12"/>
        <v>531.56924546876382</v>
      </c>
      <c r="AK23" s="253">
        <f t="shared" si="13"/>
        <v>442.97437122396985</v>
      </c>
      <c r="AL23" s="253">
        <f t="shared" si="14"/>
        <v>354.37949697917588</v>
      </c>
      <c r="AM23" s="253">
        <f t="shared" si="15"/>
        <v>3344.6408222381251</v>
      </c>
      <c r="AN23" s="266">
        <f t="shared" si="16"/>
        <v>2793.5320707817923</v>
      </c>
    </row>
    <row r="24" spans="1:40" ht="12.75" customHeight="1" x14ac:dyDescent="0.2">
      <c r="A24" s="255">
        <v>6</v>
      </c>
      <c r="B24" s="2366"/>
      <c r="C24" s="2372"/>
      <c r="D24" s="675">
        <v>5.8</v>
      </c>
      <c r="E24" s="301" t="s">
        <v>35</v>
      </c>
      <c r="F24" s="210" t="s">
        <v>44</v>
      </c>
      <c r="G24" s="219">
        <v>5.835</v>
      </c>
      <c r="H24" s="307">
        <v>7.0460000000000003</v>
      </c>
      <c r="I24" s="213"/>
      <c r="J24" s="214">
        <v>19.7</v>
      </c>
      <c r="K24" s="215">
        <v>0.55000000000000004</v>
      </c>
      <c r="L24" s="215"/>
      <c r="M24" s="689"/>
      <c r="N24" s="216"/>
      <c r="O24" s="217">
        <f t="shared" si="22"/>
        <v>5.0125499999999992</v>
      </c>
      <c r="P24" s="211">
        <f t="shared" si="23"/>
        <v>8.1</v>
      </c>
      <c r="Q24" s="218">
        <f t="shared" si="26"/>
        <v>14.809114845341027</v>
      </c>
      <c r="R24" s="219">
        <f t="shared" si="24"/>
        <v>15.95390151350133</v>
      </c>
      <c r="S24" s="220">
        <f t="shared" si="4"/>
        <v>1444.197270421108</v>
      </c>
      <c r="T24" s="871">
        <f t="shared" si="5"/>
        <v>1159.5909617684413</v>
      </c>
      <c r="U24" s="605">
        <v>2</v>
      </c>
      <c r="V24" s="211" t="s">
        <v>192</v>
      </c>
      <c r="W24" s="211">
        <v>4</v>
      </c>
      <c r="X24" s="211">
        <v>11</v>
      </c>
      <c r="Y24" s="211">
        <v>35</v>
      </c>
      <c r="Z24" s="498">
        <v>6.3</v>
      </c>
      <c r="AA24" s="498">
        <v>6.14</v>
      </c>
      <c r="AB24" s="211"/>
      <c r="AC24" s="211"/>
      <c r="AD24" s="307">
        <f t="shared" si="25"/>
        <v>18.803750000000001</v>
      </c>
      <c r="AE24" s="217">
        <f t="shared" si="7"/>
        <v>33.120256778367526</v>
      </c>
      <c r="AF24" s="221">
        <f t="shared" si="8"/>
        <v>34.317796878077708</v>
      </c>
      <c r="AG24" s="157">
        <f t="shared" si="9"/>
        <v>1.0730963196191079</v>
      </c>
      <c r="AH24" s="158">
        <f t="shared" si="10"/>
        <v>1.1118966188497177</v>
      </c>
      <c r="AI24" s="320">
        <f t="shared" si="11"/>
        <v>645.74629901309561</v>
      </c>
      <c r="AJ24" s="220">
        <f t="shared" si="12"/>
        <v>539.07889442104147</v>
      </c>
      <c r="AK24" s="220">
        <f t="shared" si="13"/>
        <v>449.23241201753456</v>
      </c>
      <c r="AL24" s="220">
        <f t="shared" si="14"/>
        <v>359.38592961402765</v>
      </c>
      <c r="AM24" s="207">
        <f t="shared" si="15"/>
        <v>3393.5616314502017</v>
      </c>
      <c r="AN24" s="262">
        <f t="shared" si="16"/>
        <v>2832.9971929033713</v>
      </c>
    </row>
    <row r="25" spans="1:40" ht="12.75" customHeight="1" x14ac:dyDescent="0.2">
      <c r="A25" s="255">
        <v>6</v>
      </c>
      <c r="B25" s="2369" t="s">
        <v>379</v>
      </c>
      <c r="C25" s="2371" t="s">
        <v>43</v>
      </c>
      <c r="D25" s="675">
        <v>2.2999999999999998</v>
      </c>
      <c r="E25" s="301" t="s">
        <v>35</v>
      </c>
      <c r="F25" s="210" t="s">
        <v>100</v>
      </c>
      <c r="G25" s="2247">
        <f>G5</f>
        <v>8.2869415032183689</v>
      </c>
      <c r="H25" s="2248">
        <f>H5</f>
        <v>9.0895455227238635</v>
      </c>
      <c r="I25" s="213"/>
      <c r="J25" s="214">
        <v>1.78</v>
      </c>
      <c r="K25" s="215"/>
      <c r="L25" s="215"/>
      <c r="M25" s="689"/>
      <c r="N25" s="216"/>
      <c r="O25" s="217">
        <f t="shared" ref="O25:O34" si="27">0.314*I25+0.249*J25+0.195*K25+0.159*L25+0.06*M25</f>
        <v>0.44322</v>
      </c>
      <c r="P25" s="211">
        <f t="shared" ref="P25:P34" si="28">0.4*SUM(I25:M25)</f>
        <v>0.71200000000000008</v>
      </c>
      <c r="Q25" s="218">
        <f t="shared" si="26"/>
        <v>9.0098497294209121</v>
      </c>
      <c r="R25" s="219">
        <f t="shared" ref="R25:R34" si="29">SQRT(POWER(O25,2)+POWER(P25+H25,2))</f>
        <v>9.8115614762599446</v>
      </c>
      <c r="S25" s="220">
        <f t="shared" si="4"/>
        <v>2373.7669194588043</v>
      </c>
      <c r="T25" s="871">
        <f t="shared" si="5"/>
        <v>1885.5306614306603</v>
      </c>
      <c r="U25" s="605">
        <v>1</v>
      </c>
      <c r="V25" s="211" t="s">
        <v>50</v>
      </c>
      <c r="W25" s="211">
        <v>6.3</v>
      </c>
      <c r="X25" s="211">
        <v>11</v>
      </c>
      <c r="Y25" s="211">
        <v>35</v>
      </c>
      <c r="Z25" s="498">
        <v>6.3</v>
      </c>
      <c r="AA25" s="498">
        <v>7.82</v>
      </c>
      <c r="AB25" s="211"/>
      <c r="AC25" s="211"/>
      <c r="AD25" s="307">
        <f t="shared" ref="AD25:AD34" si="30">AA25/100*Y25*Y25/W25</f>
        <v>15.205555555555556</v>
      </c>
      <c r="AE25" s="217">
        <f t="shared" si="7"/>
        <v>24.208554724241502</v>
      </c>
      <c r="AF25" s="221">
        <f t="shared" si="8"/>
        <v>25.011028533582614</v>
      </c>
      <c r="AG25" s="157">
        <f t="shared" si="9"/>
        <v>0.78435717306542463</v>
      </c>
      <c r="AH25" s="158">
        <f t="shared" si="10"/>
        <v>0.81035732448807662</v>
      </c>
      <c r="AI25" s="320">
        <f t="shared" si="11"/>
        <v>883.4597306867654</v>
      </c>
      <c r="AJ25" s="220">
        <f t="shared" si="12"/>
        <v>739.67369935066142</v>
      </c>
      <c r="AK25" s="220">
        <f t="shared" si="13"/>
        <v>616.39474945888458</v>
      </c>
      <c r="AL25" s="220">
        <f t="shared" si="14"/>
        <v>493.11579956710762</v>
      </c>
      <c r="AM25" s="207">
        <f t="shared" si="15"/>
        <v>4642.806392498017</v>
      </c>
      <c r="AN25" s="262">
        <f t="shared" si="16"/>
        <v>3887.1740956866593</v>
      </c>
    </row>
    <row r="26" spans="1:40" ht="12.75" customHeight="1" x14ac:dyDescent="0.2">
      <c r="A26" s="255">
        <v>6</v>
      </c>
      <c r="B26" s="2366"/>
      <c r="C26" s="2372"/>
      <c r="D26" s="675">
        <v>2.2999999999999998</v>
      </c>
      <c r="E26" s="301" t="s">
        <v>35</v>
      </c>
      <c r="F26" s="210" t="s">
        <v>100</v>
      </c>
      <c r="G26" s="2247">
        <f>G6</f>
        <v>8.2967555031037516</v>
      </c>
      <c r="H26" s="2249">
        <f>H6</f>
        <v>9.1031996394772428</v>
      </c>
      <c r="I26" s="213"/>
      <c r="J26" s="214">
        <v>1.78</v>
      </c>
      <c r="K26" s="215"/>
      <c r="L26" s="215"/>
      <c r="M26" s="689"/>
      <c r="N26" s="216"/>
      <c r="O26" s="217">
        <f t="shared" si="27"/>
        <v>0.44322</v>
      </c>
      <c r="P26" s="211">
        <f t="shared" si="28"/>
        <v>0.71200000000000008</v>
      </c>
      <c r="Q26" s="218">
        <f t="shared" si="26"/>
        <v>9.0196518604157951</v>
      </c>
      <c r="R26" s="219">
        <f t="shared" si="29"/>
        <v>9.8252016738179062</v>
      </c>
      <c r="S26" s="220">
        <f t="shared" si="4"/>
        <v>2371.1872218545132</v>
      </c>
      <c r="T26" s="871">
        <f t="shared" si="5"/>
        <v>1882.9130041471419</v>
      </c>
      <c r="U26" s="605">
        <v>2</v>
      </c>
      <c r="V26" s="211" t="s">
        <v>50</v>
      </c>
      <c r="W26" s="211">
        <v>6.3</v>
      </c>
      <c r="X26" s="211">
        <v>11</v>
      </c>
      <c r="Y26" s="211">
        <v>35</v>
      </c>
      <c r="Z26" s="498">
        <v>6.3</v>
      </c>
      <c r="AA26" s="498">
        <v>8.14</v>
      </c>
      <c r="AB26" s="211"/>
      <c r="AC26" s="211"/>
      <c r="AD26" s="307">
        <f t="shared" si="30"/>
        <v>15.827777777777779</v>
      </c>
      <c r="AE26" s="217">
        <f t="shared" si="7"/>
        <v>24.840487704164264</v>
      </c>
      <c r="AF26" s="221">
        <f t="shared" si="8"/>
        <v>25.646807497040463</v>
      </c>
      <c r="AG26" s="157">
        <f t="shared" si="9"/>
        <v>0.80483180161492207</v>
      </c>
      <c r="AH26" s="158">
        <f t="shared" si="10"/>
        <v>0.83095656290411091</v>
      </c>
      <c r="AI26" s="320">
        <f t="shared" si="11"/>
        <v>860.98483619582282</v>
      </c>
      <c r="AJ26" s="220">
        <f t="shared" si="12"/>
        <v>721.3373439222338</v>
      </c>
      <c r="AK26" s="220">
        <f t="shared" si="13"/>
        <v>601.11445326852822</v>
      </c>
      <c r="AL26" s="220">
        <f t="shared" si="14"/>
        <v>480.89156261482253</v>
      </c>
      <c r="AM26" s="207">
        <f t="shared" si="15"/>
        <v>4524.6950851131833</v>
      </c>
      <c r="AN26" s="262">
        <f t="shared" si="16"/>
        <v>3790.8118674591869</v>
      </c>
    </row>
    <row r="27" spans="1:40" ht="12.75" customHeight="1" x14ac:dyDescent="0.2">
      <c r="A27" s="255">
        <v>6</v>
      </c>
      <c r="B27" s="2369" t="s">
        <v>309</v>
      </c>
      <c r="C27" s="2370" t="s">
        <v>351</v>
      </c>
      <c r="D27" s="675">
        <v>2.2999999999999998</v>
      </c>
      <c r="E27" s="301" t="s">
        <v>35</v>
      </c>
      <c r="F27" s="210" t="s">
        <v>100</v>
      </c>
      <c r="G27" s="2247">
        <f>G5</f>
        <v>8.2869415032183689</v>
      </c>
      <c r="H27" s="2249">
        <f>H5</f>
        <v>9.0895455227238635</v>
      </c>
      <c r="I27" s="213"/>
      <c r="J27" s="214">
        <v>1.76</v>
      </c>
      <c r="K27" s="215"/>
      <c r="L27" s="215"/>
      <c r="M27" s="689"/>
      <c r="N27" s="216"/>
      <c r="O27" s="217">
        <f t="shared" si="27"/>
        <v>0.43824000000000002</v>
      </c>
      <c r="P27" s="211">
        <f t="shared" si="28"/>
        <v>0.70400000000000007</v>
      </c>
      <c r="Q27" s="218">
        <f>SQRT(POWER(O27,2)+POWER(P27+G27,2))</f>
        <v>9.0016156000961622</v>
      </c>
      <c r="R27" s="219">
        <f t="shared" si="29"/>
        <v>9.8033457657712262</v>
      </c>
      <c r="S27" s="220">
        <f t="shared" si="4"/>
        <v>2375.9382967614997</v>
      </c>
      <c r="T27" s="871">
        <f t="shared" si="5"/>
        <v>1887.1108335884153</v>
      </c>
      <c r="U27" s="605">
        <v>1</v>
      </c>
      <c r="V27" s="211" t="s">
        <v>194</v>
      </c>
      <c r="W27" s="211">
        <v>6.3</v>
      </c>
      <c r="X27" s="211">
        <v>11</v>
      </c>
      <c r="Y27" s="211">
        <v>35</v>
      </c>
      <c r="Z27" s="498">
        <v>6.3</v>
      </c>
      <c r="AA27" s="498">
        <v>6.74</v>
      </c>
      <c r="AB27" s="211"/>
      <c r="AC27" s="211"/>
      <c r="AD27" s="307">
        <f t="shared" si="30"/>
        <v>13.105555555555556</v>
      </c>
      <c r="AE27" s="217">
        <f t="shared" si="7"/>
        <v>22.100842440187769</v>
      </c>
      <c r="AF27" s="221">
        <f t="shared" si="8"/>
        <v>22.903294184262176</v>
      </c>
      <c r="AG27" s="157">
        <f t="shared" si="9"/>
        <v>0.71606729506208366</v>
      </c>
      <c r="AH27" s="158">
        <f t="shared" si="10"/>
        <v>0.74206673157009451</v>
      </c>
      <c r="AI27" s="320">
        <f t="shared" si="11"/>
        <v>967.71348399389399</v>
      </c>
      <c r="AJ27" s="220">
        <f t="shared" si="12"/>
        <v>807.74406734521767</v>
      </c>
      <c r="AK27" s="220">
        <f t="shared" si="13"/>
        <v>673.12005612101473</v>
      </c>
      <c r="AL27" s="220">
        <f t="shared" si="14"/>
        <v>538.49604489681178</v>
      </c>
      <c r="AM27" s="207">
        <f t="shared" si="15"/>
        <v>5085.5813723402844</v>
      </c>
      <c r="AN27" s="262">
        <f t="shared" si="16"/>
        <v>4244.9012548172104</v>
      </c>
    </row>
    <row r="28" spans="1:40" ht="12.75" customHeight="1" x14ac:dyDescent="0.2">
      <c r="A28" s="255">
        <v>6</v>
      </c>
      <c r="B28" s="2366"/>
      <c r="C28" s="2368"/>
      <c r="D28" s="675">
        <v>2.2999999999999998</v>
      </c>
      <c r="E28" s="851" t="s">
        <v>35</v>
      </c>
      <c r="F28" s="210" t="s">
        <v>100</v>
      </c>
      <c r="G28" s="2247">
        <f>G6</f>
        <v>8.2967555031037516</v>
      </c>
      <c r="H28" s="2249">
        <f>H6</f>
        <v>9.1031996394772428</v>
      </c>
      <c r="I28" s="213"/>
      <c r="J28" s="214">
        <v>1.76</v>
      </c>
      <c r="K28" s="215"/>
      <c r="L28" s="215"/>
      <c r="M28" s="689"/>
      <c r="N28" s="216"/>
      <c r="O28" s="217">
        <f t="shared" si="27"/>
        <v>0.43824000000000002</v>
      </c>
      <c r="P28" s="211">
        <f t="shared" si="28"/>
        <v>0.70400000000000007</v>
      </c>
      <c r="Q28" s="218">
        <f t="shared" si="26"/>
        <v>9.0114179752274541</v>
      </c>
      <c r="R28" s="219">
        <f t="shared" si="29"/>
        <v>9.8169862517048774</v>
      </c>
      <c r="S28" s="220">
        <f t="shared" si="4"/>
        <v>2373.3538157688649</v>
      </c>
      <c r="T28" s="871">
        <f t="shared" si="5"/>
        <v>1884.4887346956586</v>
      </c>
      <c r="U28" s="605">
        <v>2</v>
      </c>
      <c r="V28" s="211" t="s">
        <v>194</v>
      </c>
      <c r="W28" s="211">
        <v>6.3</v>
      </c>
      <c r="X28" s="211">
        <v>11</v>
      </c>
      <c r="Y28" s="211">
        <v>35</v>
      </c>
      <c r="Z28" s="498">
        <v>6.3</v>
      </c>
      <c r="AA28" s="498">
        <v>6.96</v>
      </c>
      <c r="AB28" s="211"/>
      <c r="AC28" s="211"/>
      <c r="AD28" s="307">
        <f t="shared" si="30"/>
        <v>13.533333333333331</v>
      </c>
      <c r="AE28" s="217">
        <f t="shared" si="7"/>
        <v>22.538349850555573</v>
      </c>
      <c r="AF28" s="221">
        <f t="shared" si="8"/>
        <v>23.344646790055695</v>
      </c>
      <c r="AG28" s="157">
        <f t="shared" si="9"/>
        <v>0.73024253515800053</v>
      </c>
      <c r="AH28" s="158">
        <f t="shared" si="10"/>
        <v>0.75636655599780445</v>
      </c>
      <c r="AI28" s="320">
        <f t="shared" si="11"/>
        <v>948.92853198243438</v>
      </c>
      <c r="AJ28" s="220">
        <f t="shared" si="12"/>
        <v>792.47290251915877</v>
      </c>
      <c r="AK28" s="220">
        <f t="shared" si="13"/>
        <v>660.39408543263232</v>
      </c>
      <c r="AL28" s="220">
        <f t="shared" si="14"/>
        <v>528.31526834610588</v>
      </c>
      <c r="AM28" s="207">
        <f t="shared" si="15"/>
        <v>4986.8616545623436</v>
      </c>
      <c r="AN28" s="262">
        <f t="shared" si="16"/>
        <v>4164.6473856111952</v>
      </c>
    </row>
    <row r="29" spans="1:40" ht="12.75" customHeight="1" x14ac:dyDescent="0.2">
      <c r="A29" s="255">
        <v>6</v>
      </c>
      <c r="B29" s="2369" t="s">
        <v>168</v>
      </c>
      <c r="C29" s="2371" t="s">
        <v>341</v>
      </c>
      <c r="D29" s="675">
        <v>2.2999999999999998</v>
      </c>
      <c r="E29" s="851" t="s">
        <v>35</v>
      </c>
      <c r="F29" s="210" t="s">
        <v>100</v>
      </c>
      <c r="G29" s="2247">
        <f>G5</f>
        <v>8.2869415032183689</v>
      </c>
      <c r="H29" s="2249">
        <f>H5</f>
        <v>9.0895455227238635</v>
      </c>
      <c r="I29" s="213"/>
      <c r="J29" s="214">
        <v>11.15</v>
      </c>
      <c r="K29" s="215"/>
      <c r="L29" s="215"/>
      <c r="M29" s="689"/>
      <c r="N29" s="216"/>
      <c r="O29" s="217">
        <f>0.314*I29+0.249*J29+0.195*K29+0.159*L29+0.06*M29</f>
        <v>2.7763499999999999</v>
      </c>
      <c r="P29" s="211">
        <f>0.4*SUM(I29:M29)</f>
        <v>4.46</v>
      </c>
      <c r="Q29" s="218">
        <f>SQRT(POWER(O29,2)+POWER(P29+G29,2))</f>
        <v>13.04579001091812</v>
      </c>
      <c r="R29" s="219">
        <f>SQRT(POWER(O29,2)+POWER(P29+H29,2))</f>
        <v>13.831062981378775</v>
      </c>
      <c r="S29" s="220">
        <f>37000/1.73/SQRT(POWER((G29+P29),2)+O29*O29)</f>
        <v>1639.4011569322395</v>
      </c>
      <c r="T29" s="871">
        <f>37000/2/SQRT(O29*O29+POWER((H29+P29),2))</f>
        <v>1337.5689218469449</v>
      </c>
      <c r="U29" s="605">
        <v>1</v>
      </c>
      <c r="V29" s="211" t="s">
        <v>195</v>
      </c>
      <c r="W29" s="881">
        <v>6.3</v>
      </c>
      <c r="X29" s="211">
        <v>11</v>
      </c>
      <c r="Y29" s="881">
        <v>35</v>
      </c>
      <c r="Z29" s="882">
        <v>6.3</v>
      </c>
      <c r="AA29" s="881">
        <v>8.1300000000000008</v>
      </c>
      <c r="AB29" s="211"/>
      <c r="AC29" s="211">
        <v>5</v>
      </c>
      <c r="AD29" s="307">
        <f>AA29/100*Y29*Y29/W29</f>
        <v>15.808333333333335</v>
      </c>
      <c r="AE29" s="217">
        <f>SQRT(POWER(O29,2)+POWER(P29+AD29+G29,2))</f>
        <v>28.68992576347145</v>
      </c>
      <c r="AF29" s="221">
        <f>SQRT(POWER(O29,2)+POWER(P29+AD29+H29,2))</f>
        <v>29.488865190939958</v>
      </c>
      <c r="AG29" s="157">
        <f>SQRT(POWER((AD29+P29+G29),2)+POWER(O29,2))*POWER(6.3/35,2)</f>
        <v>0.92955359473647492</v>
      </c>
      <c r="AH29" s="158">
        <f>SQRT(POWER((H29+P29+AD29),2)+POWER(O29,2))*POWER(6.3/35,2)</f>
        <v>0.95543923218645455</v>
      </c>
      <c r="AI29" s="320">
        <f>37000/1.73/SQRT(POWER((G29+P29+AD29),2)+O29*O29)</f>
        <v>745.46317802693329</v>
      </c>
      <c r="AJ29" s="220">
        <f>37000/2/SQRT(POWER((H29+P29+AD29),2)+O29*O29)</f>
        <v>627.35544010299407</v>
      </c>
      <c r="AK29" s="220">
        <f>AJ29/1.2</f>
        <v>522.79620008582845</v>
      </c>
      <c r="AL29" s="220">
        <f>AJ29/1.5</f>
        <v>418.23696006866271</v>
      </c>
      <c r="AM29" s="220">
        <f>6300/(1.73*AG29)</f>
        <v>3917.5992839253258</v>
      </c>
      <c r="AN29" s="262">
        <f>6300/(2*AH29)</f>
        <v>3296.9129735142333</v>
      </c>
    </row>
    <row r="30" spans="1:40" ht="12.75" customHeight="1" x14ac:dyDescent="0.2">
      <c r="A30" s="255">
        <v>6</v>
      </c>
      <c r="B30" s="2366"/>
      <c r="C30" s="2372"/>
      <c r="D30" s="675">
        <v>2.2999999999999998</v>
      </c>
      <c r="E30" s="851" t="s">
        <v>35</v>
      </c>
      <c r="F30" s="210" t="s">
        <v>100</v>
      </c>
      <c r="G30" s="2247">
        <f>G6</f>
        <v>8.2967555031037516</v>
      </c>
      <c r="H30" s="2249">
        <f>H6</f>
        <v>9.1031996394772428</v>
      </c>
      <c r="I30" s="213"/>
      <c r="J30" s="214">
        <v>11.15</v>
      </c>
      <c r="K30" s="215"/>
      <c r="L30" s="215"/>
      <c r="M30" s="689"/>
      <c r="N30" s="216"/>
      <c r="O30" s="217">
        <f>0.314*I30+0.249*J30+0.195*K30+0.159*L30+0.06*M30</f>
        <v>2.7763499999999999</v>
      </c>
      <c r="P30" s="211">
        <f>0.4*SUM(I30:M30)</f>
        <v>4.46</v>
      </c>
      <c r="Q30" s="218">
        <f>SQRT(POWER(O30,2)+POWER(P30+G30,2))</f>
        <v>13.055379362104643</v>
      </c>
      <c r="R30" s="219">
        <f>SQRT(POWER(O30,2)+POWER(P30+H30,2))</f>
        <v>13.844439453542915</v>
      </c>
      <c r="S30" s="220">
        <f>37000/1.73/SQRT(POWER((G30+P30),2)+O30*O30)</f>
        <v>1638.1969948015665</v>
      </c>
      <c r="T30" s="871">
        <f>37000/2/SQRT(O30*O30+POWER((H30+P30),2))</f>
        <v>1336.2765651927991</v>
      </c>
      <c r="U30" s="605">
        <v>2</v>
      </c>
      <c r="V30" s="211" t="s">
        <v>195</v>
      </c>
      <c r="W30" s="881">
        <v>6.3</v>
      </c>
      <c r="X30" s="211">
        <v>11</v>
      </c>
      <c r="Y30" s="881">
        <v>35</v>
      </c>
      <c r="Z30" s="882">
        <v>6.3</v>
      </c>
      <c r="AA30" s="881">
        <v>8.1300000000000008</v>
      </c>
      <c r="AB30" s="211"/>
      <c r="AC30" s="211">
        <v>5</v>
      </c>
      <c r="AD30" s="307">
        <f>AA30/100*Y30*Y30/W30</f>
        <v>15.808333333333335</v>
      </c>
      <c r="AE30" s="217">
        <f>SQRT(POWER(O30,2)+POWER(P30+AD30+G30,2))</f>
        <v>28.69969371885426</v>
      </c>
      <c r="AF30" s="221">
        <f>SQRT(POWER(O30,2)+POWER(P30+AD30+H30,2))</f>
        <v>29.502458685597695</v>
      </c>
      <c r="AG30" s="157">
        <f>SQRT(POWER((AD30+P30+G30),2)+POWER(O30,2))*POWER(6.3/35,2)</f>
        <v>0.92987007649087794</v>
      </c>
      <c r="AH30" s="158">
        <f>SQRT(POWER((H30+P30+AD30),2)+POWER(O30,2))*POWER(6.3/35,2)</f>
        <v>0.95587966141336522</v>
      </c>
      <c r="AI30" s="320">
        <f>37000/1.73/SQRT(POWER((G30+P30+AD30),2)+O30*O30)</f>
        <v>745.20945925439776</v>
      </c>
      <c r="AJ30" s="220">
        <f>37000/2/SQRT(POWER((H30+P30+AD30),2)+O30*O30)</f>
        <v>627.06638104813965</v>
      </c>
      <c r="AK30" s="220">
        <f>AJ30/1.2</f>
        <v>522.55531754011645</v>
      </c>
      <c r="AL30" s="220">
        <f>AJ30/1.5</f>
        <v>418.04425403209308</v>
      </c>
      <c r="AM30" s="207">
        <f>6300/(1.73*AG30)</f>
        <v>3916.2659270126014</v>
      </c>
      <c r="AN30" s="262">
        <f>6300/(2*AH30)</f>
        <v>3295.3938943971302</v>
      </c>
    </row>
    <row r="31" spans="1:40" ht="12.75" customHeight="1" x14ac:dyDescent="0.2">
      <c r="A31" s="255">
        <v>6</v>
      </c>
      <c r="B31" s="2369" t="s">
        <v>140</v>
      </c>
      <c r="C31" s="2371" t="s">
        <v>43</v>
      </c>
      <c r="D31" s="675">
        <v>5.8</v>
      </c>
      <c r="E31" s="301" t="s">
        <v>35</v>
      </c>
      <c r="F31" s="210" t="s">
        <v>44</v>
      </c>
      <c r="G31" s="206">
        <v>5.835</v>
      </c>
      <c r="H31" s="340">
        <v>7.0460000000000003</v>
      </c>
      <c r="I31" s="213"/>
      <c r="J31" s="214">
        <v>24.1</v>
      </c>
      <c r="K31" s="215">
        <v>0.55000000000000004</v>
      </c>
      <c r="L31" s="215"/>
      <c r="M31" s="689"/>
      <c r="N31" s="216"/>
      <c r="O31" s="217">
        <f>0.314*I31+0.249*J31+0.195*K31+0.159*L31+0.06*M31</f>
        <v>6.1081500000000002</v>
      </c>
      <c r="P31" s="211">
        <f>0.4*SUM(I31:M31)</f>
        <v>9.8600000000000012</v>
      </c>
      <c r="Q31" s="218">
        <f>SQRT(POWER(O31,2)+POWER(P31+G31,2))</f>
        <v>16.841689981189536</v>
      </c>
      <c r="R31" s="219">
        <f>SQRT(POWER(O31,2)+POWER(P31+H31,2))</f>
        <v>17.975603812459266</v>
      </c>
      <c r="S31" s="220">
        <f>37000/1.73/SQRT(POWER((G31+P31),2)+O31*O31)</f>
        <v>1269.9012546176573</v>
      </c>
      <c r="T31" s="871">
        <f>37000/2/SQRT(O31*O31+POWER((H31+P31),2))</f>
        <v>1029.1726605132042</v>
      </c>
      <c r="U31" s="605">
        <v>1</v>
      </c>
      <c r="V31" s="211" t="s">
        <v>50</v>
      </c>
      <c r="W31" s="211">
        <v>6.3</v>
      </c>
      <c r="X31" s="211">
        <v>11</v>
      </c>
      <c r="Y31" s="211">
        <v>35</v>
      </c>
      <c r="Z31" s="498">
        <v>6.3</v>
      </c>
      <c r="AA31" s="498">
        <v>7.6</v>
      </c>
      <c r="AB31" s="211"/>
      <c r="AC31" s="211">
        <v>5</v>
      </c>
      <c r="AD31" s="307">
        <f>AA31/100*Y31*Y31/W31</f>
        <v>14.77777777777778</v>
      </c>
      <c r="AE31" s="217">
        <f>SQRT(POWER(O31,2)+POWER(P31+AD31+G31,2))</f>
        <v>31.078926653221593</v>
      </c>
      <c r="AF31" s="221">
        <f>SQRT(POWER(O31,2)+POWER(P31+AD31+H31,2))</f>
        <v>32.267185664295312</v>
      </c>
      <c r="AG31" s="157">
        <f>SQRT(POWER((AD31+P31+G31),2)+POWER(O31,2))*POWER(6.3/35,2)</f>
        <v>1.0069572235643796</v>
      </c>
      <c r="AH31" s="158">
        <f>SQRT(POWER((H31+P31+AD31),2)+POWER(O31,2))*POWER(6.3/35,2)</f>
        <v>1.0454568155231683</v>
      </c>
      <c r="AI31" s="320">
        <f>37000/1.73/SQRT(POWER((G31+P31+AD31),2)+O31*O31)</f>
        <v>688.16029187987579</v>
      </c>
      <c r="AJ31" s="220">
        <f>37000/2/SQRT(POWER((H31+P31+AD31),2)+O31*O31)</f>
        <v>573.33788550610552</v>
      </c>
      <c r="AK31" s="220">
        <f>AJ31/1.2</f>
        <v>477.78157125508795</v>
      </c>
      <c r="AL31" s="220">
        <f>AJ31/1.5</f>
        <v>382.22525700407033</v>
      </c>
      <c r="AM31" s="207">
        <f>6300/(1.73*AG31)</f>
        <v>3616.4579903597073</v>
      </c>
      <c r="AN31" s="262">
        <f>6300/(2*AH31)</f>
        <v>3013.036935842897</v>
      </c>
    </row>
    <row r="32" spans="1:40" ht="12.75" customHeight="1" x14ac:dyDescent="0.2">
      <c r="A32" s="255">
        <v>6</v>
      </c>
      <c r="B32" s="2366"/>
      <c r="C32" s="2372"/>
      <c r="D32" s="675">
        <v>5.8</v>
      </c>
      <c r="E32" s="301" t="s">
        <v>35</v>
      </c>
      <c r="F32" s="210" t="s">
        <v>44</v>
      </c>
      <c r="G32" s="219">
        <v>5.835</v>
      </c>
      <c r="H32" s="307">
        <v>7.0460000000000003</v>
      </c>
      <c r="I32" s="213"/>
      <c r="J32" s="214">
        <v>24.1</v>
      </c>
      <c r="K32" s="215">
        <v>0.55000000000000004</v>
      </c>
      <c r="L32" s="215"/>
      <c r="M32" s="689"/>
      <c r="N32" s="216"/>
      <c r="O32" s="217">
        <f>0.314*I32+0.249*J32+0.195*K32+0.159*L32+0.06*M32</f>
        <v>6.1081500000000002</v>
      </c>
      <c r="P32" s="211">
        <f>0.4*SUM(I32:M32)</f>
        <v>9.8600000000000012</v>
      </c>
      <c r="Q32" s="218">
        <f>SQRT(POWER(O32,2)+POWER(P32+G32,2))</f>
        <v>16.841689981189536</v>
      </c>
      <c r="R32" s="219">
        <f>SQRT(POWER(O32,2)+POWER(P32+H32,2))</f>
        <v>17.975603812459266</v>
      </c>
      <c r="S32" s="220">
        <f>37000/1.73/SQRT(POWER((G32+P32),2)+O32*O32)</f>
        <v>1269.9012546176573</v>
      </c>
      <c r="T32" s="871">
        <f>37000/2/SQRT(O32*O32+POWER((H32+P32),2))</f>
        <v>1029.1726605132042</v>
      </c>
      <c r="U32" s="605">
        <v>2</v>
      </c>
      <c r="V32" s="211" t="s">
        <v>50</v>
      </c>
      <c r="W32" s="211">
        <v>6.3</v>
      </c>
      <c r="X32" s="211">
        <v>11</v>
      </c>
      <c r="Y32" s="211">
        <v>35</v>
      </c>
      <c r="Z32" s="498">
        <v>6.3</v>
      </c>
      <c r="AA32" s="498">
        <v>7.6</v>
      </c>
      <c r="AB32" s="211"/>
      <c r="AC32" s="211">
        <v>5</v>
      </c>
      <c r="AD32" s="307">
        <f>AA32/100*Y32*Y32/W32</f>
        <v>14.77777777777778</v>
      </c>
      <c r="AE32" s="217">
        <f>SQRT(POWER(O32,2)+POWER(P32+AD32+G32,2))</f>
        <v>31.078926653221593</v>
      </c>
      <c r="AF32" s="221">
        <f>SQRT(POWER(O32,2)+POWER(P32+AD32+H32,2))</f>
        <v>32.267185664295312</v>
      </c>
      <c r="AG32" s="157">
        <f>SQRT(POWER((AD32+P32+G32),2)+POWER(O32,2))*POWER(6.3/35,2)</f>
        <v>1.0069572235643796</v>
      </c>
      <c r="AH32" s="158">
        <f>SQRT(POWER((H32+P32+AD32),2)+POWER(O32,2))*POWER(6.3/35,2)</f>
        <v>1.0454568155231683</v>
      </c>
      <c r="AI32" s="320">
        <f>37000/1.73/SQRT(POWER((G32+P32+AD32),2)+O32*O32)</f>
        <v>688.16029187987579</v>
      </c>
      <c r="AJ32" s="220">
        <f>37000/2/SQRT(POWER((H32+P32+AD32),2)+O32*O32)</f>
        <v>573.33788550610552</v>
      </c>
      <c r="AK32" s="220">
        <f>AJ32/1.2</f>
        <v>477.78157125508795</v>
      </c>
      <c r="AL32" s="220">
        <f>AJ32/1.5</f>
        <v>382.22525700407033</v>
      </c>
      <c r="AM32" s="207">
        <f>6300/(1.73*AG32)</f>
        <v>3616.4579903597073</v>
      </c>
      <c r="AN32" s="262">
        <f>6300/(2*AH32)</f>
        <v>3013.036935842897</v>
      </c>
    </row>
    <row r="33" spans="1:40" ht="12.75" customHeight="1" x14ac:dyDescent="0.2">
      <c r="A33" s="255">
        <v>6</v>
      </c>
      <c r="B33" s="2369" t="s">
        <v>134</v>
      </c>
      <c r="C33" s="2371" t="s">
        <v>43</v>
      </c>
      <c r="D33" s="675">
        <v>5.8</v>
      </c>
      <c r="E33" s="851" t="s">
        <v>35</v>
      </c>
      <c r="F33" s="210" t="s">
        <v>44</v>
      </c>
      <c r="G33" s="206">
        <v>5.835</v>
      </c>
      <c r="H33" s="340">
        <v>7.0460000000000003</v>
      </c>
      <c r="I33" s="213"/>
      <c r="J33" s="214">
        <v>18.29</v>
      </c>
      <c r="K33" s="215">
        <v>0.55000000000000004</v>
      </c>
      <c r="L33" s="215"/>
      <c r="M33" s="689"/>
      <c r="N33" s="216"/>
      <c r="O33" s="217">
        <f t="shared" si="27"/>
        <v>4.661459999999999</v>
      </c>
      <c r="P33" s="211">
        <f t="shared" si="28"/>
        <v>7.5360000000000005</v>
      </c>
      <c r="Q33" s="218">
        <f t="shared" ref="Q33:Q46" si="31">SQRT(POWER(O33,2)+POWER(P33+G33,2))</f>
        <v>14.160256012219554</v>
      </c>
      <c r="R33" s="219">
        <f t="shared" si="29"/>
        <v>15.308949452251779</v>
      </c>
      <c r="S33" s="220">
        <f t="shared" si="4"/>
        <v>1510.3740510438597</v>
      </c>
      <c r="T33" s="871">
        <f t="shared" si="5"/>
        <v>1208.4434701219066</v>
      </c>
      <c r="U33" s="605">
        <v>1</v>
      </c>
      <c r="V33" s="211" t="s">
        <v>192</v>
      </c>
      <c r="W33" s="211">
        <v>4</v>
      </c>
      <c r="X33" s="211">
        <v>11</v>
      </c>
      <c r="Y33" s="211">
        <v>35</v>
      </c>
      <c r="Z33" s="498">
        <v>6.3</v>
      </c>
      <c r="AA33" s="498">
        <v>6.2</v>
      </c>
      <c r="AB33" s="211"/>
      <c r="AC33" s="211"/>
      <c r="AD33" s="307">
        <f t="shared" si="30"/>
        <v>18.987500000000001</v>
      </c>
      <c r="AE33" s="217">
        <f t="shared" si="7"/>
        <v>32.692533269564784</v>
      </c>
      <c r="AF33" s="221">
        <f t="shared" si="8"/>
        <v>33.891599838036569</v>
      </c>
      <c r="AG33" s="157">
        <f t="shared" si="9"/>
        <v>1.059238077933899</v>
      </c>
      <c r="AH33" s="158">
        <f t="shared" si="10"/>
        <v>1.0980878347523848</v>
      </c>
      <c r="AI33" s="320">
        <f>37000/1.73/SQRT(POWER((G33+P33+AD33),2)+O33*O33)</f>
        <v>654.19473800474123</v>
      </c>
      <c r="AJ33" s="220">
        <f>37000/2/SQRT(POWER((H33+P33+AD33),2)+O33*O33)</f>
        <v>545.85797331518813</v>
      </c>
      <c r="AK33" s="220">
        <f t="shared" si="13"/>
        <v>454.88164442932344</v>
      </c>
      <c r="AL33" s="220">
        <f t="shared" si="14"/>
        <v>363.90531554345876</v>
      </c>
      <c r="AM33" s="207">
        <f t="shared" si="15"/>
        <v>3437.9603348597511</v>
      </c>
      <c r="AN33" s="262">
        <f t="shared" si="16"/>
        <v>2868.6229828876253</v>
      </c>
    </row>
    <row r="34" spans="1:40" ht="12.75" customHeight="1" x14ac:dyDescent="0.2">
      <c r="A34" s="255">
        <v>6</v>
      </c>
      <c r="B34" s="2366"/>
      <c r="C34" s="2372"/>
      <c r="D34" s="675">
        <v>5.8</v>
      </c>
      <c r="E34" s="301" t="s">
        <v>35</v>
      </c>
      <c r="F34" s="210" t="s">
        <v>44</v>
      </c>
      <c r="G34" s="219">
        <v>5.835</v>
      </c>
      <c r="H34" s="307">
        <v>7.0460000000000003</v>
      </c>
      <c r="I34" s="213"/>
      <c r="J34" s="214">
        <v>18.04</v>
      </c>
      <c r="K34" s="215">
        <v>0.55000000000000004</v>
      </c>
      <c r="L34" s="215"/>
      <c r="M34" s="689"/>
      <c r="N34" s="216"/>
      <c r="O34" s="217">
        <f t="shared" si="27"/>
        <v>4.5992099999999994</v>
      </c>
      <c r="P34" s="211">
        <f t="shared" si="28"/>
        <v>7.4359999999999999</v>
      </c>
      <c r="Q34" s="218">
        <f t="shared" si="31"/>
        <v>14.045361284926067</v>
      </c>
      <c r="R34" s="219">
        <f t="shared" si="29"/>
        <v>15.194770699951349</v>
      </c>
      <c r="S34" s="220">
        <f t="shared" si="4"/>
        <v>1522.7293056496694</v>
      </c>
      <c r="T34" s="871">
        <f t="shared" si="5"/>
        <v>1217.5241315131682</v>
      </c>
      <c r="U34" s="605">
        <v>2</v>
      </c>
      <c r="V34" s="211" t="s">
        <v>192</v>
      </c>
      <c r="W34" s="211">
        <v>4</v>
      </c>
      <c r="X34" s="211">
        <v>11</v>
      </c>
      <c r="Y34" s="211">
        <v>35</v>
      </c>
      <c r="Z34" s="498">
        <v>6.3</v>
      </c>
      <c r="AA34" s="498">
        <v>6.35</v>
      </c>
      <c r="AB34" s="211"/>
      <c r="AC34" s="211"/>
      <c r="AD34" s="307">
        <f t="shared" si="30"/>
        <v>19.446875000000002</v>
      </c>
      <c r="AE34" s="217">
        <f t="shared" si="7"/>
        <v>33.039553222459368</v>
      </c>
      <c r="AF34" s="221">
        <f t="shared" si="8"/>
        <v>34.239177726541939</v>
      </c>
      <c r="AG34" s="157">
        <f t="shared" si="9"/>
        <v>1.0704815244076835</v>
      </c>
      <c r="AH34" s="158">
        <f t="shared" si="10"/>
        <v>1.1093493583399587</v>
      </c>
      <c r="AI34" s="320">
        <f t="shared" si="11"/>
        <v>647.32362126663793</v>
      </c>
      <c r="AJ34" s="220">
        <f t="shared" si="12"/>
        <v>540.31671402140444</v>
      </c>
      <c r="AK34" s="220">
        <f t="shared" si="13"/>
        <v>450.26392835117036</v>
      </c>
      <c r="AL34" s="220">
        <f t="shared" si="14"/>
        <v>360.21114268093629</v>
      </c>
      <c r="AM34" s="207">
        <f t="shared" si="15"/>
        <v>3401.8508625123623</v>
      </c>
      <c r="AN34" s="262">
        <f t="shared" si="16"/>
        <v>2839.5022508632364</v>
      </c>
    </row>
    <row r="35" spans="1:40" ht="12.75" customHeight="1" x14ac:dyDescent="0.2">
      <c r="A35" s="255">
        <v>6</v>
      </c>
      <c r="B35" s="2369" t="s">
        <v>167</v>
      </c>
      <c r="C35" s="2371" t="s">
        <v>43</v>
      </c>
      <c r="D35" s="675">
        <v>2.2999999999999998</v>
      </c>
      <c r="E35" s="851" t="s">
        <v>35</v>
      </c>
      <c r="F35" s="884" t="s">
        <v>100</v>
      </c>
      <c r="G35" s="2247">
        <f>G5</f>
        <v>8.2869415032183689</v>
      </c>
      <c r="H35" s="2249">
        <f>H5</f>
        <v>9.0895455227238635</v>
      </c>
      <c r="I35" s="213"/>
      <c r="J35" s="214">
        <v>10.57</v>
      </c>
      <c r="K35" s="215"/>
      <c r="L35" s="215"/>
      <c r="M35" s="689"/>
      <c r="N35" s="216"/>
      <c r="O35" s="217">
        <f t="shared" ref="O35:O40" si="32">0.314*I35+0.249*J35+0.195*K35+0.159*L35+0.06*M35</f>
        <v>2.6319300000000001</v>
      </c>
      <c r="P35" s="211">
        <f t="shared" ref="P35:P40" si="33">0.4*SUM(I35:M35)</f>
        <v>4.2280000000000006</v>
      </c>
      <c r="Q35" s="218">
        <f>SQRT(POWER(O35,2)+POWER(P35+G35,2))</f>
        <v>12.788698774851087</v>
      </c>
      <c r="R35" s="219">
        <f>SQRT(POWER(O35,2)+POWER(P35+H35,2))</f>
        <v>13.575127044514996</v>
      </c>
      <c r="S35" s="220">
        <f>37000/1.73/SQRT(POWER((G35+P35),2)+O35*O35)</f>
        <v>1672.3580415430697</v>
      </c>
      <c r="T35" s="871">
        <f>37000/2/SQRT(O35*O35+POWER((H35+P35),2))</f>
        <v>1362.7865094253309</v>
      </c>
      <c r="U35" s="605">
        <v>1</v>
      </c>
      <c r="V35" s="211" t="s">
        <v>192</v>
      </c>
      <c r="W35" s="881">
        <v>4</v>
      </c>
      <c r="X35" s="211">
        <v>11</v>
      </c>
      <c r="Y35" s="881">
        <v>35</v>
      </c>
      <c r="Z35" s="882">
        <v>6.3</v>
      </c>
      <c r="AA35" s="881">
        <v>6.14</v>
      </c>
      <c r="AB35" s="211"/>
      <c r="AC35" s="211">
        <v>5</v>
      </c>
      <c r="AD35" s="307">
        <f>AA35/100*Y35*Y35/W35</f>
        <v>18.803750000000001</v>
      </c>
      <c r="AE35" s="217">
        <f>SQRT(POWER(O35,2)+POWER(P35+AD35+G35,2))</f>
        <v>31.429086735039927</v>
      </c>
      <c r="AF35" s="221">
        <f>SQRT(POWER(O35,2)+POWER(P35+AD35+H35,2))</f>
        <v>32.228941676435177</v>
      </c>
      <c r="AG35" s="157">
        <f>SQRT(POWER((AD35+P35+G35),2)+POWER(O35,2))*POWER(6.3/35,2)</f>
        <v>1.0183024102152936</v>
      </c>
      <c r="AH35" s="158">
        <f>SQRT(POWER((H35+P35+AD35),2)+POWER(O35,2))*POWER(6.3/35,2)</f>
        <v>1.0442177103164996</v>
      </c>
      <c r="AI35" s="320">
        <f>37000/1.73/SQRT(POWER((G35+P35+AD35),2)+O35*O35)</f>
        <v>680.49330918514352</v>
      </c>
      <c r="AJ35" s="220">
        <f>37000/2/SQRT(POWER((H35+P35+AD35),2)+O35*O35)</f>
        <v>574.0182282661375</v>
      </c>
      <c r="AK35" s="220">
        <f>AJ35/1.2</f>
        <v>478.34852355511458</v>
      </c>
      <c r="AL35" s="220">
        <f>AJ35/1.5</f>
        <v>382.67881884409167</v>
      </c>
      <c r="AM35" s="207">
        <f>6300/(1.73*AG35)</f>
        <v>3576.1660392612653</v>
      </c>
      <c r="AN35" s="262">
        <f>6300/(2*AH35)</f>
        <v>3016.6123107079302</v>
      </c>
    </row>
    <row r="36" spans="1:40" ht="12.75" customHeight="1" x14ac:dyDescent="0.2">
      <c r="A36" s="255">
        <v>6</v>
      </c>
      <c r="B36" s="2366"/>
      <c r="C36" s="2372"/>
      <c r="D36" s="675">
        <v>2.2999999999999998</v>
      </c>
      <c r="E36" s="851" t="s">
        <v>35</v>
      </c>
      <c r="F36" s="884" t="s">
        <v>100</v>
      </c>
      <c r="G36" s="2247">
        <f>G6</f>
        <v>8.2967555031037516</v>
      </c>
      <c r="H36" s="2249">
        <f>H6</f>
        <v>9.1031996394772428</v>
      </c>
      <c r="I36" s="213"/>
      <c r="J36" s="214">
        <v>10.57</v>
      </c>
      <c r="K36" s="215"/>
      <c r="L36" s="215"/>
      <c r="M36" s="689"/>
      <c r="N36" s="216"/>
      <c r="O36" s="217">
        <f t="shared" si="32"/>
        <v>2.6319300000000001</v>
      </c>
      <c r="P36" s="211">
        <f t="shared" si="33"/>
        <v>4.2280000000000006</v>
      </c>
      <c r="Q36" s="218">
        <f>SQRT(POWER(O36,2)+POWER(P36+G36,2))</f>
        <v>12.798302853793846</v>
      </c>
      <c r="R36" s="219">
        <f>SQRT(POWER(O36,2)+POWER(P36+H36,2))</f>
        <v>13.588522338815881</v>
      </c>
      <c r="S36" s="220">
        <f>37000/1.73/SQRT(POWER((G36+P36),2)+O36*O36)</f>
        <v>1671.1030736902987</v>
      </c>
      <c r="T36" s="871">
        <f>37000/2/SQRT(O36*O36+POWER((H36+P36),2))</f>
        <v>1361.4431016648798</v>
      </c>
      <c r="U36" s="605">
        <v>2</v>
      </c>
      <c r="V36" s="211" t="s">
        <v>192</v>
      </c>
      <c r="W36" s="881">
        <v>4</v>
      </c>
      <c r="X36" s="211">
        <v>11</v>
      </c>
      <c r="Y36" s="881">
        <v>35</v>
      </c>
      <c r="Z36" s="882">
        <v>6.3</v>
      </c>
      <c r="AA36" s="881">
        <v>6.26</v>
      </c>
      <c r="AB36" s="211"/>
      <c r="AC36" s="211">
        <v>5</v>
      </c>
      <c r="AD36" s="307">
        <f>AA36/100*Y36*Y36/W36</f>
        <v>19.171250000000004</v>
      </c>
      <c r="AE36" s="217">
        <f>SQRT(POWER(O36,2)+POWER(P36+AD36+G36,2))</f>
        <v>31.805091107834979</v>
      </c>
      <c r="AF36" s="221">
        <f>SQRT(POWER(O36,2)+POWER(P36+AD36+H36,2))</f>
        <v>32.608837576516812</v>
      </c>
      <c r="AG36" s="157">
        <f>SQRT(POWER((AD36+P36+G36),2)+POWER(O36,2))*POWER(6.3/35,2)</f>
        <v>1.0304849518938533</v>
      </c>
      <c r="AH36" s="158">
        <f>SQRT(POWER((H36+P36+AD36),2)+POWER(O36,2))*POWER(6.3/35,2)</f>
        <v>1.0565263374791447</v>
      </c>
      <c r="AI36" s="320">
        <f>37000/1.73/SQRT(POWER((G36+P36+AD36),2)+O36*O36)</f>
        <v>672.44841916914368</v>
      </c>
      <c r="AJ36" s="220">
        <f>37000/2/SQRT(POWER((H36+P36+AD36),2)+O36*O36)</f>
        <v>567.33086411282375</v>
      </c>
      <c r="AK36" s="220">
        <f>AJ36/1.2</f>
        <v>472.77572009401979</v>
      </c>
      <c r="AL36" s="220">
        <f>AJ36/1.5</f>
        <v>378.22057607521583</v>
      </c>
      <c r="AM36" s="207">
        <f>6300/(1.73*AG36)</f>
        <v>3533.8880887267314</v>
      </c>
      <c r="AN36" s="262">
        <f>6300/(2*AH36)</f>
        <v>2981.4685050974222</v>
      </c>
    </row>
    <row r="37" spans="1:40" ht="12.75" customHeight="1" x14ac:dyDescent="0.2">
      <c r="A37" s="255">
        <v>6</v>
      </c>
      <c r="B37" s="2369" t="s">
        <v>145</v>
      </c>
      <c r="C37" s="2371" t="s">
        <v>341</v>
      </c>
      <c r="D37" s="675">
        <v>5.8</v>
      </c>
      <c r="E37" s="301" t="s">
        <v>35</v>
      </c>
      <c r="F37" s="210" t="s">
        <v>44</v>
      </c>
      <c r="G37" s="206">
        <v>5.835</v>
      </c>
      <c r="H37" s="340">
        <v>7.0460000000000003</v>
      </c>
      <c r="I37" s="213"/>
      <c r="J37" s="214">
        <v>21.25</v>
      </c>
      <c r="K37" s="215">
        <v>0.55000000000000004</v>
      </c>
      <c r="L37" s="215"/>
      <c r="M37" s="689"/>
      <c r="N37" s="216"/>
      <c r="O37" s="217">
        <f t="shared" si="32"/>
        <v>5.3984999999999994</v>
      </c>
      <c r="P37" s="211">
        <f t="shared" si="33"/>
        <v>8.7200000000000006</v>
      </c>
      <c r="Q37" s="218">
        <f t="shared" si="31"/>
        <v>15.523911467474941</v>
      </c>
      <c r="R37" s="219">
        <f t="shared" ref="R37:R46" si="34">SQRT(POWER(O37,2)+POWER(P37+H37,2))</f>
        <v>16.664649958820018</v>
      </c>
      <c r="S37" s="220">
        <f t="shared" si="4"/>
        <v>1377.6993821308486</v>
      </c>
      <c r="T37" s="871">
        <f t="shared" si="5"/>
        <v>1110.1343289967274</v>
      </c>
      <c r="U37" s="605">
        <v>1</v>
      </c>
      <c r="V37" s="211" t="s">
        <v>122</v>
      </c>
      <c r="W37" s="211">
        <v>4</v>
      </c>
      <c r="X37" s="211">
        <v>11</v>
      </c>
      <c r="Y37" s="211">
        <v>35</v>
      </c>
      <c r="Z37" s="498">
        <v>6.3</v>
      </c>
      <c r="AA37" s="211">
        <v>7.4</v>
      </c>
      <c r="AB37" s="211"/>
      <c r="AC37" s="211"/>
      <c r="AD37" s="307">
        <f t="shared" ref="AD37:AD46" si="35">AA37/100*Y37*Y37/W37</f>
        <v>22.662500000000001</v>
      </c>
      <c r="AE37" s="217">
        <f t="shared" si="7"/>
        <v>37.606995472917006</v>
      </c>
      <c r="AF37" s="221">
        <f t="shared" si="8"/>
        <v>38.805842530474713</v>
      </c>
      <c r="AG37" s="157">
        <f t="shared" si="9"/>
        <v>1.218466653322511</v>
      </c>
      <c r="AH37" s="158">
        <f t="shared" si="10"/>
        <v>1.2573092979873806</v>
      </c>
      <c r="AI37" s="320">
        <f t="shared" si="11"/>
        <v>568.70491694547763</v>
      </c>
      <c r="AJ37" s="220">
        <f t="shared" si="12"/>
        <v>476.73233703073754</v>
      </c>
      <c r="AK37" s="220">
        <f t="shared" si="13"/>
        <v>397.27694752561462</v>
      </c>
      <c r="AL37" s="220">
        <f t="shared" si="14"/>
        <v>317.82155802049169</v>
      </c>
      <c r="AM37" s="207">
        <f t="shared" si="15"/>
        <v>2988.6895034672248</v>
      </c>
      <c r="AN37" s="262">
        <f t="shared" si="16"/>
        <v>2505.3501195309032</v>
      </c>
    </row>
    <row r="38" spans="1:40" ht="12.75" customHeight="1" x14ac:dyDescent="0.2">
      <c r="A38" s="255">
        <v>6</v>
      </c>
      <c r="B38" s="2366"/>
      <c r="C38" s="2372"/>
      <c r="D38" s="675">
        <v>5.8</v>
      </c>
      <c r="E38" s="301" t="s">
        <v>35</v>
      </c>
      <c r="F38" s="210" t="s">
        <v>44</v>
      </c>
      <c r="G38" s="219">
        <v>5.835</v>
      </c>
      <c r="H38" s="307">
        <v>7.0460000000000003</v>
      </c>
      <c r="I38" s="213"/>
      <c r="J38" s="214">
        <v>21.25</v>
      </c>
      <c r="K38" s="215">
        <v>0.55000000000000004</v>
      </c>
      <c r="L38" s="215"/>
      <c r="M38" s="689"/>
      <c r="N38" s="216"/>
      <c r="O38" s="217">
        <f t="shared" si="32"/>
        <v>5.3984999999999994</v>
      </c>
      <c r="P38" s="211">
        <f t="shared" si="33"/>
        <v>8.7200000000000006</v>
      </c>
      <c r="Q38" s="218">
        <f t="shared" si="31"/>
        <v>15.523911467474941</v>
      </c>
      <c r="R38" s="219">
        <f t="shared" si="34"/>
        <v>16.664649958820018</v>
      </c>
      <c r="S38" s="220">
        <f t="shared" si="4"/>
        <v>1377.6993821308486</v>
      </c>
      <c r="T38" s="871">
        <f t="shared" si="5"/>
        <v>1110.1343289967274</v>
      </c>
      <c r="U38" s="605">
        <v>2</v>
      </c>
      <c r="V38" s="211" t="s">
        <v>122</v>
      </c>
      <c r="W38" s="211">
        <v>4</v>
      </c>
      <c r="X38" s="211">
        <v>11</v>
      </c>
      <c r="Y38" s="211">
        <v>35</v>
      </c>
      <c r="Z38" s="498">
        <v>6.3</v>
      </c>
      <c r="AA38" s="152">
        <v>7.82</v>
      </c>
      <c r="AB38" s="211"/>
      <c r="AC38" s="211"/>
      <c r="AD38" s="307">
        <f t="shared" si="35"/>
        <v>23.94875</v>
      </c>
      <c r="AE38" s="217">
        <f t="shared" si="7"/>
        <v>38.88036221940969</v>
      </c>
      <c r="AF38" s="221">
        <f t="shared" si="8"/>
        <v>40.079984653346614</v>
      </c>
      <c r="AG38" s="157">
        <f t="shared" si="9"/>
        <v>1.259723735908874</v>
      </c>
      <c r="AH38" s="158">
        <f t="shared" si="10"/>
        <v>1.2985915027684303</v>
      </c>
      <c r="AI38" s="320">
        <f t="shared" si="11"/>
        <v>550.07932066840044</v>
      </c>
      <c r="AJ38" s="220">
        <f t="shared" si="12"/>
        <v>461.57702304547365</v>
      </c>
      <c r="AK38" s="220">
        <f t="shared" si="13"/>
        <v>384.64751920456138</v>
      </c>
      <c r="AL38" s="220">
        <f t="shared" si="14"/>
        <v>307.7180153636491</v>
      </c>
      <c r="AM38" s="207">
        <f t="shared" si="15"/>
        <v>2890.8072407498516</v>
      </c>
      <c r="AN38" s="262">
        <f t="shared" si="16"/>
        <v>2425.7050760648017</v>
      </c>
    </row>
    <row r="39" spans="1:40" ht="12.75" customHeight="1" x14ac:dyDescent="0.2">
      <c r="A39" s="254">
        <v>6</v>
      </c>
      <c r="B39" s="2369" t="s">
        <v>146</v>
      </c>
      <c r="C39" s="2371" t="s">
        <v>381</v>
      </c>
      <c r="D39" s="647">
        <v>2.2999999999999998</v>
      </c>
      <c r="E39" s="335" t="s">
        <v>35</v>
      </c>
      <c r="F39" s="656" t="s">
        <v>100</v>
      </c>
      <c r="G39" s="2247">
        <f>G5</f>
        <v>8.2869415032183689</v>
      </c>
      <c r="H39" s="2249">
        <f>H5</f>
        <v>9.0895455227238635</v>
      </c>
      <c r="I39" s="200"/>
      <c r="J39" s="201">
        <v>9.44</v>
      </c>
      <c r="K39" s="202"/>
      <c r="L39" s="202"/>
      <c r="M39" s="691"/>
      <c r="N39" s="203"/>
      <c r="O39" s="204">
        <f t="shared" si="32"/>
        <v>2.3505599999999998</v>
      </c>
      <c r="P39" s="198">
        <f t="shared" si="33"/>
        <v>3.7759999999999998</v>
      </c>
      <c r="Q39" s="205">
        <f t="shared" si="31"/>
        <v>12.289820585495471</v>
      </c>
      <c r="R39" s="208">
        <f t="shared" si="34"/>
        <v>13.07850885655089</v>
      </c>
      <c r="S39" s="207">
        <f t="shared" si="4"/>
        <v>1740.2437316485834</v>
      </c>
      <c r="T39" s="260">
        <f t="shared" si="5"/>
        <v>1414.5343481366028</v>
      </c>
      <c r="U39" s="872">
        <v>1</v>
      </c>
      <c r="V39" s="198" t="s">
        <v>193</v>
      </c>
      <c r="W39" s="198">
        <v>6.3</v>
      </c>
      <c r="X39" s="211">
        <v>11</v>
      </c>
      <c r="Y39" s="198">
        <v>35</v>
      </c>
      <c r="Z39" s="517">
        <v>6.3</v>
      </c>
      <c r="AA39" s="198">
        <v>7.92</v>
      </c>
      <c r="AB39" s="198"/>
      <c r="AC39" s="198">
        <v>10</v>
      </c>
      <c r="AD39" s="208">
        <f t="shared" si="35"/>
        <v>15.4</v>
      </c>
      <c r="AE39" s="338">
        <f t="shared" si="7"/>
        <v>27.563350455320087</v>
      </c>
      <c r="AF39" s="340">
        <f t="shared" si="8"/>
        <v>28.363113298979982</v>
      </c>
      <c r="AG39" s="873">
        <f t="shared" si="9"/>
        <v>0.89305255475237078</v>
      </c>
      <c r="AH39" s="874">
        <f t="shared" si="10"/>
        <v>0.91896487088695122</v>
      </c>
      <c r="AI39" s="341">
        <f t="shared" si="11"/>
        <v>775.93191261935999</v>
      </c>
      <c r="AJ39" s="207">
        <f t="shared" si="12"/>
        <v>652.25561823868304</v>
      </c>
      <c r="AK39" s="207">
        <f t="shared" si="13"/>
        <v>543.54634853223592</v>
      </c>
      <c r="AL39" s="207">
        <f t="shared" si="14"/>
        <v>434.83707882578869</v>
      </c>
      <c r="AM39" s="207">
        <f t="shared" si="15"/>
        <v>4077.7202615131532</v>
      </c>
      <c r="AN39" s="260">
        <f t="shared" si="16"/>
        <v>3427.7697655186053</v>
      </c>
    </row>
    <row r="40" spans="1:40" ht="12.75" customHeight="1" thickBot="1" x14ac:dyDescent="0.25">
      <c r="A40" s="256">
        <v>6</v>
      </c>
      <c r="B40" s="2365"/>
      <c r="C40" s="2382"/>
      <c r="D40" s="646">
        <v>2.2999999999999998</v>
      </c>
      <c r="E40" s="326" t="s">
        <v>35</v>
      </c>
      <c r="F40" s="653" t="s">
        <v>100</v>
      </c>
      <c r="G40" s="2245">
        <f>G6</f>
        <v>8.2967555031037516</v>
      </c>
      <c r="H40" s="2249">
        <f>H6</f>
        <v>9.1031996394772428</v>
      </c>
      <c r="I40" s="225"/>
      <c r="J40" s="226">
        <v>9.34</v>
      </c>
      <c r="K40" s="926"/>
      <c r="L40" s="926"/>
      <c r="M40" s="945"/>
      <c r="N40" s="927"/>
      <c r="O40" s="946">
        <f t="shared" si="32"/>
        <v>2.3256600000000001</v>
      </c>
      <c r="P40" s="223">
        <f t="shared" si="33"/>
        <v>3.7360000000000002</v>
      </c>
      <c r="Q40" s="227">
        <f t="shared" si="31"/>
        <v>12.255443665289055</v>
      </c>
      <c r="R40" s="947">
        <f t="shared" si="34"/>
        <v>13.048131736687541</v>
      </c>
      <c r="S40" s="229">
        <f t="shared" si="4"/>
        <v>1745.1251722178906</v>
      </c>
      <c r="T40" s="264">
        <f t="shared" si="5"/>
        <v>1417.8275000077901</v>
      </c>
      <c r="U40" s="875">
        <v>2</v>
      </c>
      <c r="V40" s="223" t="s">
        <v>193</v>
      </c>
      <c r="W40" s="223">
        <v>6.3</v>
      </c>
      <c r="X40" s="223">
        <v>11</v>
      </c>
      <c r="Y40" s="223">
        <v>35</v>
      </c>
      <c r="Z40" s="499">
        <v>6.3</v>
      </c>
      <c r="AA40" s="223">
        <v>7.9</v>
      </c>
      <c r="AB40" s="223"/>
      <c r="AC40" s="223"/>
      <c r="AD40" s="947">
        <f t="shared" si="35"/>
        <v>15.361111111111112</v>
      </c>
      <c r="AE40" s="331">
        <f t="shared" si="7"/>
        <v>27.49241027107292</v>
      </c>
      <c r="AF40" s="333">
        <f t="shared" si="8"/>
        <v>28.296046028824399</v>
      </c>
      <c r="AG40" s="876">
        <f t="shared" si="9"/>
        <v>0.89075409278276252</v>
      </c>
      <c r="AH40" s="877">
        <f t="shared" si="10"/>
        <v>0.91679189133391059</v>
      </c>
      <c r="AI40" s="334">
        <f t="shared" si="11"/>
        <v>777.93409257745509</v>
      </c>
      <c r="AJ40" s="229">
        <f t="shared" si="12"/>
        <v>653.80159408684028</v>
      </c>
      <c r="AK40" s="229">
        <f t="shared" si="13"/>
        <v>544.83466173903355</v>
      </c>
      <c r="AL40" s="229">
        <f t="shared" si="14"/>
        <v>435.86772939122687</v>
      </c>
      <c r="AM40" s="229">
        <f t="shared" si="15"/>
        <v>4088.2422282598995</v>
      </c>
      <c r="AN40" s="264">
        <f t="shared" si="16"/>
        <v>3435.8942632191306</v>
      </c>
    </row>
    <row r="41" spans="1:40" ht="12.75" customHeight="1" x14ac:dyDescent="0.2">
      <c r="A41" s="816">
        <v>6</v>
      </c>
      <c r="B41" s="2383" t="s">
        <v>168</v>
      </c>
      <c r="C41" s="2494" t="s">
        <v>341</v>
      </c>
      <c r="D41" s="454">
        <v>2.2999999999999998</v>
      </c>
      <c r="E41" s="487" t="s">
        <v>35</v>
      </c>
      <c r="F41" s="420" t="s">
        <v>197</v>
      </c>
      <c r="G41" s="431">
        <v>6.3479999999999999</v>
      </c>
      <c r="H41" s="525">
        <v>6.79</v>
      </c>
      <c r="I41" s="423"/>
      <c r="J41" s="424">
        <v>22.99</v>
      </c>
      <c r="K41" s="425"/>
      <c r="L41" s="425"/>
      <c r="M41" s="426"/>
      <c r="N41" s="774">
        <v>0.6</v>
      </c>
      <c r="O41" s="533">
        <f t="shared" ref="O41:O52" si="36">0.314*I41+0.249*J41+0.195*K41+0.159*L41+0.06*M41+0.025*N41</f>
        <v>5.7395099999999992</v>
      </c>
      <c r="P41" s="421">
        <f t="shared" ref="P41:P52" si="37">0.4*SUM(I41:M41)+0.04725*N41</f>
        <v>9.2243499999999994</v>
      </c>
      <c r="Q41" s="458">
        <f>SQRT(POWER(O41,2)+POWER(P41+G41,2))</f>
        <v>16.596386943024676</v>
      </c>
      <c r="R41" s="431">
        <f>SQRT(POWER(O41,2)+POWER(P41+H41,2))</f>
        <v>17.011801226284064</v>
      </c>
      <c r="S41" s="448">
        <f>37000/1.73/SQRT(POWER((G41+P41),2)+O41*O41)</f>
        <v>1288.6710408968331</v>
      </c>
      <c r="T41" s="449">
        <f>37000/2/SQRT(O41*O41+POWER((H41+P41),2))</f>
        <v>1087.480376352893</v>
      </c>
      <c r="U41" s="608">
        <v>1</v>
      </c>
      <c r="V41" s="421" t="s">
        <v>195</v>
      </c>
      <c r="W41" s="900">
        <v>6.3</v>
      </c>
      <c r="X41" s="421">
        <v>11</v>
      </c>
      <c r="Y41" s="900">
        <v>35</v>
      </c>
      <c r="Z41" s="901">
        <v>6.3</v>
      </c>
      <c r="AA41" s="900">
        <v>8.1300000000000008</v>
      </c>
      <c r="AB41" s="421"/>
      <c r="AC41" s="421">
        <v>5</v>
      </c>
      <c r="AD41" s="525">
        <f>AA41/100*Y41*Y41/W41</f>
        <v>15.808333333333335</v>
      </c>
      <c r="AE41" s="902">
        <f>SQRT(POWER(O41,2)+POWER(P41+AD41+G41,2))</f>
        <v>31.901242319180056</v>
      </c>
      <c r="AF41" s="903">
        <f>SQRT(POWER(O41,2)+POWER(P41+AD41+H41,2))</f>
        <v>32.336127621805787</v>
      </c>
      <c r="AG41" s="139">
        <f>SQRT(POWER((AD41+P41+G41),2)+POWER(O41,2))*POWER(6.3/35,2)</f>
        <v>1.0336002511414337</v>
      </c>
      <c r="AH41" s="140">
        <f>SQRT(POWER((H41+P41+AD41),2)+POWER(O41,2))*POWER(6.3/35,2)</f>
        <v>1.0476905349465073</v>
      </c>
      <c r="AI41" s="514">
        <f>37000/1.73/SQRT(POWER((G41+P41+AD41),2)+O41*O41)</f>
        <v>670.42164135832081</v>
      </c>
      <c r="AJ41" s="448">
        <f>37000/2/SQRT(POWER((H41+P41+AD41),2)+O41*O41)</f>
        <v>572.11550549189974</v>
      </c>
      <c r="AK41" s="448">
        <f t="shared" ref="AK41:AK52" si="38">AJ41/1.2</f>
        <v>476.76292124324982</v>
      </c>
      <c r="AL41" s="448">
        <f>AJ41/1.5</f>
        <v>381.41033699459985</v>
      </c>
      <c r="AM41" s="448">
        <f>6300/(1.73*AG41)</f>
        <v>3523.23685398517</v>
      </c>
      <c r="AN41" s="449">
        <f>6300/(2*AH41)</f>
        <v>3006.6130168493237</v>
      </c>
    </row>
    <row r="42" spans="1:40" ht="12.75" customHeight="1" x14ac:dyDescent="0.2">
      <c r="A42" s="940">
        <v>6</v>
      </c>
      <c r="B42" s="2480"/>
      <c r="C42" s="2495"/>
      <c r="D42" s="460">
        <v>2.2999999999999998</v>
      </c>
      <c r="E42" s="488" t="s">
        <v>35</v>
      </c>
      <c r="F42" s="413" t="s">
        <v>197</v>
      </c>
      <c r="G42" s="953">
        <v>6.3479999999999999</v>
      </c>
      <c r="H42" s="893">
        <v>6.79</v>
      </c>
      <c r="I42" s="485"/>
      <c r="J42" s="464">
        <v>22.99</v>
      </c>
      <c r="K42" s="781"/>
      <c r="L42" s="781"/>
      <c r="M42" s="782"/>
      <c r="N42" s="928">
        <v>0.6</v>
      </c>
      <c r="O42" s="892">
        <f t="shared" si="36"/>
        <v>5.7395099999999992</v>
      </c>
      <c r="P42" s="890">
        <f t="shared" si="37"/>
        <v>9.2243499999999994</v>
      </c>
      <c r="Q42" s="414">
        <f>SQRT(POWER(O42,2)+POWER(P42+G42,2))</f>
        <v>16.596386943024676</v>
      </c>
      <c r="R42" s="417">
        <f>SQRT(POWER(O42,2)+POWER(P42+H42,2))</f>
        <v>17.011801226284064</v>
      </c>
      <c r="S42" s="415">
        <f>37000/1.73/SQRT(POWER((G42+P42),2)+O42*O42)</f>
        <v>1288.6710408968331</v>
      </c>
      <c r="T42" s="481">
        <f>37000/2/SQRT(O42*O42+POWER((H42+P42),2))</f>
        <v>1087.480376352893</v>
      </c>
      <c r="U42" s="609">
        <v>2</v>
      </c>
      <c r="V42" s="416" t="s">
        <v>195</v>
      </c>
      <c r="W42" s="895">
        <v>6.3</v>
      </c>
      <c r="X42" s="416">
        <v>11</v>
      </c>
      <c r="Y42" s="895">
        <v>35</v>
      </c>
      <c r="Z42" s="896">
        <v>6.3</v>
      </c>
      <c r="AA42" s="895">
        <v>8.1300000000000008</v>
      </c>
      <c r="AB42" s="416"/>
      <c r="AC42" s="416">
        <v>5</v>
      </c>
      <c r="AD42" s="526">
        <f>AA42/100*Y42*Y42/W42</f>
        <v>15.808333333333335</v>
      </c>
      <c r="AE42" s="897">
        <f>SQRT(POWER(O42,2)+POWER(P42+AD42+G42,2))</f>
        <v>31.901242319180056</v>
      </c>
      <c r="AF42" s="898">
        <f>SQRT(POWER(O42,2)+POWER(P42+AD42+H42,2))</f>
        <v>32.336127621805787</v>
      </c>
      <c r="AG42" s="157">
        <f>SQRT(POWER((AD42+P42+G42),2)+POWER(O42,2))*POWER(6.3/35,2)</f>
        <v>1.0336002511414337</v>
      </c>
      <c r="AH42" s="158">
        <f>SQRT(POWER((H42+P42+AD42),2)+POWER(O42,2))*POWER(6.3/35,2)</f>
        <v>1.0476905349465073</v>
      </c>
      <c r="AI42" s="515">
        <f>37000/1.73/SQRT(POWER((G42+P42+AD42),2)+O42*O42)</f>
        <v>670.42164135832081</v>
      </c>
      <c r="AJ42" s="415">
        <f>37000/2/SQRT(POWER((H42+P42+AD42),2)+O42*O42)</f>
        <v>572.11550549189974</v>
      </c>
      <c r="AK42" s="415">
        <f t="shared" si="38"/>
        <v>476.76292124324982</v>
      </c>
      <c r="AL42" s="415">
        <f>AJ42/1.5</f>
        <v>381.41033699459985</v>
      </c>
      <c r="AM42" s="446">
        <f>6300/(1.73*AG42)</f>
        <v>3523.23685398517</v>
      </c>
      <c r="AN42" s="481">
        <f>6300/(2*AH42)</f>
        <v>3006.6130168493237</v>
      </c>
    </row>
    <row r="43" spans="1:40" ht="12.75" customHeight="1" x14ac:dyDescent="0.2">
      <c r="A43" s="940">
        <v>6</v>
      </c>
      <c r="B43" s="2481" t="s">
        <v>167</v>
      </c>
      <c r="C43" s="2494" t="s">
        <v>43</v>
      </c>
      <c r="D43" s="460">
        <v>2.2999999999999998</v>
      </c>
      <c r="E43" s="488" t="s">
        <v>35</v>
      </c>
      <c r="F43" s="899" t="s">
        <v>197</v>
      </c>
      <c r="G43" s="953">
        <v>6.3479999999999999</v>
      </c>
      <c r="H43" s="893">
        <v>6.79</v>
      </c>
      <c r="I43" s="485"/>
      <c r="J43" s="464">
        <v>22.41</v>
      </c>
      <c r="K43" s="781"/>
      <c r="L43" s="781"/>
      <c r="M43" s="782"/>
      <c r="N43" s="928">
        <v>0.6</v>
      </c>
      <c r="O43" s="892">
        <f t="shared" si="36"/>
        <v>5.5950899999999999</v>
      </c>
      <c r="P43" s="890">
        <f t="shared" si="37"/>
        <v>8.9923500000000001</v>
      </c>
      <c r="Q43" s="414">
        <f>SQRT(POWER(O43,2)+POWER(P43+G43,2))</f>
        <v>16.328850854564141</v>
      </c>
      <c r="R43" s="417">
        <f>SQRT(POWER(O43,2)+POWER(P43+H43,2))</f>
        <v>16.744778398969633</v>
      </c>
      <c r="S43" s="415">
        <f>37000/1.73/SQRT(POWER((G43+P43),2)+O43*O43)</f>
        <v>1309.7849583834111</v>
      </c>
      <c r="T43" s="481">
        <f>37000/2/SQRT(O43*O43+POWER((H43+P43),2))</f>
        <v>1104.8220262585482</v>
      </c>
      <c r="U43" s="609">
        <v>1</v>
      </c>
      <c r="V43" s="416" t="s">
        <v>192</v>
      </c>
      <c r="W43" s="895">
        <v>4</v>
      </c>
      <c r="X43" s="416">
        <v>11</v>
      </c>
      <c r="Y43" s="895">
        <v>35</v>
      </c>
      <c r="Z43" s="896">
        <v>6.3</v>
      </c>
      <c r="AA43" s="895">
        <v>6.14</v>
      </c>
      <c r="AB43" s="416"/>
      <c r="AC43" s="416">
        <v>5</v>
      </c>
      <c r="AD43" s="526">
        <f>AA43/100*Y43*Y43/W43</f>
        <v>18.803750000000001</v>
      </c>
      <c r="AE43" s="897">
        <f>SQRT(POWER(O43,2)+POWER(P43+AD43+G43,2))</f>
        <v>34.599488390987808</v>
      </c>
      <c r="AF43" s="898">
        <f>SQRT(POWER(O43,2)+POWER(P43+AD43+H43,2))</f>
        <v>35.03574382424469</v>
      </c>
      <c r="AG43" s="157">
        <f>SQRT(POWER((AD43+P43+G43),2)+POWER(O43,2))*POWER(6.3/35,2)</f>
        <v>1.121023423868005</v>
      </c>
      <c r="AH43" s="158">
        <f>SQRT(POWER((H43+P43+AD43),2)+POWER(O43,2))*POWER(6.3/35,2)</f>
        <v>1.135158099905528</v>
      </c>
      <c r="AI43" s="515">
        <f>37000/1.73/SQRT(POWER((G43+P43+AD43),2)+O43*O43)</f>
        <v>618.13871336216073</v>
      </c>
      <c r="AJ43" s="415">
        <f>37000/2/SQRT(POWER((H43+P43+AD43),2)+O43*O43)</f>
        <v>528.032174593023</v>
      </c>
      <c r="AK43" s="415">
        <f t="shared" si="38"/>
        <v>440.0268121608525</v>
      </c>
      <c r="AL43" s="415">
        <f>AJ43/1.5</f>
        <v>352.021449728682</v>
      </c>
      <c r="AM43" s="446">
        <f>6300/(1.73*AG43)</f>
        <v>3248.4767218732168</v>
      </c>
      <c r="AN43" s="481">
        <f>6300/(2*AH43)</f>
        <v>2774.9438604738448</v>
      </c>
    </row>
    <row r="44" spans="1:40" ht="12.75" customHeight="1" x14ac:dyDescent="0.2">
      <c r="A44" s="940">
        <v>6</v>
      </c>
      <c r="B44" s="2480"/>
      <c r="C44" s="2495"/>
      <c r="D44" s="460">
        <v>2.2999999999999998</v>
      </c>
      <c r="E44" s="488" t="s">
        <v>35</v>
      </c>
      <c r="F44" s="899" t="s">
        <v>197</v>
      </c>
      <c r="G44" s="953">
        <v>6.3479999999999999</v>
      </c>
      <c r="H44" s="893">
        <v>6.79</v>
      </c>
      <c r="I44" s="485"/>
      <c r="J44" s="464">
        <v>22.41</v>
      </c>
      <c r="K44" s="781"/>
      <c r="L44" s="781"/>
      <c r="M44" s="782"/>
      <c r="N44" s="928">
        <v>0.6</v>
      </c>
      <c r="O44" s="892">
        <f t="shared" si="36"/>
        <v>5.5950899999999999</v>
      </c>
      <c r="P44" s="890">
        <f t="shared" si="37"/>
        <v>8.9923500000000001</v>
      </c>
      <c r="Q44" s="414">
        <f>SQRT(POWER(O44,2)+POWER(P44+G44,2))</f>
        <v>16.328850854564141</v>
      </c>
      <c r="R44" s="417">
        <f>SQRT(POWER(O44,2)+POWER(P44+H44,2))</f>
        <v>16.744778398969633</v>
      </c>
      <c r="S44" s="415">
        <f>37000/1.73/SQRT(POWER((G44+P44),2)+O44*O44)</f>
        <v>1309.7849583834111</v>
      </c>
      <c r="T44" s="481">
        <f>37000/2/SQRT(O44*O44+POWER((H44+P44),2))</f>
        <v>1104.8220262585482</v>
      </c>
      <c r="U44" s="609">
        <v>2</v>
      </c>
      <c r="V44" s="416" t="s">
        <v>192</v>
      </c>
      <c r="W44" s="895">
        <v>4</v>
      </c>
      <c r="X44" s="416">
        <v>11</v>
      </c>
      <c r="Y44" s="895">
        <v>35</v>
      </c>
      <c r="Z44" s="896">
        <v>6.3</v>
      </c>
      <c r="AA44" s="895">
        <v>6.26</v>
      </c>
      <c r="AB44" s="416"/>
      <c r="AC44" s="416">
        <v>5</v>
      </c>
      <c r="AD44" s="526">
        <f>AA44/100*Y44*Y44/W44</f>
        <v>19.171250000000004</v>
      </c>
      <c r="AE44" s="897">
        <f>SQRT(POWER(O44,2)+POWER(P44+AD44+G44,2))</f>
        <v>34.962201971101592</v>
      </c>
      <c r="AF44" s="898">
        <f>SQRT(POWER(O44,2)+POWER(P44+AD44+H44,2))</f>
        <v>35.398576031644268</v>
      </c>
      <c r="AG44" s="157">
        <f>SQRT(POWER((AD44+P44+G44),2)+POWER(O44,2))*POWER(6.3/35,2)</f>
        <v>1.1327753438636916</v>
      </c>
      <c r="AH44" s="158">
        <f>SQRT(POWER((H44+P44+AD44),2)+POWER(O44,2))*POWER(6.3/35,2)</f>
        <v>1.1469138634252745</v>
      </c>
      <c r="AI44" s="515">
        <f>37000/1.73/SQRT(POWER((G44+P44+AD44),2)+O44*O44)</f>
        <v>611.72586482602333</v>
      </c>
      <c r="AJ44" s="415">
        <f>37000/2/SQRT(POWER((H44+P44+AD44),2)+O44*O44)</f>
        <v>522.61989249121416</v>
      </c>
      <c r="AK44" s="415">
        <f t="shared" si="38"/>
        <v>435.5165770760118</v>
      </c>
      <c r="AL44" s="415">
        <f>AJ44/1.5</f>
        <v>348.41326166080944</v>
      </c>
      <c r="AM44" s="446">
        <f>6300/(1.73*AG44)</f>
        <v>3214.7755659025252</v>
      </c>
      <c r="AN44" s="481">
        <f>6300/(2*AH44)</f>
        <v>2746.5009365153896</v>
      </c>
    </row>
    <row r="45" spans="1:40" ht="12.75" customHeight="1" x14ac:dyDescent="0.2">
      <c r="A45" s="949">
        <v>6</v>
      </c>
      <c r="B45" s="2522" t="s">
        <v>146</v>
      </c>
      <c r="C45" s="2494" t="s">
        <v>381</v>
      </c>
      <c r="D45" s="652">
        <v>2.2999999999999998</v>
      </c>
      <c r="E45" s="885" t="s">
        <v>35</v>
      </c>
      <c r="F45" s="886" t="s">
        <v>197</v>
      </c>
      <c r="G45" s="953">
        <v>6.3479999999999999</v>
      </c>
      <c r="H45" s="893">
        <v>6.79</v>
      </c>
      <c r="I45" s="887"/>
      <c r="J45" s="950">
        <v>10.88</v>
      </c>
      <c r="K45" s="951"/>
      <c r="L45" s="951"/>
      <c r="M45" s="951"/>
      <c r="N45" s="952">
        <v>0.6</v>
      </c>
      <c r="O45" s="892">
        <f t="shared" si="36"/>
        <v>2.7241200000000001</v>
      </c>
      <c r="P45" s="890">
        <f t="shared" si="37"/>
        <v>4.38035</v>
      </c>
      <c r="Q45" s="888">
        <f t="shared" si="31"/>
        <v>11.068799550850127</v>
      </c>
      <c r="R45" s="953">
        <f t="shared" si="34"/>
        <v>11.49771929109856</v>
      </c>
      <c r="S45" s="446">
        <f t="shared" si="4"/>
        <v>1932.2134382089873</v>
      </c>
      <c r="T45" s="452">
        <f t="shared" si="5"/>
        <v>1609.0147560240532</v>
      </c>
      <c r="U45" s="889">
        <v>1</v>
      </c>
      <c r="V45" s="890" t="s">
        <v>193</v>
      </c>
      <c r="W45" s="890">
        <v>6.3</v>
      </c>
      <c r="X45" s="890">
        <v>11</v>
      </c>
      <c r="Y45" s="890">
        <v>35</v>
      </c>
      <c r="Z45" s="891">
        <v>6.3</v>
      </c>
      <c r="AA45" s="890">
        <v>7.92</v>
      </c>
      <c r="AB45" s="890"/>
      <c r="AC45" s="890">
        <v>10</v>
      </c>
      <c r="AD45" s="893">
        <f t="shared" si="35"/>
        <v>15.4</v>
      </c>
      <c r="AE45" s="892">
        <f t="shared" si="7"/>
        <v>26.269973420178786</v>
      </c>
      <c r="AF45" s="893">
        <f t="shared" si="8"/>
        <v>26.709629890676133</v>
      </c>
      <c r="AG45" s="179">
        <f t="shared" si="9"/>
        <v>0.85114713881379267</v>
      </c>
      <c r="AH45" s="180">
        <f t="shared" si="10"/>
        <v>0.86539200845790665</v>
      </c>
      <c r="AI45" s="894">
        <f t="shared" si="11"/>
        <v>814.13417877941129</v>
      </c>
      <c r="AJ45" s="446">
        <f t="shared" si="12"/>
        <v>692.63408275297843</v>
      </c>
      <c r="AK45" s="446">
        <f t="shared" si="38"/>
        <v>577.19506896081543</v>
      </c>
      <c r="AL45" s="446">
        <f t="shared" si="14"/>
        <v>461.75605516865227</v>
      </c>
      <c r="AM45" s="446">
        <f t="shared" si="15"/>
        <v>4278.4829215134223</v>
      </c>
      <c r="AN45" s="452">
        <f t="shared" si="16"/>
        <v>3639.9689033564937</v>
      </c>
    </row>
    <row r="46" spans="1:40" ht="12.75" customHeight="1" thickBot="1" x14ac:dyDescent="0.25">
      <c r="A46" s="472">
        <v>6</v>
      </c>
      <c r="B46" s="2384"/>
      <c r="C46" s="2496"/>
      <c r="D46" s="433">
        <v>2.2999999999999998</v>
      </c>
      <c r="E46" s="883" t="s">
        <v>35</v>
      </c>
      <c r="F46" s="435" t="s">
        <v>197</v>
      </c>
      <c r="G46" s="444">
        <v>6.3479999999999999</v>
      </c>
      <c r="H46" s="527">
        <v>6.79</v>
      </c>
      <c r="I46" s="790"/>
      <c r="J46" s="439">
        <v>10.98</v>
      </c>
      <c r="K46" s="440"/>
      <c r="L46" s="440"/>
      <c r="M46" s="440"/>
      <c r="N46" s="441">
        <v>0.6</v>
      </c>
      <c r="O46" s="442">
        <f t="shared" si="36"/>
        <v>2.7490200000000002</v>
      </c>
      <c r="P46" s="436">
        <f t="shared" si="37"/>
        <v>4.42035</v>
      </c>
      <c r="Q46" s="443">
        <f t="shared" si="31"/>
        <v>11.113706523158688</v>
      </c>
      <c r="R46" s="444">
        <f t="shared" si="34"/>
        <v>11.542489249849877</v>
      </c>
      <c r="S46" s="445">
        <f t="shared" si="4"/>
        <v>1924.4059749488167</v>
      </c>
      <c r="T46" s="451">
        <f t="shared" si="5"/>
        <v>1602.7738557556474</v>
      </c>
      <c r="U46" s="610">
        <v>2</v>
      </c>
      <c r="V46" s="436" t="s">
        <v>193</v>
      </c>
      <c r="W46" s="436">
        <v>6.3</v>
      </c>
      <c r="X46" s="436">
        <v>11</v>
      </c>
      <c r="Y46" s="436">
        <v>35</v>
      </c>
      <c r="Z46" s="513">
        <v>6.3</v>
      </c>
      <c r="AA46" s="436">
        <v>7.9</v>
      </c>
      <c r="AB46" s="436"/>
      <c r="AC46" s="436"/>
      <c r="AD46" s="527">
        <f t="shared" si="35"/>
        <v>15.361111111111112</v>
      </c>
      <c r="AE46" s="442">
        <f t="shared" si="7"/>
        <v>26.273672162784326</v>
      </c>
      <c r="AF46" s="527">
        <f t="shared" si="8"/>
        <v>26.713286142661111</v>
      </c>
      <c r="AG46" s="175">
        <f t="shared" si="9"/>
        <v>0.85126697807421214</v>
      </c>
      <c r="AH46" s="176">
        <f t="shared" si="10"/>
        <v>0.86551047102222001</v>
      </c>
      <c r="AI46" s="450">
        <f t="shared" si="11"/>
        <v>814.01956698266588</v>
      </c>
      <c r="AJ46" s="445">
        <f t="shared" si="12"/>
        <v>692.53928180911839</v>
      </c>
      <c r="AK46" s="445">
        <f t="shared" si="38"/>
        <v>577.11606817426537</v>
      </c>
      <c r="AL46" s="445">
        <f t="shared" si="14"/>
        <v>461.69285453941228</v>
      </c>
      <c r="AM46" s="445">
        <f t="shared" si="15"/>
        <v>4277.8806072662619</v>
      </c>
      <c r="AN46" s="451">
        <f t="shared" si="16"/>
        <v>3639.4707001980696</v>
      </c>
    </row>
    <row r="47" spans="1:40" ht="12.75" customHeight="1" x14ac:dyDescent="0.2">
      <c r="A47" s="954">
        <v>6</v>
      </c>
      <c r="B47" s="2374" t="s">
        <v>168</v>
      </c>
      <c r="C47" s="2489" t="s">
        <v>341</v>
      </c>
      <c r="D47" s="695">
        <v>3.4</v>
      </c>
      <c r="E47" s="904" t="s">
        <v>35</v>
      </c>
      <c r="F47" s="740" t="s">
        <v>46</v>
      </c>
      <c r="G47" s="2250">
        <f>Мартыновская!G15</f>
        <v>4.9020181386774881</v>
      </c>
      <c r="H47" s="2251">
        <f>Мартыновская!H15</f>
        <v>5.2862861120779669</v>
      </c>
      <c r="I47" s="744"/>
      <c r="J47" s="698">
        <v>22.99</v>
      </c>
      <c r="K47" s="745"/>
      <c r="L47" s="745"/>
      <c r="M47" s="746"/>
      <c r="N47" s="747"/>
      <c r="O47" s="578">
        <f t="shared" si="36"/>
        <v>5.7245099999999995</v>
      </c>
      <c r="P47" s="579">
        <f t="shared" si="37"/>
        <v>9.1959999999999997</v>
      </c>
      <c r="Q47" s="580">
        <f t="shared" ref="Q47:Q52" si="39">SQRT(POWER(O47,2)+POWER(P47+G47,2))</f>
        <v>15.215917000909918</v>
      </c>
      <c r="R47" s="581">
        <f t="shared" ref="R47:R52" si="40">SQRT(POWER(O47,2)+POWER(P47+H47,2))</f>
        <v>15.572624241668017</v>
      </c>
      <c r="S47" s="582">
        <f t="shared" ref="S47:S52" si="41">37000/1.73/SQRT(POWER((G47+P47),2)+O47*O47)</f>
        <v>1405.5862184129455</v>
      </c>
      <c r="T47" s="728">
        <f t="shared" ref="T47:T52" si="42">37000/2/SQRT(O47*O47+POWER((H47+P47),2))</f>
        <v>1187.9821739035569</v>
      </c>
      <c r="U47" s="696">
        <v>1</v>
      </c>
      <c r="V47" s="579" t="s">
        <v>195</v>
      </c>
      <c r="W47" s="905">
        <v>6.3</v>
      </c>
      <c r="X47" s="579">
        <v>11</v>
      </c>
      <c r="Y47" s="905">
        <v>35</v>
      </c>
      <c r="Z47" s="906">
        <v>6.3</v>
      </c>
      <c r="AA47" s="905">
        <v>8.1300000000000008</v>
      </c>
      <c r="AB47" s="579"/>
      <c r="AC47" s="579">
        <v>5</v>
      </c>
      <c r="AD47" s="583">
        <f t="shared" ref="AD47:AD52" si="43">AA47/100*Y47*Y47/W47</f>
        <v>15.808333333333335</v>
      </c>
      <c r="AE47" s="907">
        <f t="shared" ref="AE47:AE52" si="44">SQRT(POWER(O47,2)+POWER(P47+AD47+G47,2))</f>
        <v>30.449300042982006</v>
      </c>
      <c r="AF47" s="908">
        <f t="shared" ref="AF47:AF52" si="45">SQRT(POWER(O47,2)+POWER(P47+AD47+H47,2))</f>
        <v>30.826800695609482</v>
      </c>
      <c r="AG47" s="139">
        <f t="shared" ref="AG47:AG52" si="46">SQRT(POWER((AD47+P47+G47),2)+POWER(O47,2))*POWER(6.3/35,2)</f>
        <v>0.98655732139261698</v>
      </c>
      <c r="AH47" s="140">
        <f t="shared" ref="AH47:AH52" si="47">SQRT(POWER((H47+P47+AD47),2)+POWER(O47,2))*POWER(6.3/35,2)</f>
        <v>0.99878834253774718</v>
      </c>
      <c r="AI47" s="808">
        <f t="shared" ref="AI47:AI52" si="48">37000/1.73/SQRT(POWER((G47+P47+AD47),2)+O47*O47)</f>
        <v>702.38997963184988</v>
      </c>
      <c r="AJ47" s="582">
        <f t="shared" ref="AJ47:AJ52" si="49">37000/2/SQRT(POWER((H47+P47+AD47),2)+O47*O47)</f>
        <v>600.12714853782632</v>
      </c>
      <c r="AK47" s="582">
        <f t="shared" si="38"/>
        <v>500.1059571148553</v>
      </c>
      <c r="AL47" s="582">
        <f t="shared" ref="AL47:AL52" si="50">AJ47/1.5</f>
        <v>400.08476569188423</v>
      </c>
      <c r="AM47" s="582">
        <f t="shared" ref="AM47:AM52" si="51">6300/(1.73*AG47)</f>
        <v>3691.2386316989114</v>
      </c>
      <c r="AN47" s="728">
        <f t="shared" ref="AN47:AN52" si="52">6300/(2*AH47)</f>
        <v>3153.8213511747631</v>
      </c>
    </row>
    <row r="48" spans="1:40" ht="12.75" customHeight="1" x14ac:dyDescent="0.2">
      <c r="A48" s="955">
        <v>6</v>
      </c>
      <c r="B48" s="2485"/>
      <c r="C48" s="2490"/>
      <c r="D48" s="702">
        <v>3.4</v>
      </c>
      <c r="E48" s="909" t="s">
        <v>35</v>
      </c>
      <c r="F48" s="753" t="s">
        <v>46</v>
      </c>
      <c r="G48" s="2245">
        <f>Мартыновская!G16</f>
        <v>4.8982573492001933</v>
      </c>
      <c r="H48" s="2249">
        <f>Мартыновская!H16</f>
        <v>5.2312064066132784</v>
      </c>
      <c r="I48" s="757"/>
      <c r="J48" s="706">
        <v>22.99</v>
      </c>
      <c r="K48" s="758"/>
      <c r="L48" s="758"/>
      <c r="M48" s="759"/>
      <c r="N48" s="956"/>
      <c r="O48" s="920">
        <f t="shared" si="36"/>
        <v>5.7245099999999995</v>
      </c>
      <c r="P48" s="573">
        <f>0.4*SUM(I48:M48)+0.04725*N48</f>
        <v>9.1959999999999997</v>
      </c>
      <c r="Q48" s="709">
        <f t="shared" si="39"/>
        <v>15.212432578834447</v>
      </c>
      <c r="R48" s="710">
        <f t="shared" si="40"/>
        <v>15.521414221620503</v>
      </c>
      <c r="S48" s="716">
        <f t="shared" si="41"/>
        <v>1405.9081692661728</v>
      </c>
      <c r="T48" s="730">
        <f t="shared" si="42"/>
        <v>1191.9017001833818</v>
      </c>
      <c r="U48" s="703">
        <v>2</v>
      </c>
      <c r="V48" s="705" t="s">
        <v>195</v>
      </c>
      <c r="W48" s="910">
        <v>6.3</v>
      </c>
      <c r="X48" s="705">
        <v>11</v>
      </c>
      <c r="Y48" s="910">
        <v>35</v>
      </c>
      <c r="Z48" s="911">
        <v>6.3</v>
      </c>
      <c r="AA48" s="910">
        <v>8.1300000000000008</v>
      </c>
      <c r="AB48" s="705"/>
      <c r="AC48" s="705">
        <v>5</v>
      </c>
      <c r="AD48" s="711">
        <f t="shared" si="43"/>
        <v>15.808333333333335</v>
      </c>
      <c r="AE48" s="912">
        <f t="shared" si="44"/>
        <v>30.445606321228702</v>
      </c>
      <c r="AF48" s="913">
        <f t="shared" si="45"/>
        <v>30.772680710428705</v>
      </c>
      <c r="AG48" s="157">
        <f t="shared" si="46"/>
        <v>0.98643764480780993</v>
      </c>
      <c r="AH48" s="158">
        <f t="shared" si="47"/>
        <v>0.99703485501789002</v>
      </c>
      <c r="AI48" s="924">
        <f t="shared" si="48"/>
        <v>702.47519498672568</v>
      </c>
      <c r="AJ48" s="716">
        <f t="shared" si="49"/>
        <v>601.18259355059843</v>
      </c>
      <c r="AK48" s="716">
        <f t="shared" si="38"/>
        <v>500.98549462549869</v>
      </c>
      <c r="AL48" s="716">
        <f t="shared" si="50"/>
        <v>400.78839570039895</v>
      </c>
      <c r="AM48" s="599">
        <f t="shared" si="51"/>
        <v>3691.68646014045</v>
      </c>
      <c r="AN48" s="730">
        <f t="shared" si="52"/>
        <v>3159.3679841247663</v>
      </c>
    </row>
    <row r="49" spans="1:40" ht="12.75" customHeight="1" x14ac:dyDescent="0.2">
      <c r="A49" s="955">
        <v>6</v>
      </c>
      <c r="B49" s="2488" t="s">
        <v>167</v>
      </c>
      <c r="C49" s="2489" t="s">
        <v>43</v>
      </c>
      <c r="D49" s="702">
        <v>3.4</v>
      </c>
      <c r="E49" s="909" t="s">
        <v>35</v>
      </c>
      <c r="F49" s="914" t="s">
        <v>46</v>
      </c>
      <c r="G49" s="2245">
        <f>Мартыновская!G15</f>
        <v>4.9020181386774881</v>
      </c>
      <c r="H49" s="2249">
        <f>Мартыновская!H15</f>
        <v>5.2862861120779669</v>
      </c>
      <c r="I49" s="757"/>
      <c r="J49" s="706">
        <v>22.41</v>
      </c>
      <c r="K49" s="758"/>
      <c r="L49" s="758"/>
      <c r="M49" s="759"/>
      <c r="N49" s="956"/>
      <c r="O49" s="920">
        <f t="shared" si="36"/>
        <v>5.5800900000000002</v>
      </c>
      <c r="P49" s="573">
        <f t="shared" si="37"/>
        <v>8.9640000000000004</v>
      </c>
      <c r="Q49" s="709">
        <f t="shared" si="39"/>
        <v>14.946700754020371</v>
      </c>
      <c r="R49" s="710">
        <f t="shared" si="40"/>
        <v>15.303857640614087</v>
      </c>
      <c r="S49" s="716">
        <f t="shared" si="41"/>
        <v>1430.9032868836593</v>
      </c>
      <c r="T49" s="730">
        <f t="shared" si="42"/>
        <v>1208.8455364942654</v>
      </c>
      <c r="U49" s="703">
        <v>1</v>
      </c>
      <c r="V49" s="705" t="s">
        <v>192</v>
      </c>
      <c r="W49" s="910">
        <v>4</v>
      </c>
      <c r="X49" s="705">
        <v>11</v>
      </c>
      <c r="Y49" s="910">
        <v>35</v>
      </c>
      <c r="Z49" s="911">
        <v>6.3</v>
      </c>
      <c r="AA49" s="910">
        <v>6.14</v>
      </c>
      <c r="AB49" s="705"/>
      <c r="AC49" s="705">
        <v>5</v>
      </c>
      <c r="AD49" s="711">
        <f t="shared" si="43"/>
        <v>18.803750000000001</v>
      </c>
      <c r="AE49" s="912">
        <f t="shared" si="44"/>
        <v>33.142889956113464</v>
      </c>
      <c r="AF49" s="913">
        <f t="shared" si="45"/>
        <v>33.521734855264491</v>
      </c>
      <c r="AG49" s="157">
        <f t="shared" si="46"/>
        <v>1.0738296345780762</v>
      </c>
      <c r="AH49" s="158">
        <f t="shared" si="47"/>
        <v>1.0861042093105695</v>
      </c>
      <c r="AI49" s="924">
        <f t="shared" si="48"/>
        <v>645.30532084903984</v>
      </c>
      <c r="AJ49" s="716">
        <f t="shared" si="49"/>
        <v>551.88074483247181</v>
      </c>
      <c r="AK49" s="716">
        <f t="shared" si="38"/>
        <v>459.90062069372652</v>
      </c>
      <c r="AL49" s="716">
        <f t="shared" si="50"/>
        <v>367.92049655498118</v>
      </c>
      <c r="AM49" s="599">
        <f t="shared" si="51"/>
        <v>3391.2441786360951</v>
      </c>
      <c r="AN49" s="730">
        <f t="shared" si="52"/>
        <v>2900.2741845550322</v>
      </c>
    </row>
    <row r="50" spans="1:40" ht="12.75" customHeight="1" x14ac:dyDescent="0.2">
      <c r="A50" s="955">
        <v>6</v>
      </c>
      <c r="B50" s="2485"/>
      <c r="C50" s="2490"/>
      <c r="D50" s="702">
        <v>3.4</v>
      </c>
      <c r="E50" s="909" t="s">
        <v>35</v>
      </c>
      <c r="F50" s="914" t="s">
        <v>46</v>
      </c>
      <c r="G50" s="2245">
        <f>Мартыновская!G16</f>
        <v>4.8982573492001933</v>
      </c>
      <c r="H50" s="2249">
        <f>Мартыновская!H16</f>
        <v>5.2312064066132784</v>
      </c>
      <c r="I50" s="757"/>
      <c r="J50" s="706">
        <v>22.41</v>
      </c>
      <c r="K50" s="758"/>
      <c r="L50" s="758"/>
      <c r="M50" s="759"/>
      <c r="N50" s="956"/>
      <c r="O50" s="920">
        <f t="shared" si="36"/>
        <v>5.5800900000000002</v>
      </c>
      <c r="P50" s="573">
        <f t="shared" si="37"/>
        <v>8.9640000000000004</v>
      </c>
      <c r="Q50" s="709">
        <f t="shared" si="39"/>
        <v>14.943211944677582</v>
      </c>
      <c r="R50" s="710">
        <f t="shared" si="40"/>
        <v>15.252583038110453</v>
      </c>
      <c r="S50" s="716">
        <f t="shared" si="41"/>
        <v>1431.2373615641491</v>
      </c>
      <c r="T50" s="730">
        <f t="shared" si="42"/>
        <v>1212.9093120670432</v>
      </c>
      <c r="U50" s="703">
        <v>2</v>
      </c>
      <c r="V50" s="705" t="s">
        <v>192</v>
      </c>
      <c r="W50" s="910">
        <v>4</v>
      </c>
      <c r="X50" s="705">
        <v>11</v>
      </c>
      <c r="Y50" s="910">
        <v>35</v>
      </c>
      <c r="Z50" s="911">
        <v>6.3</v>
      </c>
      <c r="AA50" s="910">
        <v>6.26</v>
      </c>
      <c r="AB50" s="705"/>
      <c r="AC50" s="705">
        <v>5</v>
      </c>
      <c r="AD50" s="711">
        <f t="shared" si="43"/>
        <v>19.171250000000004</v>
      </c>
      <c r="AE50" s="912">
        <f t="shared" si="44"/>
        <v>33.501492686114211</v>
      </c>
      <c r="AF50" s="913">
        <f t="shared" si="45"/>
        <v>33.829836203306165</v>
      </c>
      <c r="AG50" s="157">
        <f t="shared" si="46"/>
        <v>1.0854483630301004</v>
      </c>
      <c r="AH50" s="158">
        <f t="shared" si="47"/>
        <v>1.0960866929871196</v>
      </c>
      <c r="AI50" s="924">
        <f t="shared" si="48"/>
        <v>638.39791968012446</v>
      </c>
      <c r="AJ50" s="716">
        <f t="shared" si="49"/>
        <v>546.85455432953029</v>
      </c>
      <c r="AK50" s="716">
        <f t="shared" si="38"/>
        <v>455.71212860794191</v>
      </c>
      <c r="AL50" s="716">
        <f t="shared" si="50"/>
        <v>364.56970288635353</v>
      </c>
      <c r="AM50" s="599">
        <f t="shared" si="51"/>
        <v>3354.944022342997</v>
      </c>
      <c r="AN50" s="730">
        <f t="shared" si="52"/>
        <v>2873.8602705005346</v>
      </c>
    </row>
    <row r="51" spans="1:40" ht="12.75" customHeight="1" x14ac:dyDescent="0.2">
      <c r="A51" s="957">
        <v>6</v>
      </c>
      <c r="B51" s="2523" t="s">
        <v>146</v>
      </c>
      <c r="C51" s="2489" t="s">
        <v>381</v>
      </c>
      <c r="D51" s="712">
        <v>3.4</v>
      </c>
      <c r="E51" s="915" t="s">
        <v>35</v>
      </c>
      <c r="F51" s="752" t="s">
        <v>46</v>
      </c>
      <c r="G51" s="2245">
        <f>Мартыновская!G15</f>
        <v>4.9020181386774881</v>
      </c>
      <c r="H51" s="2249">
        <f>Мартыновская!H15</f>
        <v>5.2862861120779669</v>
      </c>
      <c r="I51" s="916"/>
      <c r="J51" s="575">
        <v>10.88</v>
      </c>
      <c r="K51" s="576"/>
      <c r="L51" s="576"/>
      <c r="M51" s="576"/>
      <c r="N51" s="958"/>
      <c r="O51" s="920">
        <f t="shared" si="36"/>
        <v>2.70912</v>
      </c>
      <c r="P51" s="573">
        <f t="shared" si="37"/>
        <v>4.3520000000000003</v>
      </c>
      <c r="Q51" s="917">
        <f t="shared" si="39"/>
        <v>9.6424158220526852</v>
      </c>
      <c r="R51" s="959">
        <f t="shared" si="40"/>
        <v>10.01178757029308</v>
      </c>
      <c r="S51" s="599">
        <f t="shared" si="41"/>
        <v>2218.0419960815666</v>
      </c>
      <c r="T51" s="600">
        <f t="shared" si="42"/>
        <v>1847.8218669853818</v>
      </c>
      <c r="U51" s="918">
        <v>1</v>
      </c>
      <c r="V51" s="573" t="s">
        <v>193</v>
      </c>
      <c r="W51" s="573">
        <v>6.3</v>
      </c>
      <c r="X51" s="573">
        <v>11</v>
      </c>
      <c r="Y51" s="573">
        <v>35</v>
      </c>
      <c r="Z51" s="919">
        <v>6.3</v>
      </c>
      <c r="AA51" s="573">
        <v>7.92</v>
      </c>
      <c r="AB51" s="573"/>
      <c r="AC51" s="573">
        <v>10</v>
      </c>
      <c r="AD51" s="921">
        <f t="shared" si="43"/>
        <v>15.4</v>
      </c>
      <c r="AE51" s="920">
        <f t="shared" si="44"/>
        <v>24.802418058661914</v>
      </c>
      <c r="AF51" s="921">
        <f t="shared" si="45"/>
        <v>25.184421823910839</v>
      </c>
      <c r="AG51" s="179">
        <f t="shared" si="46"/>
        <v>0.80359834510064598</v>
      </c>
      <c r="AH51" s="180">
        <f t="shared" si="47"/>
        <v>0.81597526709471113</v>
      </c>
      <c r="AI51" s="598">
        <f t="shared" si="48"/>
        <v>862.30637619322761</v>
      </c>
      <c r="AJ51" s="599">
        <f t="shared" si="49"/>
        <v>734.58108863295604</v>
      </c>
      <c r="AK51" s="599">
        <f t="shared" si="38"/>
        <v>612.15090719413001</v>
      </c>
      <c r="AL51" s="599">
        <f t="shared" si="50"/>
        <v>489.72072575530404</v>
      </c>
      <c r="AM51" s="599">
        <f t="shared" si="51"/>
        <v>4531.640115129575</v>
      </c>
      <c r="AN51" s="600">
        <f t="shared" si="52"/>
        <v>3860.4111264494686</v>
      </c>
    </row>
    <row r="52" spans="1:40" ht="12.75" customHeight="1" thickBot="1" x14ac:dyDescent="0.25">
      <c r="A52" s="719">
        <v>6</v>
      </c>
      <c r="B52" s="2375"/>
      <c r="C52" s="2491"/>
      <c r="D52" s="585">
        <v>3.4</v>
      </c>
      <c r="E52" s="922" t="s">
        <v>35</v>
      </c>
      <c r="F52" s="587" t="s">
        <v>46</v>
      </c>
      <c r="G52" s="2252">
        <f>Мартыновская!G16</f>
        <v>4.8982573492001933</v>
      </c>
      <c r="H52" s="2253">
        <f>Мартыновская!H16</f>
        <v>5.2312064066132784</v>
      </c>
      <c r="I52" s="765"/>
      <c r="J52" s="590">
        <v>10.98</v>
      </c>
      <c r="K52" s="591"/>
      <c r="L52" s="591"/>
      <c r="M52" s="591"/>
      <c r="N52" s="766"/>
      <c r="O52" s="593">
        <f t="shared" si="36"/>
        <v>2.7340200000000001</v>
      </c>
      <c r="P52" s="588">
        <f t="shared" si="37"/>
        <v>4.3920000000000003</v>
      </c>
      <c r="Q52" s="594">
        <f t="shared" si="39"/>
        <v>9.6842008950025509</v>
      </c>
      <c r="R52" s="595">
        <f t="shared" si="40"/>
        <v>10.00404752611076</v>
      </c>
      <c r="S52" s="596">
        <f t="shared" si="41"/>
        <v>2208.4716610981236</v>
      </c>
      <c r="T52" s="602">
        <f t="shared" si="42"/>
        <v>1849.2515106225392</v>
      </c>
      <c r="U52" s="721">
        <v>2</v>
      </c>
      <c r="V52" s="588" t="s">
        <v>193</v>
      </c>
      <c r="W52" s="588">
        <v>6.3</v>
      </c>
      <c r="X52" s="588">
        <v>11</v>
      </c>
      <c r="Y52" s="588">
        <v>35</v>
      </c>
      <c r="Z52" s="923">
        <v>6.3</v>
      </c>
      <c r="AA52" s="588">
        <v>7.9</v>
      </c>
      <c r="AB52" s="588"/>
      <c r="AC52" s="588"/>
      <c r="AD52" s="597">
        <f t="shared" si="43"/>
        <v>15.361111111111112</v>
      </c>
      <c r="AE52" s="593">
        <f t="shared" si="44"/>
        <v>24.802516653082428</v>
      </c>
      <c r="AF52" s="597">
        <f t="shared" si="45"/>
        <v>25.133463493654631</v>
      </c>
      <c r="AG52" s="175">
        <f t="shared" si="46"/>
        <v>0.80360153955987057</v>
      </c>
      <c r="AH52" s="176">
        <f t="shared" si="47"/>
        <v>0.81432421719440995</v>
      </c>
      <c r="AI52" s="601">
        <f t="shared" si="48"/>
        <v>862.30294837182328</v>
      </c>
      <c r="AJ52" s="596">
        <f t="shared" si="49"/>
        <v>736.07045860076698</v>
      </c>
      <c r="AK52" s="596">
        <f t="shared" si="38"/>
        <v>613.39204883397247</v>
      </c>
      <c r="AL52" s="596">
        <f t="shared" si="50"/>
        <v>490.71363906717801</v>
      </c>
      <c r="AM52" s="596">
        <f t="shared" si="51"/>
        <v>4531.6221010531244</v>
      </c>
      <c r="AN52" s="602">
        <f t="shared" si="52"/>
        <v>3868.2381457998272</v>
      </c>
    </row>
    <row r="53" spans="1:40" ht="12.75" customHeight="1" x14ac:dyDescent="0.2">
      <c r="A53" s="957">
        <v>6</v>
      </c>
      <c r="B53" s="2523" t="s">
        <v>456</v>
      </c>
      <c r="C53" s="2489" t="s">
        <v>455</v>
      </c>
      <c r="D53" s="712">
        <v>2</v>
      </c>
      <c r="E53" s="915" t="s">
        <v>39</v>
      </c>
      <c r="F53" s="752" t="s">
        <v>457</v>
      </c>
      <c r="G53" s="959">
        <v>15.78</v>
      </c>
      <c r="H53" s="921">
        <v>18.09</v>
      </c>
      <c r="I53" s="916"/>
      <c r="J53" s="575">
        <v>2.9</v>
      </c>
      <c r="K53" s="576"/>
      <c r="L53" s="576"/>
      <c r="M53" s="576"/>
      <c r="N53" s="958"/>
      <c r="O53" s="920">
        <f>0.314*I53+0.249*J53+0.195*K53+0.159*L53+0.06*M53+0.025*N53</f>
        <v>0.72209999999999996</v>
      </c>
      <c r="P53" s="573">
        <f>0.4*SUM(I53:M53)+0.04725*N53</f>
        <v>1.1599999999999999</v>
      </c>
      <c r="Q53" s="917">
        <f>SQRT(POWER(O53,2)+POWER(P53+G53,2))</f>
        <v>16.955383463962114</v>
      </c>
      <c r="R53" s="959">
        <f>SQRT(POWER(O53,2)+POWER(P53+H53,2))</f>
        <v>19.26353883402528</v>
      </c>
      <c r="S53" s="599">
        <f>37000/1.73/SQRT(POWER((G53+P53),2)+O53*O53)</f>
        <v>1261.3859947462647</v>
      </c>
      <c r="T53" s="600">
        <f>37000/2/SQRT(O53*O53+POWER((H53+P53),2))</f>
        <v>960.36352195700215</v>
      </c>
      <c r="U53" s="918">
        <v>3</v>
      </c>
      <c r="V53" s="573" t="s">
        <v>193</v>
      </c>
      <c r="W53" s="573">
        <v>6.3</v>
      </c>
      <c r="X53" s="573"/>
      <c r="Y53" s="573">
        <v>35</v>
      </c>
      <c r="Z53" s="919">
        <v>6.3</v>
      </c>
      <c r="AA53" s="573">
        <v>7.96</v>
      </c>
      <c r="AB53" s="573"/>
      <c r="AC53" s="573"/>
      <c r="AD53" s="921">
        <f>AA53/100*Y53*Y53/W53</f>
        <v>15.47777777777778</v>
      </c>
      <c r="AE53" s="920">
        <f>SQRT(POWER(O53,2)+POWER(P53+AD53+G53,2))</f>
        <v>32.42581910236629</v>
      </c>
      <c r="AF53" s="921">
        <f>SQRT(POWER(O53,2)+POWER(P53+AD53+H53,2))</f>
        <v>34.735284334415859</v>
      </c>
      <c r="AG53" s="179">
        <f>SQRT(POWER((AD53+P53+G53),2)+POWER(O53,2))*POWER(6.3/35,2)</f>
        <v>1.0505965389166678</v>
      </c>
      <c r="AH53" s="180">
        <f>SQRT(POWER((H53+P53+AD53),2)+POWER(O53,2))*POWER(6.3/35,2)</f>
        <v>1.125423212435074</v>
      </c>
      <c r="AI53" s="598">
        <f>37000/1.73/SQRT(POWER((G53+P53+AD53),2)+O53*O53)</f>
        <v>659.57572789374717</v>
      </c>
      <c r="AJ53" s="599">
        <f>37000/2/SQRT(POWER((H53+P53+AD53),2)+O53*O53)</f>
        <v>532.59964196320459</v>
      </c>
      <c r="AK53" s="599">
        <f>AJ53/1.2</f>
        <v>443.83303496933718</v>
      </c>
      <c r="AL53" s="599">
        <f>AJ53/1.5</f>
        <v>355.06642797546971</v>
      </c>
      <c r="AM53" s="599">
        <f>6300/(1.73*AG53)</f>
        <v>3466.2388102524251</v>
      </c>
      <c r="AN53" s="600">
        <f>6300/(2*AH53)</f>
        <v>2798.9470673741985</v>
      </c>
    </row>
    <row r="54" spans="1:40" ht="12.75" customHeight="1" thickBot="1" x14ac:dyDescent="0.25">
      <c r="A54" s="719">
        <v>6</v>
      </c>
      <c r="B54" s="2375"/>
      <c r="C54" s="2491"/>
      <c r="D54" s="585">
        <v>3</v>
      </c>
      <c r="E54" s="922" t="s">
        <v>39</v>
      </c>
      <c r="F54" s="587" t="s">
        <v>457</v>
      </c>
      <c r="G54" s="595">
        <v>15.78</v>
      </c>
      <c r="H54" s="597">
        <v>18.09</v>
      </c>
      <c r="I54" s="765"/>
      <c r="J54" s="590">
        <v>2.9</v>
      </c>
      <c r="K54" s="591"/>
      <c r="L54" s="591"/>
      <c r="M54" s="591"/>
      <c r="N54" s="766"/>
      <c r="O54" s="593">
        <f>0.314*I54+0.249*J54+0.195*K54+0.159*L54+0.06*M54+0.025*N54</f>
        <v>0.72209999999999996</v>
      </c>
      <c r="P54" s="588">
        <f>0.4*SUM(I54:M54)+0.04725*N54</f>
        <v>1.1599999999999999</v>
      </c>
      <c r="Q54" s="594">
        <f>SQRT(POWER(O54,2)+POWER(P54+G54,2))</f>
        <v>16.955383463962114</v>
      </c>
      <c r="R54" s="595">
        <f>SQRT(POWER(O54,2)+POWER(P54+H54,2))</f>
        <v>19.26353883402528</v>
      </c>
      <c r="S54" s="596">
        <f>37000/1.73/SQRT(POWER((G54+P54),2)+O54*O54)</f>
        <v>1261.3859947462647</v>
      </c>
      <c r="T54" s="602">
        <f>37000/2/SQRT(O54*O54+POWER((H54+P54),2))</f>
        <v>960.36352195700215</v>
      </c>
      <c r="U54" s="721">
        <v>4</v>
      </c>
      <c r="V54" s="588" t="s">
        <v>193</v>
      </c>
      <c r="W54" s="588">
        <v>6.3</v>
      </c>
      <c r="X54" s="588"/>
      <c r="Y54" s="588">
        <v>35</v>
      </c>
      <c r="Z54" s="923">
        <v>6.3</v>
      </c>
      <c r="AA54" s="588">
        <v>7.94</v>
      </c>
      <c r="AB54" s="588"/>
      <c r="AC54" s="588"/>
      <c r="AD54" s="597">
        <f>AA54/100*Y54*Y54/W54</f>
        <v>15.43888888888889</v>
      </c>
      <c r="AE54" s="593">
        <f>SQRT(POWER(O54,2)+POWER(P54+AD54+G54,2))</f>
        <v>32.386939869166589</v>
      </c>
      <c r="AF54" s="597">
        <f>SQRT(POWER(O54,2)+POWER(P54+AD54+H54,2))</f>
        <v>34.696403859127521</v>
      </c>
      <c r="AG54" s="175">
        <f>SQRT(POWER((AD54+P54+G54),2)+POWER(O54,2))*POWER(6.3/35,2)</f>
        <v>1.0493368517609973</v>
      </c>
      <c r="AH54" s="176">
        <f>SQRT(POWER((H54+P54+AD54),2)+POWER(O54,2))*POWER(6.3/35,2)</f>
        <v>1.1241634850357316</v>
      </c>
      <c r="AI54" s="601">
        <f>37000/1.73/SQRT(POWER((G54+P54+AD54),2)+O54*O54)</f>
        <v>660.36752232203332</v>
      </c>
      <c r="AJ54" s="596">
        <f>37000/2/SQRT(POWER((H54+P54+AD54),2)+O54*O54)</f>
        <v>533.19646828854968</v>
      </c>
      <c r="AK54" s="596">
        <f>AJ54/1.2</f>
        <v>444.33039024045809</v>
      </c>
      <c r="AL54" s="596">
        <f>AJ54/1.5</f>
        <v>355.46431219236644</v>
      </c>
      <c r="AM54" s="596">
        <f>6300/(1.73*AG54)</f>
        <v>3470.399892082758</v>
      </c>
      <c r="AN54" s="602">
        <f>6300/(2*AH54)</f>
        <v>2802.0835420569429</v>
      </c>
    </row>
    <row r="55" spans="1:40" ht="11.25" customHeight="1" x14ac:dyDescent="0.2">
      <c r="F55" s="187"/>
      <c r="G55" s="188" t="s">
        <v>337</v>
      </c>
      <c r="O55" s="100"/>
      <c r="U55" s="100"/>
    </row>
    <row r="56" spans="1:40" x14ac:dyDescent="0.2">
      <c r="F56" s="187"/>
      <c r="G56" s="188" t="s">
        <v>391</v>
      </c>
      <c r="O56" s="188"/>
      <c r="U56" s="100"/>
    </row>
    <row r="57" spans="1:40" ht="15.75" x14ac:dyDescent="0.2">
      <c r="B57" s="192" t="s">
        <v>158</v>
      </c>
      <c r="D57" s="192"/>
      <c r="E57" s="2378">
        <v>42648</v>
      </c>
      <c r="F57" s="2378"/>
      <c r="G57" s="650"/>
    </row>
    <row r="58" spans="1:40" x14ac:dyDescent="0.2">
      <c r="B58" s="185" t="s">
        <v>380</v>
      </c>
      <c r="D58" s="185"/>
      <c r="E58" s="2380" t="s">
        <v>189</v>
      </c>
      <c r="F58" s="2380"/>
    </row>
    <row r="63" spans="1:40" s="99" customFormat="1" ht="66" customHeight="1" thickBot="1" x14ac:dyDescent="0.25">
      <c r="A63" s="1942"/>
      <c r="B63" s="185"/>
      <c r="C63" s="2002" t="s">
        <v>441</v>
      </c>
      <c r="D63" s="2003"/>
      <c r="E63" s="1999" t="s">
        <v>5</v>
      </c>
      <c r="F63" s="2553" t="s">
        <v>633</v>
      </c>
      <c r="G63" s="2553"/>
      <c r="H63" s="1983"/>
      <c r="I63" s="1983"/>
      <c r="J63" s="1984"/>
      <c r="K63" s="1982"/>
      <c r="L63" s="1982"/>
      <c r="M63" s="2554" t="s">
        <v>469</v>
      </c>
      <c r="N63" s="2554"/>
      <c r="O63" s="2544" t="s">
        <v>618</v>
      </c>
      <c r="P63" s="2544"/>
      <c r="Q63" s="2545" t="s">
        <v>611</v>
      </c>
      <c r="R63" s="2545"/>
      <c r="S63" s="1982"/>
      <c r="Z63" s="1428" t="s">
        <v>613</v>
      </c>
      <c r="AA63" s="1428" t="s">
        <v>614</v>
      </c>
      <c r="AC63" s="1982"/>
      <c r="AE63" s="2546" t="s">
        <v>621</v>
      </c>
      <c r="AF63" s="2546"/>
      <c r="AG63" s="2546" t="s">
        <v>622</v>
      </c>
      <c r="AH63" s="2546"/>
      <c r="AI63" s="1985"/>
      <c r="AJ63" s="1985"/>
      <c r="AK63" s="1986"/>
      <c r="AL63" s="1985"/>
      <c r="AN63" s="2010"/>
    </row>
    <row r="64" spans="1:40" s="99" customFormat="1" ht="27" customHeight="1" x14ac:dyDescent="0.2">
      <c r="A64" s="1944"/>
      <c r="B64" s="2547" t="s">
        <v>634</v>
      </c>
      <c r="C64" s="1945">
        <v>1</v>
      </c>
      <c r="D64" s="1946" t="s">
        <v>39</v>
      </c>
      <c r="E64" s="2549" t="s">
        <v>632</v>
      </c>
      <c r="F64" s="1990"/>
      <c r="G64" s="1990"/>
      <c r="H64" s="1947"/>
      <c r="I64" s="1904"/>
      <c r="J64" s="1905"/>
      <c r="K64" s="1905"/>
      <c r="L64" s="1905"/>
      <c r="M64" s="1908"/>
      <c r="N64" s="1905"/>
      <c r="O64" s="1948"/>
      <c r="P64" s="1949"/>
      <c r="Q64" s="1909">
        <v>8454</v>
      </c>
      <c r="R64" s="1909">
        <v>6667</v>
      </c>
      <c r="S64" s="1905">
        <v>1</v>
      </c>
      <c r="T64" s="1905" t="s">
        <v>625</v>
      </c>
      <c r="U64" s="1905">
        <v>25</v>
      </c>
      <c r="V64" s="1910" t="s">
        <v>623</v>
      </c>
      <c r="W64" s="1950">
        <v>115</v>
      </c>
      <c r="X64" s="1910">
        <v>38.5</v>
      </c>
      <c r="Y64" s="1910">
        <v>6.6</v>
      </c>
      <c r="Z64" s="1908">
        <v>10.28</v>
      </c>
      <c r="AA64" s="1908"/>
      <c r="AB64" s="1905" t="s">
        <v>626</v>
      </c>
      <c r="AC64" s="1905">
        <v>19</v>
      </c>
      <c r="AD64" s="1908">
        <f>Z64/100*W64*W64/U64</f>
        <v>54.3812</v>
      </c>
      <c r="AE64" s="1908">
        <f>SQRT(POWER(M64,2)+POWER(O64+AD64+F64,2))</f>
        <v>54.3812</v>
      </c>
      <c r="AF64" s="1911">
        <f>SQRT(POWER(M64,2)+POWER(P64+AD64+G64,2))</f>
        <v>54.3812</v>
      </c>
      <c r="AG64" s="1951">
        <f>AE64*POWER(X64/W64,2)</f>
        <v>6.0950120000000005</v>
      </c>
      <c r="AH64" s="1952">
        <f>AF64*POWER(X64/W64,2)</f>
        <v>6.0950120000000005</v>
      </c>
      <c r="AI64" s="1953" t="s">
        <v>615</v>
      </c>
      <c r="AJ64" s="1954"/>
      <c r="AK64" s="1954"/>
      <c r="AL64" s="1954"/>
      <c r="AM64" s="1954"/>
      <c r="AN64" s="1955"/>
    </row>
    <row r="65" spans="1:40" s="99" customFormat="1" ht="27" customHeight="1" x14ac:dyDescent="0.2">
      <c r="A65" s="1956"/>
      <c r="B65" s="2548"/>
      <c r="C65" s="1957">
        <v>2</v>
      </c>
      <c r="D65" s="1414" t="s">
        <v>39</v>
      </c>
      <c r="E65" s="2550"/>
      <c r="F65" s="1991"/>
      <c r="G65" s="1991"/>
      <c r="H65" s="1418"/>
      <c r="I65" s="1918"/>
      <c r="J65" s="1413"/>
      <c r="K65" s="1413"/>
      <c r="L65" s="1413"/>
      <c r="M65" s="1419"/>
      <c r="N65" s="1413"/>
      <c r="O65" s="1958"/>
      <c r="P65" s="1959"/>
      <c r="Q65" s="1416">
        <v>8444</v>
      </c>
      <c r="R65" s="1416">
        <v>6657</v>
      </c>
      <c r="S65" s="1413">
        <v>2</v>
      </c>
      <c r="T65" s="1413" t="s">
        <v>624</v>
      </c>
      <c r="U65" s="1413">
        <v>25</v>
      </c>
      <c r="V65" s="1413" t="s">
        <v>623</v>
      </c>
      <c r="W65" s="1416">
        <v>115</v>
      </c>
      <c r="X65" s="1413">
        <v>38.5</v>
      </c>
      <c r="Y65" s="1413">
        <v>6.6</v>
      </c>
      <c r="Z65" s="1419">
        <v>10.15</v>
      </c>
      <c r="AA65" s="1419"/>
      <c r="AB65" s="1413" t="s">
        <v>626</v>
      </c>
      <c r="AC65" s="1413">
        <v>19</v>
      </c>
      <c r="AD65" s="1419">
        <f>Z65/100*W65*W65/U65</f>
        <v>53.6935</v>
      </c>
      <c r="AE65" s="1419">
        <f>SQRT(POWER(M65,2)+POWER(O65+AD65+F65,2))</f>
        <v>53.6935</v>
      </c>
      <c r="AF65" s="1920">
        <f>SQRT(POWER(M65,2)+POWER(P65+AD65+G65,2))</f>
        <v>53.6935</v>
      </c>
      <c r="AG65" s="1921">
        <f>AE65*POWER(X65/W65,2)</f>
        <v>6.0179350000000005</v>
      </c>
      <c r="AH65" s="1922">
        <f>AF65*POWER(X65/W65,2)</f>
        <v>6.0179350000000005</v>
      </c>
      <c r="AI65" s="1960" t="s">
        <v>615</v>
      </c>
      <c r="AJ65" s="1961"/>
      <c r="AK65" s="1961"/>
      <c r="AL65" s="1961"/>
      <c r="AM65" s="1961"/>
      <c r="AN65" s="1962"/>
    </row>
    <row r="66" spans="1:40" s="99" customFormat="1" ht="29.25" customHeight="1" x14ac:dyDescent="0.2">
      <c r="A66" s="1956"/>
      <c r="B66" s="2548" t="s">
        <v>635</v>
      </c>
      <c r="C66" s="1957">
        <v>1</v>
      </c>
      <c r="D66" s="1414" t="s">
        <v>39</v>
      </c>
      <c r="E66" s="2550" t="s">
        <v>632</v>
      </c>
      <c r="F66" s="1991">
        <v>8.2870000000000008</v>
      </c>
      <c r="G66" s="1991">
        <v>10.507999999999999</v>
      </c>
      <c r="H66" s="1418"/>
      <c r="I66" s="1918"/>
      <c r="J66" s="1413">
        <v>164.56200000000001</v>
      </c>
      <c r="K66" s="1413"/>
      <c r="L66" s="1413"/>
      <c r="M66" s="1419">
        <f>0.314*H66+0.249*I66+0.195*J66+0.159*K66+0.06*L66</f>
        <v>32.089590000000001</v>
      </c>
      <c r="N66" s="1413">
        <f>0.4*SUM(H66:L66)</f>
        <v>65.82480000000001</v>
      </c>
      <c r="O66" s="1958">
        <f>SQRT(POWER(M66,2)+POWER(N66+F66,2))</f>
        <v>80.760762042022009</v>
      </c>
      <c r="P66" s="1959">
        <f>SQRT(POWER(M66,2)+POWER(N66+G66,2))</f>
        <v>82.803611891076955</v>
      </c>
      <c r="Q66" s="1416">
        <f>115000/1.73/O66</f>
        <v>823.09758796874826</v>
      </c>
      <c r="R66" s="1416">
        <f>115000/(2*P66)</f>
        <v>694.41415279852413</v>
      </c>
      <c r="S66" s="1413">
        <v>1</v>
      </c>
      <c r="T66" s="1413" t="s">
        <v>625</v>
      </c>
      <c r="U66" s="1413">
        <v>25</v>
      </c>
      <c r="V66" s="1413" t="s">
        <v>623</v>
      </c>
      <c r="W66" s="1416">
        <v>115</v>
      </c>
      <c r="X66" s="1413">
        <v>38.5</v>
      </c>
      <c r="Y66" s="1413">
        <v>6.6</v>
      </c>
      <c r="Z66" s="1419"/>
      <c r="AA66" s="1419">
        <v>18.23</v>
      </c>
      <c r="AB66" s="1413" t="s">
        <v>626</v>
      </c>
      <c r="AC66" s="1413">
        <v>19</v>
      </c>
      <c r="AD66" s="1419">
        <f>AA66/100*W66*W66/U66</f>
        <v>96.436700000000002</v>
      </c>
      <c r="AE66" s="1419">
        <f>SQRT(POWER(M66,2)+POWER(O66+AD66+F66,2))</f>
        <v>188.239813656374</v>
      </c>
      <c r="AF66" s="1920">
        <f>SQRT(POWER(M66,2)+POWER(P66+AD66+G66,2))</f>
        <v>192.44262431145941</v>
      </c>
      <c r="AG66" s="1921">
        <f>AE66*POWER(Y66/W66,2)</f>
        <v>0.62001711023604167</v>
      </c>
      <c r="AH66" s="1922">
        <f>AF66*POWER(Y66/W66,2)</f>
        <v>0.63386016748636453</v>
      </c>
      <c r="AI66" s="1960" t="s">
        <v>616</v>
      </c>
      <c r="AJ66" s="1961"/>
      <c r="AK66" s="1961"/>
      <c r="AL66" s="1961"/>
      <c r="AM66" s="1961"/>
      <c r="AN66" s="1962"/>
    </row>
    <row r="67" spans="1:40" s="99" customFormat="1" ht="32.25" customHeight="1" thickBot="1" x14ac:dyDescent="0.25">
      <c r="A67" s="1963"/>
      <c r="B67" s="2551"/>
      <c r="C67" s="1964">
        <v>2</v>
      </c>
      <c r="D67" s="1965" t="s">
        <v>39</v>
      </c>
      <c r="E67" s="2552"/>
      <c r="F67" s="1992">
        <v>8.2970000000000006</v>
      </c>
      <c r="G67" s="1992">
        <v>10.523999999999999</v>
      </c>
      <c r="H67" s="1966"/>
      <c r="I67" s="1967"/>
      <c r="J67" s="1968">
        <v>164.56200000000001</v>
      </c>
      <c r="K67" s="1968"/>
      <c r="L67" s="1968"/>
      <c r="M67" s="1969">
        <f>0.314*H67+0.249*I67+0.195*J67+0.159*K67+0.06*L67</f>
        <v>32.089590000000001</v>
      </c>
      <c r="N67" s="1968">
        <f>0.4*SUM(H67:L67)</f>
        <v>65.82480000000001</v>
      </c>
      <c r="O67" s="1970">
        <f>SQRT(POWER(M67,2)+POWER(N67+F67,2))</f>
        <v>80.769938848609399</v>
      </c>
      <c r="P67" s="1971">
        <f>SQRT(POWER(M67,2)+POWER(N67+G67,2))</f>
        <v>82.818361779306542</v>
      </c>
      <c r="Q67" s="1972">
        <f>115000/1.73/O67</f>
        <v>823.00407041165943</v>
      </c>
      <c r="R67" s="1972">
        <f>115000/(2*P67)</f>
        <v>694.29047815779506</v>
      </c>
      <c r="S67" s="1968">
        <v>2</v>
      </c>
      <c r="T67" s="1968" t="s">
        <v>624</v>
      </c>
      <c r="U67" s="1968">
        <v>25</v>
      </c>
      <c r="V67" s="1973" t="s">
        <v>623</v>
      </c>
      <c r="W67" s="1974">
        <v>115</v>
      </c>
      <c r="X67" s="1973">
        <v>38.5</v>
      </c>
      <c r="Y67" s="1973">
        <v>6.6</v>
      </c>
      <c r="Z67" s="1969"/>
      <c r="AA67" s="1969">
        <v>18.34</v>
      </c>
      <c r="AB67" s="1968" t="s">
        <v>626</v>
      </c>
      <c r="AC67" s="1968">
        <v>19</v>
      </c>
      <c r="AD67" s="1969">
        <f>AA67/100*W67*W67/U67</f>
        <v>97.018600000000006</v>
      </c>
      <c r="AE67" s="1969">
        <f>SQRT(POWER(M67,2)+POWER(O67+AD67+F67,2))</f>
        <v>188.83212002979104</v>
      </c>
      <c r="AF67" s="1975">
        <f>SQRT(POWER(M67,2)+POWER(P67+AD67+G67,2))</f>
        <v>193.04672376373213</v>
      </c>
      <c r="AG67" s="1976">
        <f>AE67*POWER(Y67/W67,2)</f>
        <v>0.62196802635143267</v>
      </c>
      <c r="AH67" s="1977">
        <f>AF67*POWER(Y67/W67,2)</f>
        <v>0.63584992719456868</v>
      </c>
      <c r="AI67" s="1978" t="s">
        <v>616</v>
      </c>
      <c r="AJ67" s="1979"/>
      <c r="AK67" s="1979"/>
      <c r="AL67" s="1979"/>
      <c r="AM67" s="1979"/>
      <c r="AN67" s="1980"/>
    </row>
  </sheetData>
  <mergeCells count="90">
    <mergeCell ref="B64:B65"/>
    <mergeCell ref="E64:E65"/>
    <mergeCell ref="B66:B67"/>
    <mergeCell ref="E66:E67"/>
    <mergeCell ref="F63:G63"/>
    <mergeCell ref="Q63:R63"/>
    <mergeCell ref="AE63:AF63"/>
    <mergeCell ref="AG63:AH63"/>
    <mergeCell ref="B53:B54"/>
    <mergeCell ref="C53:C54"/>
    <mergeCell ref="E57:F57"/>
    <mergeCell ref="E58:F58"/>
    <mergeCell ref="M63:N63"/>
    <mergeCell ref="C45:C46"/>
    <mergeCell ref="C47:C48"/>
    <mergeCell ref="C49:C50"/>
    <mergeCell ref="C51:C52"/>
    <mergeCell ref="O63:P63"/>
    <mergeCell ref="C25:C26"/>
    <mergeCell ref="C27:C28"/>
    <mergeCell ref="B43:B44"/>
    <mergeCell ref="C29:C30"/>
    <mergeCell ref="C31:C32"/>
    <mergeCell ref="C33:C34"/>
    <mergeCell ref="C35:C36"/>
    <mergeCell ref="C37:C38"/>
    <mergeCell ref="C39:C40"/>
    <mergeCell ref="B41:B42"/>
    <mergeCell ref="C41:C42"/>
    <mergeCell ref="C43:C44"/>
    <mergeCell ref="C15:C16"/>
    <mergeCell ref="C17:C18"/>
    <mergeCell ref="C19:C20"/>
    <mergeCell ref="C21:C22"/>
    <mergeCell ref="C23:C24"/>
    <mergeCell ref="C5:C6"/>
    <mergeCell ref="C7:C8"/>
    <mergeCell ref="C9:C10"/>
    <mergeCell ref="C11:C12"/>
    <mergeCell ref="C13:C14"/>
    <mergeCell ref="B25:B26"/>
    <mergeCell ref="B27:B28"/>
    <mergeCell ref="B47:B48"/>
    <mergeCell ref="B49:B50"/>
    <mergeCell ref="B51:B52"/>
    <mergeCell ref="B29:B30"/>
    <mergeCell ref="B33:B34"/>
    <mergeCell ref="B31:B32"/>
    <mergeCell ref="B35:B36"/>
    <mergeCell ref="B37:B38"/>
    <mergeCell ref="B39:B40"/>
    <mergeCell ref="B45:B46"/>
    <mergeCell ref="B15:B16"/>
    <mergeCell ref="B17:B18"/>
    <mergeCell ref="B19:B20"/>
    <mergeCell ref="B21:B22"/>
    <mergeCell ref="B23:B24"/>
    <mergeCell ref="B5:B6"/>
    <mergeCell ref="B7:B8"/>
    <mergeCell ref="B9:B10"/>
    <mergeCell ref="B11:B12"/>
    <mergeCell ref="B13:B14"/>
    <mergeCell ref="A1:AH1"/>
    <mergeCell ref="A2:A4"/>
    <mergeCell ref="AM2:AN2"/>
    <mergeCell ref="AK2:AK3"/>
    <mergeCell ref="AL2:AL3"/>
    <mergeCell ref="AD2:AD3"/>
    <mergeCell ref="O2:P3"/>
    <mergeCell ref="U2:U4"/>
    <mergeCell ref="V2:V4"/>
    <mergeCell ref="AG2:AH2"/>
    <mergeCell ref="AI2:AJ2"/>
    <mergeCell ref="Y2:Y3"/>
    <mergeCell ref="Z2:Z3"/>
    <mergeCell ref="AA2:AA3"/>
    <mergeCell ref="AB2:AB3"/>
    <mergeCell ref="AC2:AC3"/>
    <mergeCell ref="AE2:AF2"/>
    <mergeCell ref="W2:W3"/>
    <mergeCell ref="X2:X4"/>
    <mergeCell ref="S2:T2"/>
    <mergeCell ref="B2:B4"/>
    <mergeCell ref="D2:D4"/>
    <mergeCell ref="E2:E4"/>
    <mergeCell ref="F2:F4"/>
    <mergeCell ref="G2:H2"/>
    <mergeCell ref="C2:C4"/>
    <mergeCell ref="I2:N2"/>
    <mergeCell ref="Q2:R2"/>
  </mergeCells>
  <phoneticPr fontId="0" type="noConversion"/>
  <pageMargins left="0.19685039370078741" right="0.19685039370078741" top="0.59055118110236227" bottom="0.31496062992125984" header="0.39370078740157483" footer="0.27559055118110237"/>
  <pageSetup paperSize="9" scale="84" orientation="landscape" r:id="rId1"/>
  <headerFooter>
    <oddFooter>&amp;L&amp;Z&amp;F&amp;D</oddFooter>
  </headerFooter>
  <ignoredErrors>
    <ignoredError sqref="P5:P40" formulaRange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DEB01-4BA3-4A47-971F-42BC6E2E0373}">
  <sheetPr codeName="Лист10"/>
  <dimension ref="A1:AN79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I30" sqref="I30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00" hidden="1" customWidth="1"/>
    <col min="4" max="4" width="5.140625" style="186" customWidth="1"/>
    <col min="5" max="5" width="3.140625" style="186" customWidth="1"/>
    <col min="6" max="6" width="15.7109375" style="100" customWidth="1"/>
    <col min="7" max="8" width="7" style="100" customWidth="1"/>
    <col min="9" max="11" width="5.5703125" style="188" customWidth="1"/>
    <col min="12" max="12" width="5.5703125" style="189" customWidth="1"/>
    <col min="13" max="16" width="5.5703125" style="186" customWidth="1"/>
    <col min="17" max="18" width="6.7109375" style="100" customWidth="1"/>
    <col min="19" max="20" width="6.7109375" style="190" customWidth="1"/>
    <col min="21" max="21" width="3.5703125" style="186" customWidth="1"/>
    <col min="22" max="22" width="15.85546875" style="100" hidden="1" customWidth="1"/>
    <col min="23" max="23" width="5.7109375" style="100" customWidth="1"/>
    <col min="24" max="24" width="7.42578125" style="100" hidden="1" customWidth="1"/>
    <col min="25" max="26" width="5.85546875" style="100" hidden="1" customWidth="1"/>
    <col min="27" max="27" width="5.85546875" style="100" customWidth="1"/>
    <col min="28" max="28" width="11.42578125" style="100" hidden="1" customWidth="1"/>
    <col min="29" max="29" width="6.140625" style="186" hidden="1" customWidth="1"/>
    <col min="30" max="30" width="6.140625" style="100" customWidth="1"/>
    <col min="31" max="33" width="6.7109375" style="100" customWidth="1"/>
    <col min="34" max="34" width="6.85546875" style="100" customWidth="1"/>
    <col min="35" max="35" width="7.140625" style="190" customWidth="1"/>
    <col min="36" max="36" width="7.28515625" style="190" customWidth="1"/>
    <col min="37" max="37" width="8.85546875" style="191" customWidth="1"/>
    <col min="38" max="38" width="9.140625" style="190" customWidth="1"/>
    <col min="39" max="40" width="6.7109375" style="100" customWidth="1"/>
    <col min="41" max="16384" width="9.140625" style="100"/>
  </cols>
  <sheetData>
    <row r="1" spans="1:40" ht="36.75" customHeight="1" thickBot="1" x14ac:dyDescent="0.25">
      <c r="A1" s="2302" t="s">
        <v>355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  <c r="AN1" s="2302"/>
    </row>
    <row r="2" spans="1:40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1"/>
      <c r="N2" s="2322"/>
      <c r="O2" s="2323" t="s">
        <v>8</v>
      </c>
      <c r="P2" s="2324"/>
      <c r="Q2" s="2327" t="s">
        <v>385</v>
      </c>
      <c r="R2" s="2327"/>
      <c r="S2" s="2328" t="s">
        <v>388</v>
      </c>
      <c r="T2" s="2329"/>
      <c r="U2" s="2330" t="s">
        <v>9</v>
      </c>
      <c r="V2" s="2333" t="s">
        <v>10</v>
      </c>
      <c r="W2" s="2341" t="s">
        <v>12</v>
      </c>
      <c r="X2" s="2338" t="s">
        <v>13</v>
      </c>
      <c r="Y2" s="2341" t="s">
        <v>335</v>
      </c>
      <c r="Z2" s="2341" t="s">
        <v>336</v>
      </c>
      <c r="AA2" s="2460" t="s">
        <v>16</v>
      </c>
      <c r="AB2" s="2341" t="s">
        <v>17</v>
      </c>
      <c r="AC2" s="2341" t="s">
        <v>18</v>
      </c>
      <c r="AD2" s="2345" t="s">
        <v>19</v>
      </c>
      <c r="AE2" s="2321" t="s">
        <v>386</v>
      </c>
      <c r="AF2" s="2321"/>
      <c r="AG2" s="2347" t="s">
        <v>387</v>
      </c>
      <c r="AH2" s="2348"/>
      <c r="AI2" s="2349" t="s">
        <v>382</v>
      </c>
      <c r="AJ2" s="2350"/>
      <c r="AK2" s="2351" t="s">
        <v>20</v>
      </c>
      <c r="AL2" s="2351" t="s">
        <v>21</v>
      </c>
      <c r="AM2" s="2349" t="s">
        <v>383</v>
      </c>
      <c r="AN2" s="2353"/>
    </row>
    <row r="3" spans="1:40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400" t="s">
        <v>24</v>
      </c>
      <c r="J3" s="401" t="s">
        <v>25</v>
      </c>
      <c r="K3" s="401" t="s">
        <v>208</v>
      </c>
      <c r="L3" s="402" t="s">
        <v>26</v>
      </c>
      <c r="M3" s="402" t="s">
        <v>27</v>
      </c>
      <c r="N3" s="403" t="s">
        <v>28</v>
      </c>
      <c r="O3" s="2325"/>
      <c r="P3" s="2326"/>
      <c r="Q3" s="104" t="s">
        <v>216</v>
      </c>
      <c r="R3" s="104" t="s">
        <v>217</v>
      </c>
      <c r="S3" s="105" t="s">
        <v>218</v>
      </c>
      <c r="T3" s="110" t="s">
        <v>219</v>
      </c>
      <c r="U3" s="2331"/>
      <c r="V3" s="2334"/>
      <c r="W3" s="2342"/>
      <c r="X3" s="2339"/>
      <c r="Y3" s="2342"/>
      <c r="Z3" s="2342"/>
      <c r="AA3" s="2461"/>
      <c r="AB3" s="2342"/>
      <c r="AC3" s="2342"/>
      <c r="AD3" s="2346"/>
      <c r="AE3" s="1021" t="s">
        <v>216</v>
      </c>
      <c r="AF3" s="106" t="s">
        <v>217</v>
      </c>
      <c r="AG3" s="107" t="s">
        <v>216</v>
      </c>
      <c r="AH3" s="108" t="s">
        <v>217</v>
      </c>
      <c r="AI3" s="109" t="s">
        <v>218</v>
      </c>
      <c r="AJ3" s="110" t="s">
        <v>219</v>
      </c>
      <c r="AK3" s="2352"/>
      <c r="AL3" s="2352"/>
      <c r="AM3" s="105" t="s">
        <v>218</v>
      </c>
      <c r="AN3" s="111" t="s">
        <v>219</v>
      </c>
    </row>
    <row r="4" spans="1:40" s="101" customFormat="1" ht="12.75" customHeight="1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5"/>
      <c r="L4" s="116" t="s">
        <v>31</v>
      </c>
      <c r="M4" s="116" t="s">
        <v>31</v>
      </c>
      <c r="N4" s="117" t="s">
        <v>31</v>
      </c>
      <c r="O4" s="118" t="s">
        <v>30</v>
      </c>
      <c r="P4" s="116" t="s">
        <v>30</v>
      </c>
      <c r="Q4" s="116" t="s">
        <v>30</v>
      </c>
      <c r="R4" s="116" t="s">
        <v>30</v>
      </c>
      <c r="S4" s="119" t="s">
        <v>35</v>
      </c>
      <c r="T4" s="1017" t="s">
        <v>35</v>
      </c>
      <c r="U4" s="2332"/>
      <c r="V4" s="2335"/>
      <c r="W4" s="120" t="s">
        <v>32</v>
      </c>
      <c r="X4" s="2340"/>
      <c r="Y4" s="120" t="s">
        <v>33</v>
      </c>
      <c r="Z4" s="120" t="s">
        <v>33</v>
      </c>
      <c r="AA4" s="121" t="s">
        <v>34</v>
      </c>
      <c r="AB4" s="120" t="s">
        <v>35</v>
      </c>
      <c r="AC4" s="120" t="s">
        <v>34</v>
      </c>
      <c r="AD4" s="1025" t="s">
        <v>30</v>
      </c>
      <c r="AE4" s="118" t="s">
        <v>30</v>
      </c>
      <c r="AF4" s="122" t="s">
        <v>30</v>
      </c>
      <c r="AG4" s="123" t="s">
        <v>30</v>
      </c>
      <c r="AH4" s="124" t="s">
        <v>30</v>
      </c>
      <c r="AI4" s="125" t="s">
        <v>35</v>
      </c>
      <c r="AJ4" s="119" t="s">
        <v>35</v>
      </c>
      <c r="AK4" s="119" t="s">
        <v>35</v>
      </c>
      <c r="AL4" s="119" t="s">
        <v>35</v>
      </c>
      <c r="AM4" s="119" t="s">
        <v>35</v>
      </c>
      <c r="AN4" s="126" t="s">
        <v>35</v>
      </c>
    </row>
    <row r="5" spans="1:40" ht="12.75" customHeight="1" x14ac:dyDescent="0.2">
      <c r="A5" s="929">
        <v>7</v>
      </c>
      <c r="B5" s="2306" t="s">
        <v>108</v>
      </c>
      <c r="C5" s="2560" t="s">
        <v>341</v>
      </c>
      <c r="D5" s="672">
        <v>1.3</v>
      </c>
      <c r="E5" s="672" t="s">
        <v>39</v>
      </c>
      <c r="F5" s="672" t="s">
        <v>109</v>
      </c>
      <c r="G5" s="1026">
        <v>6.0369999999999999</v>
      </c>
      <c r="H5" s="350">
        <v>10.763</v>
      </c>
      <c r="I5" s="347"/>
      <c r="J5" s="348">
        <v>2.7</v>
      </c>
      <c r="K5" s="348"/>
      <c r="L5" s="349"/>
      <c r="M5" s="349"/>
      <c r="N5" s="350"/>
      <c r="O5" s="534">
        <f t="shared" ref="O5:O16" si="0">0.314*I5+0.249*J5+0.195*L5+0.159*M5+0.06*N5</f>
        <v>0.67230000000000001</v>
      </c>
      <c r="P5" s="349">
        <f t="shared" ref="P5:P15" si="1">0.4*SUM(I5:N5)</f>
        <v>1.08</v>
      </c>
      <c r="Q5" s="352">
        <f t="shared" ref="Q5:Q16" si="2">SQRT(POWER(O5,2)+POWER(P5+G5,2))</f>
        <v>7.1486835354490266</v>
      </c>
      <c r="R5" s="353">
        <f t="shared" ref="R5:R16" si="3">SQRT(POWER(O5,2)+POWER(P5+H5,2))</f>
        <v>11.862067117075338</v>
      </c>
      <c r="S5" s="354">
        <f t="shared" ref="S5:S18" si="4">37000/1.73/SQRT(POWER((G5+P5),2)+O5*O5)</f>
        <v>2991.779273895474</v>
      </c>
      <c r="T5" s="358">
        <f t="shared" ref="T5:T18" si="5">37000/2/SQRT(O5*O5+POWER((H5+P5),2))</f>
        <v>1559.5932662840373</v>
      </c>
      <c r="U5" s="1026">
        <v>1</v>
      </c>
      <c r="V5" s="349" t="s">
        <v>122</v>
      </c>
      <c r="W5" s="349">
        <v>4</v>
      </c>
      <c r="X5" s="349">
        <v>11</v>
      </c>
      <c r="Y5" s="349">
        <v>35</v>
      </c>
      <c r="Z5" s="349">
        <v>6.3</v>
      </c>
      <c r="AA5" s="353">
        <v>7.4</v>
      </c>
      <c r="AB5" s="349"/>
      <c r="AC5" s="349">
        <v>10</v>
      </c>
      <c r="AD5" s="528">
        <f t="shared" ref="AD5:AD16" si="6">AA5/100*Y5*Y5/W5</f>
        <v>22.662500000000001</v>
      </c>
      <c r="AE5" s="534">
        <f t="shared" ref="AE5:AE18" si="7">SQRT(POWER(O5,2)+POWER(P5+AD5+G5,2))</f>
        <v>29.787087933196826</v>
      </c>
      <c r="AF5" s="528">
        <f t="shared" ref="AF5:AF18" si="8">SQRT(POWER(O5,2)+POWER(P5+AD5+H5,2))</f>
        <v>34.512048874849491</v>
      </c>
      <c r="AG5" s="139">
        <f t="shared" ref="AG5:AG18" si="9">SQRT(POWER((AD5+P5+G5),2)+POWER(O5,2))*POWER(6.3/35,2)</f>
        <v>0.96510164903557716</v>
      </c>
      <c r="AH5" s="140">
        <f t="shared" ref="AH5:AH18" si="10">SQRT(POWER((H5+P5+AD5),2)+POWER(O5,2))*POWER(6.3/35,2)</f>
        <v>1.1181903835451235</v>
      </c>
      <c r="AI5" s="356">
        <f t="shared" ref="AI5:AI18" si="11">37000/1.73/SQRT(POWER((G5+P5+AD5),2)+O5*O5)</f>
        <v>718.0051734147105</v>
      </c>
      <c r="AJ5" s="354">
        <f t="shared" ref="AJ5:AJ18" si="12">37000/2/SQRT(POWER((H5+P5+AD5),2)+O5*O5)</f>
        <v>536.04467434217725</v>
      </c>
      <c r="AK5" s="354">
        <f t="shared" ref="AK5:AK16" si="13">AJ5/1.2</f>
        <v>446.70389528514772</v>
      </c>
      <c r="AL5" s="358">
        <f t="shared" ref="AL5:AL16" si="14">AJ5/1.5</f>
        <v>357.36311622811814</v>
      </c>
      <c r="AM5" s="356">
        <f>6300/(1.73*AH5)</f>
        <v>3256.7070426454552</v>
      </c>
      <c r="AN5" s="358">
        <f>SUM(6300/(2*AH5))</f>
        <v>2817.0515918883189</v>
      </c>
    </row>
    <row r="6" spans="1:40" ht="12.75" customHeight="1" x14ac:dyDescent="0.2">
      <c r="A6" s="161">
        <v>7</v>
      </c>
      <c r="B6" s="2359"/>
      <c r="C6" s="2559"/>
      <c r="D6" s="649">
        <v>1.3</v>
      </c>
      <c r="E6" s="649" t="s">
        <v>39</v>
      </c>
      <c r="F6" s="649" t="s">
        <v>109</v>
      </c>
      <c r="G6" s="1027">
        <v>6.0369999999999999</v>
      </c>
      <c r="H6" s="272">
        <v>10.763</v>
      </c>
      <c r="I6" s="541"/>
      <c r="J6" s="148">
        <v>2.5</v>
      </c>
      <c r="K6" s="148"/>
      <c r="L6" s="152"/>
      <c r="M6" s="152"/>
      <c r="N6" s="272"/>
      <c r="O6" s="273">
        <f t="shared" si="0"/>
        <v>0.62250000000000005</v>
      </c>
      <c r="P6" s="152">
        <f t="shared" si="1"/>
        <v>1</v>
      </c>
      <c r="Q6" s="153">
        <f t="shared" si="2"/>
        <v>7.0644798286922725</v>
      </c>
      <c r="R6" s="154">
        <f t="shared" si="3"/>
        <v>11.779459887872619</v>
      </c>
      <c r="S6" s="155">
        <f t="shared" si="4"/>
        <v>3027.4392107583221</v>
      </c>
      <c r="T6" s="160">
        <f t="shared" si="5"/>
        <v>1570.5304127777897</v>
      </c>
      <c r="U6" s="1027">
        <v>2</v>
      </c>
      <c r="V6" s="152" t="s">
        <v>122</v>
      </c>
      <c r="W6" s="152">
        <v>4</v>
      </c>
      <c r="X6" s="152">
        <v>11</v>
      </c>
      <c r="Y6" s="152">
        <v>35</v>
      </c>
      <c r="Z6" s="152">
        <v>6.3</v>
      </c>
      <c r="AA6" s="154">
        <v>6.49</v>
      </c>
      <c r="AB6" s="152"/>
      <c r="AC6" s="152">
        <v>5</v>
      </c>
      <c r="AD6" s="274">
        <f t="shared" si="6"/>
        <v>19.875624999999999</v>
      </c>
      <c r="AE6" s="273">
        <f t="shared" si="7"/>
        <v>26.919823376846754</v>
      </c>
      <c r="AF6" s="274">
        <f t="shared" si="8"/>
        <v>31.644748350091596</v>
      </c>
      <c r="AG6" s="157">
        <f t="shared" si="9"/>
        <v>0.8722022774098348</v>
      </c>
      <c r="AH6" s="158">
        <f t="shared" si="10"/>
        <v>1.0252898465429676</v>
      </c>
      <c r="AI6" s="360">
        <f t="shared" si="11"/>
        <v>794.48081577641517</v>
      </c>
      <c r="AJ6" s="155">
        <f t="shared" si="12"/>
        <v>584.61517201309812</v>
      </c>
      <c r="AK6" s="155">
        <f t="shared" si="13"/>
        <v>487.17931001091512</v>
      </c>
      <c r="AL6" s="160">
        <f t="shared" si="14"/>
        <v>389.74344800873206</v>
      </c>
      <c r="AM6" s="360">
        <f t="shared" ref="AM6:AM20" si="15">6300/(1.73*AH6)</f>
        <v>3551.7941676575597</v>
      </c>
      <c r="AN6" s="160">
        <f t="shared" ref="AN6:AN20" si="16">SUM(6300/(2*AH6))</f>
        <v>3072.3019550237891</v>
      </c>
    </row>
    <row r="7" spans="1:40" ht="12.75" customHeight="1" x14ac:dyDescent="0.2">
      <c r="A7" s="161">
        <v>7</v>
      </c>
      <c r="B7" s="2358" t="s">
        <v>151</v>
      </c>
      <c r="C7" s="2558" t="s">
        <v>342</v>
      </c>
      <c r="D7" s="673">
        <v>1.3</v>
      </c>
      <c r="E7" s="673" t="s">
        <v>39</v>
      </c>
      <c r="F7" s="673" t="s">
        <v>109</v>
      </c>
      <c r="G7" s="1027">
        <v>6.0369999999999999</v>
      </c>
      <c r="H7" s="272">
        <v>10.763</v>
      </c>
      <c r="I7" s="270"/>
      <c r="J7" s="148">
        <v>0.1</v>
      </c>
      <c r="K7" s="148"/>
      <c r="L7" s="152"/>
      <c r="M7" s="152"/>
      <c r="N7" s="272"/>
      <c r="O7" s="273">
        <f>0.314*I7+0.249*J7+0.195*L7+0.159*M7+0.06*N7</f>
        <v>2.4900000000000002E-2</v>
      </c>
      <c r="P7" s="152">
        <f>0.4*SUM(I7:N7)</f>
        <v>4.0000000000000008E-2</v>
      </c>
      <c r="Q7" s="153">
        <f>SQRT(POWER(O7,2)+POWER(P7+G7,2))</f>
        <v>6.0770510126211708</v>
      </c>
      <c r="R7" s="154">
        <f>SQRT(POWER(O7,2)+POWER(P7+H7,2))</f>
        <v>10.803028696157387</v>
      </c>
      <c r="S7" s="155">
        <f>37000/1.73/SQRT(POWER((G7+P7),2)+O7*O7)</f>
        <v>3519.3522635528111</v>
      </c>
      <c r="T7" s="160">
        <f>37000/2/SQRT(O7*O7+POWER((H7+P7),2))</f>
        <v>1712.4827231626634</v>
      </c>
      <c r="U7" s="546">
        <v>1</v>
      </c>
      <c r="V7" s="152" t="s">
        <v>191</v>
      </c>
      <c r="W7" s="152">
        <v>10</v>
      </c>
      <c r="X7" s="152">
        <v>11</v>
      </c>
      <c r="Y7" s="152">
        <v>35</v>
      </c>
      <c r="Z7" s="152">
        <v>6.3</v>
      </c>
      <c r="AA7" s="154">
        <v>8.1</v>
      </c>
      <c r="AB7" s="152"/>
      <c r="AC7" s="152"/>
      <c r="AD7" s="274">
        <f>AA7/100*Y7*Y7/W7</f>
        <v>9.9224999999999994</v>
      </c>
      <c r="AE7" s="273">
        <f>SQRT(POWER(O7,2)+POWER(P7+AD7+G7,2))</f>
        <v>15.999519375906262</v>
      </c>
      <c r="AF7" s="274">
        <f>SQRT(POWER(O7,2)+POWER(P7+AD7+H7,2))</f>
        <v>20.725514957655452</v>
      </c>
      <c r="AG7" s="157">
        <f>SQRT(POWER((AD7+P7+G7),2)+POWER(O7,2))*POWER(6.3/35,2)</f>
        <v>0.51838442777936289</v>
      </c>
      <c r="AH7" s="158">
        <f>SQRT(POWER((H7+P7+AD7),2)+POWER(O7,2))*POWER(6.3/35,2)</f>
        <v>0.67150668462803664</v>
      </c>
      <c r="AI7" s="360">
        <f>37000/1.73/SQRT(POWER((G7+P7+AD7),2)+O7*O7)</f>
        <v>1336.7453568137435</v>
      </c>
      <c r="AJ7" s="155">
        <f>37000/2/SQRT(POWER((H7+P7+AD7),2)+O7*O7)</f>
        <v>892.61955796020368</v>
      </c>
      <c r="AK7" s="155">
        <f>AJ7/1.2</f>
        <v>743.84963163350312</v>
      </c>
      <c r="AL7" s="160">
        <f>AJ7/1.5</f>
        <v>595.07970530680245</v>
      </c>
      <c r="AM7" s="360">
        <f t="shared" si="15"/>
        <v>5423.0562114612521</v>
      </c>
      <c r="AN7" s="160">
        <f>SUM(6300/(2*AH7))</f>
        <v>4690.9436229139837</v>
      </c>
    </row>
    <row r="8" spans="1:40" ht="12.75" customHeight="1" x14ac:dyDescent="0.2">
      <c r="A8" s="161">
        <v>7</v>
      </c>
      <c r="B8" s="2359"/>
      <c r="C8" s="2559"/>
      <c r="D8" s="673">
        <v>1.3</v>
      </c>
      <c r="E8" s="673" t="s">
        <v>39</v>
      </c>
      <c r="F8" s="673" t="s">
        <v>109</v>
      </c>
      <c r="G8" s="1027">
        <v>6.0369999999999999</v>
      </c>
      <c r="H8" s="272">
        <v>10.763</v>
      </c>
      <c r="I8" s="270"/>
      <c r="J8" s="148">
        <v>0.1</v>
      </c>
      <c r="K8" s="148"/>
      <c r="L8" s="152"/>
      <c r="M8" s="152"/>
      <c r="N8" s="272"/>
      <c r="O8" s="273">
        <f>0.314*I8+0.249*J8+0.195*L8+0.159*M8+0.06*N8</f>
        <v>2.4900000000000002E-2</v>
      </c>
      <c r="P8" s="152">
        <f>0.4*SUM(I8:N8)</f>
        <v>4.0000000000000008E-2</v>
      </c>
      <c r="Q8" s="153">
        <f>SQRT(POWER(O8,2)+POWER(P8+G8,2))</f>
        <v>6.0770510126211708</v>
      </c>
      <c r="R8" s="154">
        <f>SQRT(POWER(O8,2)+POWER(P8+H8,2))</f>
        <v>10.803028696157387</v>
      </c>
      <c r="S8" s="155">
        <f>37000/1.73/SQRT(POWER((G8+P8),2)+O8*O8)</f>
        <v>3519.3522635528111</v>
      </c>
      <c r="T8" s="160">
        <f>37000/2/SQRT(O8*O8+POWER((H8+P8),2))</f>
        <v>1712.4827231626634</v>
      </c>
      <c r="U8" s="1027">
        <v>2</v>
      </c>
      <c r="V8" s="152" t="s">
        <v>191</v>
      </c>
      <c r="W8" s="152">
        <v>10</v>
      </c>
      <c r="X8" s="152">
        <v>11</v>
      </c>
      <c r="Y8" s="152">
        <v>35</v>
      </c>
      <c r="Z8" s="152">
        <v>6.3</v>
      </c>
      <c r="AA8" s="154">
        <v>8.1</v>
      </c>
      <c r="AB8" s="152"/>
      <c r="AC8" s="152"/>
      <c r="AD8" s="274">
        <f>AA8/100*Y8*Y8/W8</f>
        <v>9.9224999999999994</v>
      </c>
      <c r="AE8" s="273">
        <f>SQRT(POWER(O8,2)+POWER(P8+AD8+G8,2))</f>
        <v>15.999519375906262</v>
      </c>
      <c r="AF8" s="274">
        <f>SQRT(POWER(O8,2)+POWER(P8+AD8+H8,2))</f>
        <v>20.725514957655452</v>
      </c>
      <c r="AG8" s="157">
        <f>SQRT(POWER((AD8+P8+G8),2)+POWER(O8,2))*POWER(6.3/35,2)</f>
        <v>0.51838442777936289</v>
      </c>
      <c r="AH8" s="158">
        <f>SQRT(POWER((H8+P8+AD8),2)+POWER(O8,2))*POWER(6.3/35,2)</f>
        <v>0.67150668462803664</v>
      </c>
      <c r="AI8" s="360">
        <f>37000/1.73/SQRT(POWER((G8+P8+AD8),2)+O8*O8)</f>
        <v>1336.7453568137435</v>
      </c>
      <c r="AJ8" s="155">
        <f>37000/2/SQRT(POWER((H8+P8+AD8),2)+O8*O8)</f>
        <v>892.61955796020368</v>
      </c>
      <c r="AK8" s="155">
        <f>AJ8/1.2</f>
        <v>743.84963163350312</v>
      </c>
      <c r="AL8" s="160">
        <f>AJ8/1.5</f>
        <v>595.07970530680245</v>
      </c>
      <c r="AM8" s="360">
        <f t="shared" si="15"/>
        <v>5423.0562114612521</v>
      </c>
      <c r="AN8" s="160">
        <f t="shared" si="16"/>
        <v>4690.9436229139837</v>
      </c>
    </row>
    <row r="9" spans="1:40" ht="12.75" customHeight="1" x14ac:dyDescent="0.2">
      <c r="A9" s="161">
        <v>7</v>
      </c>
      <c r="B9" s="2358" t="s">
        <v>120</v>
      </c>
      <c r="C9" s="2561" t="s">
        <v>43</v>
      </c>
      <c r="D9" s="673">
        <v>1.3</v>
      </c>
      <c r="E9" s="673" t="s">
        <v>39</v>
      </c>
      <c r="F9" s="673" t="s">
        <v>109</v>
      </c>
      <c r="G9" s="1027">
        <v>6.0369999999999999</v>
      </c>
      <c r="H9" s="272">
        <v>10.763</v>
      </c>
      <c r="I9" s="270"/>
      <c r="J9" s="148">
        <v>5.9</v>
      </c>
      <c r="K9" s="148"/>
      <c r="L9" s="152"/>
      <c r="M9" s="152"/>
      <c r="N9" s="272"/>
      <c r="O9" s="273">
        <f t="shared" si="0"/>
        <v>1.4691000000000001</v>
      </c>
      <c r="P9" s="152">
        <f t="shared" si="1"/>
        <v>2.3600000000000003</v>
      </c>
      <c r="Q9" s="153">
        <f t="shared" si="2"/>
        <v>8.5245447860868211</v>
      </c>
      <c r="R9" s="154">
        <f t="shared" si="3"/>
        <v>13.204975721674009</v>
      </c>
      <c r="S9" s="155">
        <f t="shared" si="4"/>
        <v>2508.9061965984483</v>
      </c>
      <c r="T9" s="160">
        <f t="shared" si="5"/>
        <v>1400.9870513911658</v>
      </c>
      <c r="U9" s="546">
        <v>1</v>
      </c>
      <c r="V9" s="152" t="s">
        <v>209</v>
      </c>
      <c r="W9" s="152">
        <v>6.3</v>
      </c>
      <c r="X9" s="152">
        <v>11</v>
      </c>
      <c r="Y9" s="152">
        <v>35</v>
      </c>
      <c r="Z9" s="152">
        <v>6.3</v>
      </c>
      <c r="AA9" s="154">
        <v>6.82</v>
      </c>
      <c r="AB9" s="152"/>
      <c r="AC9" s="152">
        <v>5</v>
      </c>
      <c r="AD9" s="274">
        <f t="shared" si="6"/>
        <v>13.261111111111111</v>
      </c>
      <c r="AE9" s="273">
        <f t="shared" si="7"/>
        <v>21.707879484446071</v>
      </c>
      <c r="AF9" s="274">
        <f t="shared" si="8"/>
        <v>26.424980112262276</v>
      </c>
      <c r="AG9" s="157">
        <f t="shared" si="9"/>
        <v>0.70333529529605265</v>
      </c>
      <c r="AH9" s="158">
        <f t="shared" si="10"/>
        <v>0.85616935563729768</v>
      </c>
      <c r="AI9" s="360">
        <f t="shared" si="11"/>
        <v>985.23134202575784</v>
      </c>
      <c r="AJ9" s="155">
        <f t="shared" si="12"/>
        <v>700.095134278464</v>
      </c>
      <c r="AK9" s="155">
        <f t="shared" si="13"/>
        <v>583.41261189872</v>
      </c>
      <c r="AL9" s="160">
        <f t="shared" si="14"/>
        <v>466.730089518976</v>
      </c>
      <c r="AM9" s="360">
        <f t="shared" si="15"/>
        <v>4253.3857035786496</v>
      </c>
      <c r="AN9" s="160">
        <f t="shared" si="16"/>
        <v>3679.1786335955321</v>
      </c>
    </row>
    <row r="10" spans="1:40" ht="12.75" customHeight="1" x14ac:dyDescent="0.2">
      <c r="A10" s="161">
        <v>7</v>
      </c>
      <c r="B10" s="2359"/>
      <c r="C10" s="2562"/>
      <c r="D10" s="673">
        <v>1.3</v>
      </c>
      <c r="E10" s="673" t="s">
        <v>39</v>
      </c>
      <c r="F10" s="673" t="s">
        <v>109</v>
      </c>
      <c r="G10" s="1027">
        <v>6.0369999999999999</v>
      </c>
      <c r="H10" s="272">
        <v>10.763</v>
      </c>
      <c r="I10" s="270"/>
      <c r="J10" s="148">
        <v>5.7</v>
      </c>
      <c r="K10" s="148"/>
      <c r="L10" s="152"/>
      <c r="M10" s="152"/>
      <c r="N10" s="272"/>
      <c r="O10" s="273">
        <f t="shared" si="0"/>
        <v>1.4193</v>
      </c>
      <c r="P10" s="152">
        <f t="shared" si="1"/>
        <v>2.2800000000000002</v>
      </c>
      <c r="Q10" s="153">
        <f t="shared" si="2"/>
        <v>8.437233047036214</v>
      </c>
      <c r="R10" s="154">
        <f t="shared" si="3"/>
        <v>13.119994721416621</v>
      </c>
      <c r="S10" s="155">
        <f t="shared" si="4"/>
        <v>2534.8693247849815</v>
      </c>
      <c r="T10" s="160">
        <f t="shared" si="5"/>
        <v>1410.0615429212976</v>
      </c>
      <c r="U10" s="1027">
        <v>2</v>
      </c>
      <c r="V10" s="152" t="s">
        <v>209</v>
      </c>
      <c r="W10" s="152">
        <v>6.3</v>
      </c>
      <c r="X10" s="152">
        <v>11</v>
      </c>
      <c r="Y10" s="152">
        <v>35</v>
      </c>
      <c r="Z10" s="152">
        <v>6.3</v>
      </c>
      <c r="AA10" s="154">
        <v>6.82</v>
      </c>
      <c r="AB10" s="152"/>
      <c r="AC10" s="152">
        <v>5</v>
      </c>
      <c r="AD10" s="274">
        <f t="shared" si="6"/>
        <v>13.261111111111111</v>
      </c>
      <c r="AE10" s="273">
        <f t="shared" si="7"/>
        <v>21.62473795479281</v>
      </c>
      <c r="AF10" s="274">
        <f t="shared" si="8"/>
        <v>26.342374111603515</v>
      </c>
      <c r="AG10" s="157">
        <f t="shared" si="9"/>
        <v>0.70064150973528705</v>
      </c>
      <c r="AH10" s="158">
        <f t="shared" si="10"/>
        <v>0.85349292121595388</v>
      </c>
      <c r="AI10" s="360">
        <f t="shared" si="11"/>
        <v>989.01930195431726</v>
      </c>
      <c r="AJ10" s="155">
        <f t="shared" si="12"/>
        <v>702.29053469599614</v>
      </c>
      <c r="AK10" s="155">
        <f t="shared" si="13"/>
        <v>585.24211224666351</v>
      </c>
      <c r="AL10" s="160">
        <f t="shared" si="14"/>
        <v>468.19368979733076</v>
      </c>
      <c r="AM10" s="360">
        <f t="shared" si="15"/>
        <v>4266.7237262163662</v>
      </c>
      <c r="AN10" s="160">
        <f t="shared" si="16"/>
        <v>3690.7160231771572</v>
      </c>
    </row>
    <row r="11" spans="1:40" ht="12.75" customHeight="1" x14ac:dyDescent="0.2">
      <c r="A11" s="161">
        <v>7</v>
      </c>
      <c r="B11" s="2358" t="s">
        <v>165</v>
      </c>
      <c r="C11" s="2558" t="s">
        <v>341</v>
      </c>
      <c r="D11" s="673">
        <v>1.3</v>
      </c>
      <c r="E11" s="673" t="s">
        <v>39</v>
      </c>
      <c r="F11" s="673" t="s">
        <v>109</v>
      </c>
      <c r="G11" s="1027">
        <v>6.0369999999999999</v>
      </c>
      <c r="H11" s="272">
        <v>10.763</v>
      </c>
      <c r="I11" s="270"/>
      <c r="J11" s="148">
        <v>10.6</v>
      </c>
      <c r="K11" s="148"/>
      <c r="L11" s="152"/>
      <c r="M11" s="152"/>
      <c r="N11" s="272"/>
      <c r="O11" s="273">
        <f t="shared" si="0"/>
        <v>2.6393999999999997</v>
      </c>
      <c r="P11" s="152">
        <f>0.4*SUM(I11:N11)</f>
        <v>4.24</v>
      </c>
      <c r="Q11" s="153">
        <f t="shared" si="2"/>
        <v>10.610521257695119</v>
      </c>
      <c r="R11" s="154">
        <f t="shared" si="3"/>
        <v>15.233398877466579</v>
      </c>
      <c r="S11" s="155">
        <f t="shared" si="4"/>
        <v>2015.6675357945696</v>
      </c>
      <c r="T11" s="160">
        <f t="shared" si="5"/>
        <v>1214.4367877982513</v>
      </c>
      <c r="U11" s="1027">
        <v>1</v>
      </c>
      <c r="V11" s="152" t="s">
        <v>50</v>
      </c>
      <c r="W11" s="152">
        <v>6.3</v>
      </c>
      <c r="X11" s="152">
        <v>11</v>
      </c>
      <c r="Y11" s="152">
        <v>35</v>
      </c>
      <c r="Z11" s="152">
        <v>6.3</v>
      </c>
      <c r="AA11" s="154">
        <v>7.69</v>
      </c>
      <c r="AB11" s="152"/>
      <c r="AC11" s="152">
        <v>10</v>
      </c>
      <c r="AD11" s="274">
        <f t="shared" si="6"/>
        <v>14.952777777777781</v>
      </c>
      <c r="AE11" s="273">
        <f t="shared" si="7"/>
        <v>25.367461817770604</v>
      </c>
      <c r="AF11" s="274">
        <f t="shared" si="8"/>
        <v>30.071831580926446</v>
      </c>
      <c r="AG11" s="157">
        <f t="shared" si="9"/>
        <v>0.82190576289576756</v>
      </c>
      <c r="AH11" s="158">
        <f t="shared" si="10"/>
        <v>0.97432734322201675</v>
      </c>
      <c r="AI11" s="360">
        <f t="shared" si="11"/>
        <v>843.09906094002031</v>
      </c>
      <c r="AJ11" s="155">
        <f t="shared" si="12"/>
        <v>615.19365557147933</v>
      </c>
      <c r="AK11" s="155">
        <f t="shared" si="13"/>
        <v>512.66137964289942</v>
      </c>
      <c r="AL11" s="160">
        <f t="shared" si="14"/>
        <v>410.12910371431957</v>
      </c>
      <c r="AM11" s="360">
        <f t="shared" si="15"/>
        <v>3737.5718976204726</v>
      </c>
      <c r="AN11" s="160">
        <f t="shared" si="16"/>
        <v>3232.9996914417088</v>
      </c>
    </row>
    <row r="12" spans="1:40" ht="12.75" customHeight="1" x14ac:dyDescent="0.2">
      <c r="A12" s="161">
        <v>7</v>
      </c>
      <c r="B12" s="2359"/>
      <c r="C12" s="2559"/>
      <c r="D12" s="673">
        <v>1.3</v>
      </c>
      <c r="E12" s="673" t="s">
        <v>39</v>
      </c>
      <c r="F12" s="673" t="s">
        <v>109</v>
      </c>
      <c r="G12" s="1027">
        <v>6.0369999999999999</v>
      </c>
      <c r="H12" s="272">
        <v>10.763</v>
      </c>
      <c r="I12" s="270"/>
      <c r="J12" s="148">
        <v>10.4</v>
      </c>
      <c r="K12" s="148"/>
      <c r="L12" s="152"/>
      <c r="M12" s="152"/>
      <c r="N12" s="272"/>
      <c r="O12" s="273">
        <f t="shared" si="0"/>
        <v>2.5895999999999999</v>
      </c>
      <c r="P12" s="152">
        <f>0.4*SUM(I12:N12)</f>
        <v>4.16</v>
      </c>
      <c r="Q12" s="153">
        <f t="shared" si="2"/>
        <v>10.520686154429281</v>
      </c>
      <c r="R12" s="154">
        <f t="shared" si="3"/>
        <v>15.146021165969628</v>
      </c>
      <c r="S12" s="155">
        <f t="shared" si="4"/>
        <v>2032.8791224315751</v>
      </c>
      <c r="T12" s="160">
        <f t="shared" si="5"/>
        <v>1221.4428989156675</v>
      </c>
      <c r="U12" s="1027">
        <v>2</v>
      </c>
      <c r="V12" s="152" t="s">
        <v>50</v>
      </c>
      <c r="W12" s="152">
        <v>6.3</v>
      </c>
      <c r="X12" s="152">
        <v>11</v>
      </c>
      <c r="Y12" s="152">
        <v>35</v>
      </c>
      <c r="Z12" s="152">
        <v>6.3</v>
      </c>
      <c r="AA12" s="154">
        <v>7.63</v>
      </c>
      <c r="AB12" s="152"/>
      <c r="AC12" s="152">
        <v>10</v>
      </c>
      <c r="AD12" s="274">
        <f t="shared" si="6"/>
        <v>14.836111111111109</v>
      </c>
      <c r="AE12" s="273">
        <f t="shared" si="7"/>
        <v>25.166697837841866</v>
      </c>
      <c r="AF12" s="274">
        <f t="shared" si="8"/>
        <v>29.871570468983659</v>
      </c>
      <c r="AG12" s="157">
        <f t="shared" si="9"/>
        <v>0.81540100994607645</v>
      </c>
      <c r="AH12" s="158">
        <f t="shared" si="10"/>
        <v>0.9678388831950705</v>
      </c>
      <c r="AI12" s="360">
        <f t="shared" si="11"/>
        <v>849.82477140228002</v>
      </c>
      <c r="AJ12" s="155">
        <f t="shared" si="12"/>
        <v>619.31795715960016</v>
      </c>
      <c r="AK12" s="155">
        <f t="shared" si="13"/>
        <v>516.09829763300013</v>
      </c>
      <c r="AL12" s="160">
        <f t="shared" si="14"/>
        <v>412.8786381064001</v>
      </c>
      <c r="AM12" s="360">
        <f t="shared" si="15"/>
        <v>3762.6288428172693</v>
      </c>
      <c r="AN12" s="160">
        <f t="shared" si="16"/>
        <v>3254.6739490369382</v>
      </c>
    </row>
    <row r="13" spans="1:40" ht="12.75" customHeight="1" x14ac:dyDescent="0.2">
      <c r="A13" s="161">
        <v>7</v>
      </c>
      <c r="B13" s="2358" t="s">
        <v>169</v>
      </c>
      <c r="C13" s="2558" t="s">
        <v>342</v>
      </c>
      <c r="D13" s="673">
        <v>1.3</v>
      </c>
      <c r="E13" s="673" t="s">
        <v>39</v>
      </c>
      <c r="F13" s="673" t="s">
        <v>109</v>
      </c>
      <c r="G13" s="1027">
        <v>6.0369999999999999</v>
      </c>
      <c r="H13" s="272">
        <v>10.763</v>
      </c>
      <c r="I13" s="270"/>
      <c r="J13" s="148">
        <v>6.18</v>
      </c>
      <c r="K13" s="148"/>
      <c r="L13" s="152"/>
      <c r="M13" s="152"/>
      <c r="N13" s="272"/>
      <c r="O13" s="273">
        <f>0.314*I13+0.249*J13+0.195*L13+0.159*M13+0.06*N13</f>
        <v>1.5388199999999999</v>
      </c>
      <c r="P13" s="152">
        <f>0.4*SUM(I13:N13)</f>
        <v>2.472</v>
      </c>
      <c r="Q13" s="153">
        <f>SQRT(POWER(O13,2)+POWER(P13+G13,2))</f>
        <v>8.6470253840497087</v>
      </c>
      <c r="R13" s="154">
        <f>SQRT(POWER(O13,2)+POWER(P13+H13,2))</f>
        <v>13.324158209523031</v>
      </c>
      <c r="S13" s="155">
        <f t="shared" si="4"/>
        <v>2473.3688508010132</v>
      </c>
      <c r="T13" s="160">
        <f t="shared" si="5"/>
        <v>1388.4554437951431</v>
      </c>
      <c r="U13" s="546">
        <v>1</v>
      </c>
      <c r="V13" s="152" t="s">
        <v>122</v>
      </c>
      <c r="W13" s="152">
        <v>4</v>
      </c>
      <c r="X13" s="152">
        <v>11</v>
      </c>
      <c r="Y13" s="152">
        <v>35</v>
      </c>
      <c r="Z13" s="152">
        <v>6.3</v>
      </c>
      <c r="AA13" s="154">
        <v>7.5</v>
      </c>
      <c r="AB13" s="152"/>
      <c r="AC13" s="152">
        <v>10</v>
      </c>
      <c r="AD13" s="274">
        <f>AA13/100*Y13*Y13/W13</f>
        <v>22.96875</v>
      </c>
      <c r="AE13" s="273">
        <f t="shared" si="7"/>
        <v>31.515340900185421</v>
      </c>
      <c r="AF13" s="274">
        <f t="shared" si="8"/>
        <v>36.236438581280304</v>
      </c>
      <c r="AG13" s="157">
        <f>SQRT(POWER((AD13+P13+G13),2)+POWER(O13,2))*POWER(6.3/35,2)</f>
        <v>1.0210970451660075</v>
      </c>
      <c r="AH13" s="158">
        <f t="shared" si="10"/>
        <v>1.1740606100334818</v>
      </c>
      <c r="AI13" s="360">
        <f t="shared" si="11"/>
        <v>678.63087074740758</v>
      </c>
      <c r="AJ13" s="155">
        <f t="shared" si="12"/>
        <v>510.53582317433029</v>
      </c>
      <c r="AK13" s="155">
        <f>AJ13/1.2</f>
        <v>425.44651931194193</v>
      </c>
      <c r="AL13" s="160">
        <f>AJ13/1.5</f>
        <v>340.35721544955351</v>
      </c>
      <c r="AM13" s="360">
        <f t="shared" si="15"/>
        <v>3101.7295580727937</v>
      </c>
      <c r="AN13" s="160">
        <f t="shared" si="16"/>
        <v>2682.9960677329668</v>
      </c>
    </row>
    <row r="14" spans="1:40" ht="12.75" customHeight="1" x14ac:dyDescent="0.2">
      <c r="A14" s="161">
        <v>7</v>
      </c>
      <c r="B14" s="2359"/>
      <c r="C14" s="2559"/>
      <c r="D14" s="673">
        <v>1.3</v>
      </c>
      <c r="E14" s="673" t="s">
        <v>39</v>
      </c>
      <c r="F14" s="673" t="s">
        <v>109</v>
      </c>
      <c r="G14" s="1027">
        <v>6.0369999999999999</v>
      </c>
      <c r="H14" s="272">
        <v>10.763</v>
      </c>
      <c r="I14" s="270"/>
      <c r="J14" s="148">
        <v>5.98</v>
      </c>
      <c r="K14" s="148"/>
      <c r="L14" s="152"/>
      <c r="M14" s="152"/>
      <c r="N14" s="272"/>
      <c r="O14" s="273">
        <f>0.314*I14+0.249*J14+0.195*L14+0.159*M14+0.06*N14</f>
        <v>1.48902</v>
      </c>
      <c r="P14" s="152">
        <f>0.4*SUM(I14:N14)</f>
        <v>2.3920000000000003</v>
      </c>
      <c r="Q14" s="153">
        <f>SQRT(POWER(O14,2)+POWER(P14+G14,2))</f>
        <v>8.5595105911728382</v>
      </c>
      <c r="R14" s="154">
        <f>SQRT(POWER(O14,2)+POWER(P14+H14,2))</f>
        <v>13.239003193609406</v>
      </c>
      <c r="S14" s="155">
        <f t="shared" si="4"/>
        <v>2498.6572548961235</v>
      </c>
      <c r="T14" s="160">
        <f t="shared" si="5"/>
        <v>1397.3861724672843</v>
      </c>
      <c r="U14" s="1027">
        <v>2</v>
      </c>
      <c r="V14" s="152" t="s">
        <v>122</v>
      </c>
      <c r="W14" s="152">
        <v>4</v>
      </c>
      <c r="X14" s="152">
        <v>11</v>
      </c>
      <c r="Y14" s="152">
        <v>35</v>
      </c>
      <c r="Z14" s="152">
        <v>6.3</v>
      </c>
      <c r="AA14" s="154">
        <v>7.5</v>
      </c>
      <c r="AB14" s="152"/>
      <c r="AC14" s="152">
        <v>10</v>
      </c>
      <c r="AD14" s="274">
        <f>AA14/100*Y14*Y14/W14</f>
        <v>22.96875</v>
      </c>
      <c r="AE14" s="273">
        <f t="shared" si="7"/>
        <v>31.433038122696633</v>
      </c>
      <c r="AF14" s="274">
        <f t="shared" si="8"/>
        <v>36.154425657489014</v>
      </c>
      <c r="AG14" s="157">
        <f t="shared" si="9"/>
        <v>1.0184304351753708</v>
      </c>
      <c r="AH14" s="158">
        <f t="shared" si="10"/>
        <v>1.171403391302644</v>
      </c>
      <c r="AI14" s="360">
        <f t="shared" si="11"/>
        <v>680.40776566078262</v>
      </c>
      <c r="AJ14" s="155">
        <f t="shared" si="12"/>
        <v>511.69392580761178</v>
      </c>
      <c r="AK14" s="155">
        <f>AJ14/1.2</f>
        <v>426.4116048396765</v>
      </c>
      <c r="AL14" s="160">
        <f>AJ14/1.5</f>
        <v>341.12928387174117</v>
      </c>
      <c r="AM14" s="360">
        <f t="shared" si="15"/>
        <v>3108.765540673578</v>
      </c>
      <c r="AN14" s="160">
        <f t="shared" si="16"/>
        <v>2689.0821926826447</v>
      </c>
    </row>
    <row r="15" spans="1:40" ht="12.75" customHeight="1" x14ac:dyDescent="0.2">
      <c r="A15" s="161">
        <v>7</v>
      </c>
      <c r="B15" s="2358" t="s">
        <v>156</v>
      </c>
      <c r="C15" s="2561" t="s">
        <v>43</v>
      </c>
      <c r="D15" s="673">
        <v>2.4</v>
      </c>
      <c r="E15" s="673" t="s">
        <v>39</v>
      </c>
      <c r="F15" s="673" t="s">
        <v>109</v>
      </c>
      <c r="G15" s="1027">
        <v>6.0369999999999999</v>
      </c>
      <c r="H15" s="272">
        <v>10.763</v>
      </c>
      <c r="I15" s="270"/>
      <c r="J15" s="148">
        <v>16.3</v>
      </c>
      <c r="K15" s="148"/>
      <c r="L15" s="152"/>
      <c r="M15" s="152"/>
      <c r="N15" s="272"/>
      <c r="O15" s="273">
        <f t="shared" si="0"/>
        <v>4.0587</v>
      </c>
      <c r="P15" s="152">
        <f t="shared" si="1"/>
        <v>6.5200000000000005</v>
      </c>
      <c r="Q15" s="153">
        <f t="shared" si="2"/>
        <v>13.196639522620902</v>
      </c>
      <c r="R15" s="154">
        <f t="shared" si="3"/>
        <v>17.753172524650349</v>
      </c>
      <c r="S15" s="155">
        <f t="shared" si="4"/>
        <v>1620.6613206592024</v>
      </c>
      <c r="T15" s="160">
        <f t="shared" si="5"/>
        <v>1042.0672685015975</v>
      </c>
      <c r="U15" s="1027">
        <v>1</v>
      </c>
      <c r="V15" s="152" t="s">
        <v>210</v>
      </c>
      <c r="W15" s="152">
        <v>4</v>
      </c>
      <c r="X15" s="152">
        <v>11</v>
      </c>
      <c r="Y15" s="152">
        <v>35</v>
      </c>
      <c r="Z15" s="152">
        <v>6.3</v>
      </c>
      <c r="AA15" s="154">
        <v>6.14</v>
      </c>
      <c r="AB15" s="152"/>
      <c r="AC15" s="152">
        <v>5</v>
      </c>
      <c r="AD15" s="274">
        <f t="shared" si="6"/>
        <v>18.803750000000001</v>
      </c>
      <c r="AE15" s="273">
        <f t="shared" si="7"/>
        <v>31.622297295618797</v>
      </c>
      <c r="AF15" s="274">
        <f t="shared" si="8"/>
        <v>36.314275034103325</v>
      </c>
      <c r="AG15" s="157">
        <f t="shared" si="9"/>
        <v>1.0245624323780489</v>
      </c>
      <c r="AH15" s="158">
        <f t="shared" si="10"/>
        <v>1.1765825111049477</v>
      </c>
      <c r="AI15" s="360">
        <f t="shared" si="11"/>
        <v>676.33553113035146</v>
      </c>
      <c r="AJ15" s="155">
        <f t="shared" si="12"/>
        <v>509.44153456530108</v>
      </c>
      <c r="AK15" s="155">
        <f t="shared" si="13"/>
        <v>424.53461213775091</v>
      </c>
      <c r="AL15" s="160">
        <f t="shared" si="14"/>
        <v>339.62768971020074</v>
      </c>
      <c r="AM15" s="360">
        <f t="shared" si="15"/>
        <v>3095.0812737220817</v>
      </c>
      <c r="AN15" s="160">
        <f t="shared" si="16"/>
        <v>2677.2453017696002</v>
      </c>
    </row>
    <row r="16" spans="1:40" ht="12.75" customHeight="1" x14ac:dyDescent="0.2">
      <c r="A16" s="144">
        <v>7</v>
      </c>
      <c r="B16" s="2307"/>
      <c r="C16" s="2563"/>
      <c r="D16" s="648">
        <v>2.4</v>
      </c>
      <c r="E16" s="648" t="s">
        <v>39</v>
      </c>
      <c r="F16" s="648" t="s">
        <v>109</v>
      </c>
      <c r="G16" s="1047">
        <v>6.0369999999999999</v>
      </c>
      <c r="H16" s="342">
        <v>10.763</v>
      </c>
      <c r="I16" s="283"/>
      <c r="J16" s="623">
        <v>16.7</v>
      </c>
      <c r="K16" s="623"/>
      <c r="L16" s="276"/>
      <c r="M16" s="276"/>
      <c r="N16" s="342"/>
      <c r="O16" s="286">
        <f t="shared" si="0"/>
        <v>4.1582999999999997</v>
      </c>
      <c r="P16" s="276">
        <f>0.4*SUM(I16:N16)</f>
        <v>6.68</v>
      </c>
      <c r="Q16" s="287">
        <f t="shared" si="2"/>
        <v>13.379594459100767</v>
      </c>
      <c r="R16" s="288">
        <f t="shared" si="3"/>
        <v>17.931807156279589</v>
      </c>
      <c r="S16" s="292">
        <f t="shared" si="4"/>
        <v>1598.5001116716689</v>
      </c>
      <c r="T16" s="318">
        <f t="shared" si="5"/>
        <v>1031.6863124150559</v>
      </c>
      <c r="U16" s="1047">
        <v>2</v>
      </c>
      <c r="V16" s="276" t="s">
        <v>210</v>
      </c>
      <c r="W16" s="276">
        <v>4</v>
      </c>
      <c r="X16" s="276">
        <v>11</v>
      </c>
      <c r="Y16" s="276">
        <v>35</v>
      </c>
      <c r="Z16" s="276">
        <v>6.3</v>
      </c>
      <c r="AA16" s="288">
        <v>6.14</v>
      </c>
      <c r="AB16" s="276"/>
      <c r="AC16" s="276">
        <v>5</v>
      </c>
      <c r="AD16" s="290">
        <f t="shared" si="6"/>
        <v>18.803750000000001</v>
      </c>
      <c r="AE16" s="286">
        <f t="shared" si="7"/>
        <v>31.793853799948504</v>
      </c>
      <c r="AF16" s="290">
        <f t="shared" si="8"/>
        <v>36.484494575812612</v>
      </c>
      <c r="AG16" s="181">
        <f t="shared" si="9"/>
        <v>1.0301208631183314</v>
      </c>
      <c r="AH16" s="182">
        <f t="shared" si="10"/>
        <v>1.1820976242563286</v>
      </c>
      <c r="AI16" s="603">
        <f t="shared" si="11"/>
        <v>672.68609120385588</v>
      </c>
      <c r="AJ16" s="292">
        <f t="shared" si="12"/>
        <v>507.06471927569396</v>
      </c>
      <c r="AK16" s="292">
        <f t="shared" si="13"/>
        <v>422.55393272974499</v>
      </c>
      <c r="AL16" s="318">
        <f t="shared" si="14"/>
        <v>338.04314618379595</v>
      </c>
      <c r="AM16" s="603">
        <f t="shared" si="15"/>
        <v>3080.6410759862674</v>
      </c>
      <c r="AN16" s="318">
        <f t="shared" si="16"/>
        <v>2664.7545307281212</v>
      </c>
    </row>
    <row r="17" spans="1:40" ht="12.75" customHeight="1" x14ac:dyDescent="0.2">
      <c r="A17" s="161">
        <v>7</v>
      </c>
      <c r="B17" s="2556" t="s">
        <v>185</v>
      </c>
      <c r="C17" s="2555" t="s">
        <v>342</v>
      </c>
      <c r="D17" s="673">
        <v>2.4</v>
      </c>
      <c r="E17" s="673" t="s">
        <v>39</v>
      </c>
      <c r="F17" s="673" t="s">
        <v>109</v>
      </c>
      <c r="G17" s="1027">
        <v>6.0369999999999999</v>
      </c>
      <c r="H17" s="272">
        <v>10.763</v>
      </c>
      <c r="I17" s="270"/>
      <c r="J17" s="148">
        <v>14.88</v>
      </c>
      <c r="K17" s="1299">
        <v>4.8000000000000001E-2</v>
      </c>
      <c r="L17" s="152"/>
      <c r="M17" s="152"/>
      <c r="N17" s="272"/>
      <c r="O17" s="273">
        <f>0.314*I17+0.249*J17+0.153*K17+0.195*L17+0.159*M17+0.06*N17</f>
        <v>3.7124639999999998</v>
      </c>
      <c r="P17" s="152">
        <f>0.4*SUM(I17:J17)+0.209*K17</f>
        <v>5.9620320000000007</v>
      </c>
      <c r="Q17" s="153">
        <f t="shared" ref="Q17:Q22" si="17">SQRT(POWER(O17,2)+POWER(P17+G17,2))</f>
        <v>12.560221251567187</v>
      </c>
      <c r="R17" s="154">
        <f t="shared" ref="R17:R22" si="18">SQRT(POWER(O17,2)+POWER(P17+H17,2))</f>
        <v>17.132106827600627</v>
      </c>
      <c r="S17" s="155">
        <f t="shared" si="4"/>
        <v>1702.7791794930081</v>
      </c>
      <c r="T17" s="160">
        <f t="shared" si="5"/>
        <v>1079.8438385987433</v>
      </c>
      <c r="U17" s="1027">
        <v>1</v>
      </c>
      <c r="V17" s="152" t="s">
        <v>195</v>
      </c>
      <c r="W17" s="152">
        <v>6.3</v>
      </c>
      <c r="X17" s="152">
        <v>11</v>
      </c>
      <c r="Y17" s="152">
        <v>35</v>
      </c>
      <c r="Z17" s="152">
        <v>6.3</v>
      </c>
      <c r="AA17" s="154">
        <v>8.06</v>
      </c>
      <c r="AB17" s="152"/>
      <c r="AC17" s="152">
        <v>10</v>
      </c>
      <c r="AD17" s="274">
        <f t="shared" ref="AD17:AD22" si="19">AA17/100*Y17*Y17/W17</f>
        <v>15.672222222222222</v>
      </c>
      <c r="AE17" s="273">
        <f t="shared" si="7"/>
        <v>27.919181563615851</v>
      </c>
      <c r="AF17" s="274">
        <f t="shared" si="8"/>
        <v>32.60926969575663</v>
      </c>
      <c r="AG17" s="157">
        <f t="shared" si="9"/>
        <v>0.90458148266115357</v>
      </c>
      <c r="AH17" s="158">
        <f t="shared" si="10"/>
        <v>1.0565403381425147</v>
      </c>
      <c r="AI17" s="360">
        <f t="shared" si="11"/>
        <v>766.04262873042194</v>
      </c>
      <c r="AJ17" s="155">
        <f t="shared" si="12"/>
        <v>567.32334617133006</v>
      </c>
      <c r="AK17" s="155">
        <f t="shared" ref="AK17:AK22" si="20">AJ17/1.2</f>
        <v>472.76945514277509</v>
      </c>
      <c r="AL17" s="160">
        <f t="shared" ref="AL17:AL22" si="21">AJ17/1.5</f>
        <v>378.21556411422006</v>
      </c>
      <c r="AM17" s="360">
        <f t="shared" si="15"/>
        <v>3446.738724157085</v>
      </c>
      <c r="AN17" s="160">
        <f t="shared" si="16"/>
        <v>2981.4289963958786</v>
      </c>
    </row>
    <row r="18" spans="1:40" ht="12.75" customHeight="1" x14ac:dyDescent="0.2">
      <c r="A18" s="161">
        <v>7</v>
      </c>
      <c r="B18" s="2556"/>
      <c r="C18" s="2555"/>
      <c r="D18" s="673">
        <v>2.4</v>
      </c>
      <c r="E18" s="673" t="s">
        <v>39</v>
      </c>
      <c r="F18" s="673" t="s">
        <v>109</v>
      </c>
      <c r="G18" s="1027">
        <v>6.0369999999999999</v>
      </c>
      <c r="H18" s="272">
        <v>10.763</v>
      </c>
      <c r="I18" s="270"/>
      <c r="J18" s="148">
        <v>14.48</v>
      </c>
      <c r="K18" s="148"/>
      <c r="L18" s="152"/>
      <c r="M18" s="152"/>
      <c r="N18" s="272"/>
      <c r="O18" s="273">
        <f>0.314*I18+0.249*J18+0.195*L18+0.159*M18+0.06*N18</f>
        <v>3.6055200000000003</v>
      </c>
      <c r="P18" s="152">
        <f>0.4*SUM(I18:N18)</f>
        <v>5.7920000000000007</v>
      </c>
      <c r="Q18" s="153">
        <f t="shared" si="17"/>
        <v>12.366285435424821</v>
      </c>
      <c r="R18" s="154">
        <f t="shared" si="18"/>
        <v>16.943075266031251</v>
      </c>
      <c r="S18" s="155">
        <f t="shared" si="4"/>
        <v>1729.4832266872625</v>
      </c>
      <c r="T18" s="160">
        <f t="shared" si="5"/>
        <v>1091.891507859272</v>
      </c>
      <c r="U18" s="1027">
        <v>2</v>
      </c>
      <c r="V18" s="152" t="s">
        <v>195</v>
      </c>
      <c r="W18" s="152">
        <v>6.3</v>
      </c>
      <c r="X18" s="152">
        <v>11</v>
      </c>
      <c r="Y18" s="152">
        <v>35</v>
      </c>
      <c r="Z18" s="152">
        <v>6.3</v>
      </c>
      <c r="AA18" s="154">
        <v>7.32</v>
      </c>
      <c r="AB18" s="152"/>
      <c r="AC18" s="152">
        <v>10</v>
      </c>
      <c r="AD18" s="274">
        <f t="shared" si="19"/>
        <v>14.233333333333333</v>
      </c>
      <c r="AE18" s="273">
        <f t="shared" si="7"/>
        <v>26.31054908678604</v>
      </c>
      <c r="AF18" s="274">
        <f t="shared" si="8"/>
        <v>30.998729714535795</v>
      </c>
      <c r="AG18" s="157">
        <f t="shared" si="9"/>
        <v>0.85246179041186765</v>
      </c>
      <c r="AH18" s="158">
        <f t="shared" si="10"/>
        <v>1.0043588427509598</v>
      </c>
      <c r="AI18" s="360">
        <f t="shared" si="11"/>
        <v>812.87863535069903</v>
      </c>
      <c r="AJ18" s="155">
        <f t="shared" si="12"/>
        <v>596.79864853704169</v>
      </c>
      <c r="AK18" s="155">
        <f t="shared" si="20"/>
        <v>497.33220711420142</v>
      </c>
      <c r="AL18" s="160">
        <f t="shared" si="21"/>
        <v>397.8657656913611</v>
      </c>
      <c r="AM18" s="360">
        <f t="shared" si="15"/>
        <v>3625.8141434144768</v>
      </c>
      <c r="AN18" s="160">
        <f t="shared" si="16"/>
        <v>3136.3292340535227</v>
      </c>
    </row>
    <row r="19" spans="1:40" ht="12.75" customHeight="1" x14ac:dyDescent="0.2">
      <c r="A19" s="161">
        <v>7</v>
      </c>
      <c r="B19" s="2556" t="s">
        <v>545</v>
      </c>
      <c r="C19" s="2555" t="s">
        <v>342</v>
      </c>
      <c r="D19" s="673">
        <v>2.4</v>
      </c>
      <c r="E19" s="673" t="s">
        <v>39</v>
      </c>
      <c r="F19" s="673" t="s">
        <v>109</v>
      </c>
      <c r="G19" s="1027">
        <v>6.0369999999999999</v>
      </c>
      <c r="H19" s="272">
        <v>10.763</v>
      </c>
      <c r="I19" s="270"/>
      <c r="J19" s="148">
        <v>32.979999999999997</v>
      </c>
      <c r="K19" s="1299">
        <v>4.8000000000000001E-2</v>
      </c>
      <c r="L19" s="152"/>
      <c r="M19" s="152"/>
      <c r="N19" s="272"/>
      <c r="O19" s="273">
        <f>0.314*I19+0.249*J19+0.153*K19+0.195*L19+0.159*M19+0.06*N19</f>
        <v>8.2193639999999988</v>
      </c>
      <c r="P19" s="152">
        <f>0.4*SUM(I19:J19)+0.209*K19</f>
        <v>13.202032000000001</v>
      </c>
      <c r="Q19" s="153">
        <f t="shared" si="17"/>
        <v>20.921240327990116</v>
      </c>
      <c r="R19" s="154">
        <f t="shared" si="18"/>
        <v>25.335364677176447</v>
      </c>
      <c r="S19" s="155">
        <f>37000/1.73/SQRT(POWER((G19+P19),2)+O19*O19)</f>
        <v>1022.2760649797896</v>
      </c>
      <c r="T19" s="160">
        <f>37000/2/SQRT(O19*O19+POWER((H19+P19),2))</f>
        <v>730.20460671189244</v>
      </c>
      <c r="U19" s="1027">
        <v>1</v>
      </c>
      <c r="V19" s="152" t="s">
        <v>195</v>
      </c>
      <c r="W19" s="152">
        <v>4</v>
      </c>
      <c r="X19" s="152">
        <v>11</v>
      </c>
      <c r="Y19" s="152">
        <v>35</v>
      </c>
      <c r="Z19" s="152">
        <v>6.3</v>
      </c>
      <c r="AA19" s="154">
        <v>6.14</v>
      </c>
      <c r="AB19" s="152"/>
      <c r="AC19" s="152">
        <v>10</v>
      </c>
      <c r="AD19" s="274">
        <f t="shared" si="19"/>
        <v>18.803750000000001</v>
      </c>
      <c r="AE19" s="273">
        <f>SQRT(POWER(O19,2)+POWER(P19+AD19+G19,2))</f>
        <v>38.92057562349278</v>
      </c>
      <c r="AF19" s="274">
        <f>SQRT(POWER(O19,2)+POWER(P19+AD19+H19,2))</f>
        <v>43.551425445420499</v>
      </c>
      <c r="AG19" s="157">
        <f>SQRT(POWER((AD19+P19+G19),2)+POWER(O19,2))*POWER(6.3/35,2)</f>
        <v>1.261026650201166</v>
      </c>
      <c r="AH19" s="158">
        <f>SQRT(POWER((H19+P19+AD19),2)+POWER(O19,2))*POWER(6.3/35,2)</f>
        <v>1.4110661844316241</v>
      </c>
      <c r="AI19" s="273">
        <f>37000/1.73/SQRT(POWER((G19+P19+AD19),2)+O19*O19)</f>
        <v>549.51096931065626</v>
      </c>
      <c r="AJ19" s="154">
        <f>37000/2/SQRT(POWER((H19+P19+AD19),2)+O19*O19)</f>
        <v>424.78517777069231</v>
      </c>
      <c r="AK19" s="155">
        <f t="shared" si="20"/>
        <v>353.98764814224359</v>
      </c>
      <c r="AL19" s="160">
        <f t="shared" si="21"/>
        <v>283.19011851379486</v>
      </c>
      <c r="AM19" s="360">
        <f t="shared" si="15"/>
        <v>2580.7566911375361</v>
      </c>
      <c r="AN19" s="160">
        <f t="shared" si="16"/>
        <v>2232.3545378339686</v>
      </c>
    </row>
    <row r="20" spans="1:40" ht="12.75" customHeight="1" x14ac:dyDescent="0.2">
      <c r="A20" s="161">
        <v>7</v>
      </c>
      <c r="B20" s="2556"/>
      <c r="C20" s="2555"/>
      <c r="D20" s="673">
        <v>2.4</v>
      </c>
      <c r="E20" s="673" t="s">
        <v>39</v>
      </c>
      <c r="F20" s="673" t="s">
        <v>109</v>
      </c>
      <c r="G20" s="1027">
        <v>6.0369999999999999</v>
      </c>
      <c r="H20" s="272">
        <v>10.763</v>
      </c>
      <c r="I20" s="270"/>
      <c r="J20" s="148">
        <v>32.979999999999997</v>
      </c>
      <c r="K20" s="148"/>
      <c r="L20" s="152"/>
      <c r="M20" s="152"/>
      <c r="N20" s="272"/>
      <c r="O20" s="273">
        <f>0.314*I20+0.249*J20+0.195*L20+0.159*M20+0.06*N20</f>
        <v>8.212019999999999</v>
      </c>
      <c r="P20" s="152">
        <f>0.4*SUM(I20:N20)</f>
        <v>13.192</v>
      </c>
      <c r="Q20" s="153">
        <f t="shared" si="17"/>
        <v>20.90912990730126</v>
      </c>
      <c r="R20" s="154">
        <f t="shared" si="18"/>
        <v>25.3234929952485</v>
      </c>
      <c r="S20" s="155">
        <f>37000/1.73/SQRT(POWER((G20+P20),2)+O20*O20)</f>
        <v>1022.8681600723133</v>
      </c>
      <c r="T20" s="160">
        <f>37000/2/SQRT(O20*O20+POWER((H20+P20),2))</f>
        <v>730.54692745077443</v>
      </c>
      <c r="U20" s="1027">
        <v>2</v>
      </c>
      <c r="V20" s="152" t="s">
        <v>195</v>
      </c>
      <c r="W20" s="152">
        <v>4</v>
      </c>
      <c r="X20" s="152">
        <v>11</v>
      </c>
      <c r="Y20" s="152">
        <v>35</v>
      </c>
      <c r="Z20" s="152">
        <v>6.3</v>
      </c>
      <c r="AA20" s="154">
        <v>6.26</v>
      </c>
      <c r="AB20" s="152"/>
      <c r="AC20" s="152">
        <v>10</v>
      </c>
      <c r="AD20" s="274">
        <f t="shared" si="19"/>
        <v>19.171250000000004</v>
      </c>
      <c r="AE20" s="273">
        <f>SQRT(POWER(O20,2)+POWER(P20+AD20+G20,2))</f>
        <v>39.268517575061331</v>
      </c>
      <c r="AF20" s="274">
        <f>SQRT(POWER(O20,2)+POWER(P20+AD20+H20,2))</f>
        <v>43.901147041312036</v>
      </c>
      <c r="AG20" s="157">
        <f>SQRT(POWER((AD20+P20+G20),2)+POWER(O20,2))*POWER(6.3/35,2)</f>
        <v>1.272299969431987</v>
      </c>
      <c r="AH20" s="158">
        <f>SQRT(POWER((H20+P20+AD20),2)+POWER(O20,2))*POWER(6.3/35,2)</f>
        <v>1.4223971641385096</v>
      </c>
      <c r="AI20" s="273">
        <f>37000/1.73/SQRT(POWER((G20+P20+AD20),2)+O20*O20)</f>
        <v>544.64198186531155</v>
      </c>
      <c r="AJ20" s="154">
        <f>37000/2/SQRT(POWER((H20+P20+AD20),2)+O20*O20)</f>
        <v>421.40129009820765</v>
      </c>
      <c r="AK20" s="155">
        <f t="shared" si="20"/>
        <v>351.16774174850639</v>
      </c>
      <c r="AL20" s="160">
        <f t="shared" si="21"/>
        <v>280.93419339880512</v>
      </c>
      <c r="AM20" s="360">
        <f t="shared" si="15"/>
        <v>2560.1980859652604</v>
      </c>
      <c r="AN20" s="160">
        <f t="shared" si="16"/>
        <v>2214.5713443599502</v>
      </c>
    </row>
    <row r="21" spans="1:40" ht="12.75" customHeight="1" x14ac:dyDescent="0.2">
      <c r="A21" s="161">
        <v>7</v>
      </c>
      <c r="B21" s="2556" t="s">
        <v>601</v>
      </c>
      <c r="C21" s="2555" t="s">
        <v>342</v>
      </c>
      <c r="D21" s="673">
        <v>2.4</v>
      </c>
      <c r="E21" s="673" t="s">
        <v>39</v>
      </c>
      <c r="F21" s="673" t="s">
        <v>109</v>
      </c>
      <c r="G21" s="1027">
        <v>6.0369999999999999</v>
      </c>
      <c r="H21" s="272">
        <v>10.763</v>
      </c>
      <c r="I21" s="270"/>
      <c r="J21" s="148">
        <v>32.979999999999997</v>
      </c>
      <c r="K21" s="1299">
        <v>4.8000000000000001E-2</v>
      </c>
      <c r="L21" s="152"/>
      <c r="M21" s="152"/>
      <c r="N21" s="272"/>
      <c r="O21" s="273">
        <f>0.314*I21+0.249*J21+0.153*K21+0.195*L21+0.159*M21+0.06*N21</f>
        <v>8.2193639999999988</v>
      </c>
      <c r="P21" s="152">
        <f>0.4*SUM(I21:J21)+0.209*K21</f>
        <v>13.202032000000001</v>
      </c>
      <c r="Q21" s="153">
        <f t="shared" si="17"/>
        <v>20.921240327990116</v>
      </c>
      <c r="R21" s="154">
        <f t="shared" si="18"/>
        <v>25.335364677176447</v>
      </c>
      <c r="S21" s="1630">
        <f>37000/1.73/SQRT(POWER((G21+P21),2)+O21*O21)</f>
        <v>1022.2760649797896</v>
      </c>
      <c r="T21" s="1631">
        <f>37000/2/SQRT(O21*O21+POWER((H21+P21),2))</f>
        <v>730.20460671189244</v>
      </c>
      <c r="U21" s="1027">
        <v>1</v>
      </c>
      <c r="V21" s="152" t="s">
        <v>195</v>
      </c>
      <c r="W21" s="152">
        <v>6.3</v>
      </c>
      <c r="X21" s="152">
        <v>11</v>
      </c>
      <c r="Y21" s="152">
        <v>35</v>
      </c>
      <c r="Z21" s="152">
        <v>6.3</v>
      </c>
      <c r="AA21" s="154">
        <v>7.55</v>
      </c>
      <c r="AB21" s="152"/>
      <c r="AC21" s="152">
        <v>10</v>
      </c>
      <c r="AD21" s="274">
        <f t="shared" si="19"/>
        <v>14.680555555555555</v>
      </c>
      <c r="AE21" s="273">
        <f>SQRT(POWER(O21,2)+POWER(P21+AD21+G21,2))</f>
        <v>34.901237291871126</v>
      </c>
      <c r="AF21" s="274">
        <f>SQRT(POWER(O21,2)+POWER(P21+AD21+H21,2))</f>
        <v>39.509990914686462</v>
      </c>
      <c r="AG21" s="157">
        <f>SQRT(POWER((AD21+P21+G21),2)+POWER(O21,2))*POWER(6.3/35,2)</f>
        <v>1.1308000882566245</v>
      </c>
      <c r="AH21" s="158">
        <f>SQRT(POWER((H21+P21+AD21),2)+POWER(O21,2))*POWER(6.3/35,2)</f>
        <v>1.2801237056358412</v>
      </c>
      <c r="AI21" s="1628">
        <f>37000/1.73/SQRT(POWER((G21+P21+AD21),2)+O21*O21)</f>
        <v>612.79441350853051</v>
      </c>
      <c r="AJ21" s="1629">
        <f>37000/2/SQRT(POWER((H21+P21+AD21),2)+O21*O21)</f>
        <v>468.23599731892801</v>
      </c>
      <c r="AK21" s="155">
        <f t="shared" si="20"/>
        <v>390.19666443244</v>
      </c>
      <c r="AL21" s="160">
        <f t="shared" si="21"/>
        <v>312.15733154595199</v>
      </c>
      <c r="AM21" s="1632">
        <f>6300/(1.73*AH21)</f>
        <v>2844.7395209363954</v>
      </c>
      <c r="AN21" s="1631">
        <f>SUM(6300/(2*AH21))</f>
        <v>2460.6996856099822</v>
      </c>
    </row>
    <row r="22" spans="1:40" ht="12.75" customHeight="1" thickBot="1" x14ac:dyDescent="0.25">
      <c r="A22" s="196">
        <v>7</v>
      </c>
      <c r="B22" s="2557"/>
      <c r="C22" s="2555"/>
      <c r="D22" s="830">
        <v>2.4</v>
      </c>
      <c r="E22" s="830" t="s">
        <v>39</v>
      </c>
      <c r="F22" s="830" t="s">
        <v>109</v>
      </c>
      <c r="G22" s="1029">
        <v>6.0369999999999999</v>
      </c>
      <c r="H22" s="369">
        <v>10.763</v>
      </c>
      <c r="I22" s="543"/>
      <c r="J22" s="168">
        <v>32.979999999999997</v>
      </c>
      <c r="K22" s="168"/>
      <c r="L22" s="166"/>
      <c r="M22" s="166"/>
      <c r="N22" s="369"/>
      <c r="O22" s="536">
        <f>0.314*I22+0.249*J22+0.195*L22+0.159*M22+0.06*N22</f>
        <v>8.212019999999999</v>
      </c>
      <c r="P22" s="166">
        <f>0.4*SUM(I22:N22)</f>
        <v>13.192</v>
      </c>
      <c r="Q22" s="172">
        <f t="shared" si="17"/>
        <v>20.90912990730126</v>
      </c>
      <c r="R22" s="173">
        <f t="shared" si="18"/>
        <v>25.3234929952485</v>
      </c>
      <c r="S22" s="1635">
        <f>37000/1.73/SQRT(POWER((G22+P22),2)+O22*O22)</f>
        <v>1022.8681600723133</v>
      </c>
      <c r="T22" s="1636">
        <f>37000/2/SQRT(O22*O22+POWER((H22+P22),2))</f>
        <v>730.54692745077443</v>
      </c>
      <c r="U22" s="1029">
        <v>2</v>
      </c>
      <c r="V22" s="166" t="s">
        <v>195</v>
      </c>
      <c r="W22" s="166">
        <v>6.3</v>
      </c>
      <c r="X22" s="166">
        <v>11</v>
      </c>
      <c r="Y22" s="166">
        <v>35</v>
      </c>
      <c r="Z22" s="166">
        <v>6.3</v>
      </c>
      <c r="AA22" s="173">
        <v>7.48</v>
      </c>
      <c r="AB22" s="166"/>
      <c r="AC22" s="166">
        <v>10</v>
      </c>
      <c r="AD22" s="531">
        <f t="shared" si="19"/>
        <v>14.544444444444446</v>
      </c>
      <c r="AE22" s="536">
        <f>SQRT(POWER(O22,2)+POWER(P22+AD22+G22,2))</f>
        <v>34.757485842942891</v>
      </c>
      <c r="AF22" s="531">
        <f>SQRT(POWER(O22,2)+POWER(P22+AD22+H22,2))</f>
        <v>39.365524193274297</v>
      </c>
      <c r="AG22" s="175">
        <f>SQRT(POWER((AD22+P22+G22),2)+POWER(O22,2))*POWER(6.3/35,2)</f>
        <v>1.1261425413113497</v>
      </c>
      <c r="AH22" s="176">
        <f>SQRT(POWER((H22+P22+AD22),2)+POWER(O22,2))*POWER(6.3/35,2)</f>
        <v>1.2754429838620871</v>
      </c>
      <c r="AI22" s="1633">
        <f>37000/1.73/SQRT(POWER((G22+P22+AD22),2)+O22*O22)</f>
        <v>615.32883401394406</v>
      </c>
      <c r="AJ22" s="1634">
        <f>37000/2/SQRT(POWER((H22+P22+AD22),2)+O22*O22)</f>
        <v>469.95436690160403</v>
      </c>
      <c r="AK22" s="174">
        <f t="shared" si="20"/>
        <v>391.62863908467006</v>
      </c>
      <c r="AL22" s="178">
        <f t="shared" si="21"/>
        <v>313.30291126773602</v>
      </c>
      <c r="AM22" s="1637">
        <f>6300/(1.73*AH22)</f>
        <v>2855.1793715489148</v>
      </c>
      <c r="AN22" s="1636">
        <f>SUM(6300/(2*AH22))</f>
        <v>2469.7301563898113</v>
      </c>
    </row>
    <row r="23" spans="1:40" x14ac:dyDescent="0.2">
      <c r="F23" s="187"/>
      <c r="O23" s="188"/>
      <c r="AM23" s="190"/>
      <c r="AN23" s="190"/>
    </row>
    <row r="24" spans="1:40" x14ac:dyDescent="0.2">
      <c r="F24" s="187"/>
      <c r="O24" s="188"/>
      <c r="AM24" s="190"/>
      <c r="AN24" s="190"/>
    </row>
    <row r="25" spans="1:40" x14ac:dyDescent="0.2">
      <c r="F25" s="187"/>
      <c r="O25" s="188"/>
      <c r="AM25" s="190"/>
      <c r="AN25" s="190"/>
    </row>
    <row r="26" spans="1:40" ht="15.75" x14ac:dyDescent="0.2">
      <c r="B26" s="1014" t="s">
        <v>158</v>
      </c>
      <c r="E26" s="2378">
        <v>42648</v>
      </c>
      <c r="F26" s="2378"/>
      <c r="G26" s="188" t="s">
        <v>337</v>
      </c>
      <c r="AM26" s="190"/>
      <c r="AN26" s="190"/>
    </row>
    <row r="27" spans="1:40" x14ac:dyDescent="0.2">
      <c r="B27" s="1077" t="s">
        <v>328</v>
      </c>
      <c r="E27" s="2380" t="s">
        <v>189</v>
      </c>
      <c r="F27" s="2380"/>
      <c r="AM27" s="190"/>
      <c r="AN27" s="190"/>
    </row>
    <row r="28" spans="1:40" x14ac:dyDescent="0.2">
      <c r="AM28" s="190"/>
      <c r="AN28" s="190"/>
    </row>
    <row r="29" spans="1:40" x14ac:dyDescent="0.2">
      <c r="AM29" s="190"/>
      <c r="AN29" s="190"/>
    </row>
    <row r="30" spans="1:40" x14ac:dyDescent="0.2">
      <c r="AM30" s="190"/>
      <c r="AN30" s="190"/>
    </row>
    <row r="31" spans="1:40" x14ac:dyDescent="0.2">
      <c r="AM31" s="190"/>
      <c r="AN31" s="190"/>
    </row>
    <row r="32" spans="1:40" x14ac:dyDescent="0.2">
      <c r="AM32" s="190"/>
      <c r="AN32" s="190"/>
    </row>
    <row r="33" spans="39:40" x14ac:dyDescent="0.2">
      <c r="AM33" s="190"/>
      <c r="AN33" s="190"/>
    </row>
    <row r="34" spans="39:40" x14ac:dyDescent="0.2">
      <c r="AM34" s="190"/>
      <c r="AN34" s="190"/>
    </row>
    <row r="35" spans="39:40" x14ac:dyDescent="0.2">
      <c r="AM35" s="190"/>
      <c r="AN35" s="190"/>
    </row>
    <row r="36" spans="39:40" x14ac:dyDescent="0.2">
      <c r="AM36" s="190"/>
      <c r="AN36" s="190"/>
    </row>
    <row r="37" spans="39:40" x14ac:dyDescent="0.2">
      <c r="AM37" s="190"/>
      <c r="AN37" s="190"/>
    </row>
    <row r="38" spans="39:40" x14ac:dyDescent="0.2">
      <c r="AM38" s="190"/>
      <c r="AN38" s="190"/>
    </row>
    <row r="39" spans="39:40" x14ac:dyDescent="0.2">
      <c r="AM39" s="190"/>
      <c r="AN39" s="190"/>
    </row>
    <row r="40" spans="39:40" x14ac:dyDescent="0.2">
      <c r="AM40" s="190"/>
      <c r="AN40" s="190"/>
    </row>
    <row r="41" spans="39:40" x14ac:dyDescent="0.2">
      <c r="AM41" s="190"/>
      <c r="AN41" s="190"/>
    </row>
    <row r="42" spans="39:40" x14ac:dyDescent="0.2">
      <c r="AM42" s="190"/>
      <c r="AN42" s="190"/>
    </row>
    <row r="43" spans="39:40" x14ac:dyDescent="0.2">
      <c r="AM43" s="190"/>
      <c r="AN43" s="190"/>
    </row>
    <row r="44" spans="39:40" x14ac:dyDescent="0.2">
      <c r="AM44" s="190"/>
      <c r="AN44" s="190"/>
    </row>
    <row r="45" spans="39:40" x14ac:dyDescent="0.2">
      <c r="AM45" s="190"/>
      <c r="AN45" s="190"/>
    </row>
    <row r="46" spans="39:40" x14ac:dyDescent="0.2">
      <c r="AM46" s="190"/>
      <c r="AN46" s="190"/>
    </row>
    <row r="47" spans="39:40" x14ac:dyDescent="0.2">
      <c r="AM47" s="190"/>
      <c r="AN47" s="190"/>
    </row>
    <row r="48" spans="39:40" x14ac:dyDescent="0.2">
      <c r="AM48" s="190"/>
      <c r="AN48" s="190"/>
    </row>
    <row r="49" spans="39:40" x14ac:dyDescent="0.2">
      <c r="AM49" s="190"/>
      <c r="AN49" s="190"/>
    </row>
    <row r="50" spans="39:40" x14ac:dyDescent="0.2">
      <c r="AM50" s="190"/>
      <c r="AN50" s="190"/>
    </row>
    <row r="51" spans="39:40" x14ac:dyDescent="0.2">
      <c r="AM51" s="190"/>
      <c r="AN51" s="190"/>
    </row>
    <row r="52" spans="39:40" x14ac:dyDescent="0.2">
      <c r="AM52" s="190"/>
      <c r="AN52" s="190"/>
    </row>
    <row r="53" spans="39:40" x14ac:dyDescent="0.2">
      <c r="AM53" s="190"/>
      <c r="AN53" s="190"/>
    </row>
    <row r="54" spans="39:40" x14ac:dyDescent="0.2">
      <c r="AM54" s="190"/>
      <c r="AN54" s="190"/>
    </row>
    <row r="55" spans="39:40" x14ac:dyDescent="0.2">
      <c r="AM55" s="190"/>
      <c r="AN55" s="190"/>
    </row>
    <row r="56" spans="39:40" x14ac:dyDescent="0.2">
      <c r="AM56" s="190"/>
      <c r="AN56" s="190"/>
    </row>
    <row r="57" spans="39:40" x14ac:dyDescent="0.2">
      <c r="AM57" s="190"/>
      <c r="AN57" s="190"/>
    </row>
    <row r="58" spans="39:40" x14ac:dyDescent="0.2">
      <c r="AM58" s="190"/>
      <c r="AN58" s="190"/>
    </row>
    <row r="59" spans="39:40" x14ac:dyDescent="0.2">
      <c r="AM59" s="190"/>
      <c r="AN59" s="190"/>
    </row>
    <row r="60" spans="39:40" x14ac:dyDescent="0.2">
      <c r="AM60" s="190"/>
      <c r="AN60" s="190"/>
    </row>
    <row r="61" spans="39:40" x14ac:dyDescent="0.2">
      <c r="AM61" s="190"/>
      <c r="AN61" s="190"/>
    </row>
    <row r="62" spans="39:40" x14ac:dyDescent="0.2">
      <c r="AM62" s="190"/>
      <c r="AN62" s="190"/>
    </row>
    <row r="63" spans="39:40" x14ac:dyDescent="0.2">
      <c r="AM63" s="190"/>
      <c r="AN63" s="190"/>
    </row>
    <row r="64" spans="39:40" x14ac:dyDescent="0.2">
      <c r="AM64" s="190"/>
      <c r="AN64" s="190"/>
    </row>
    <row r="65" spans="39:40" x14ac:dyDescent="0.2">
      <c r="AM65" s="190"/>
      <c r="AN65" s="190"/>
    </row>
    <row r="66" spans="39:40" x14ac:dyDescent="0.2">
      <c r="AM66" s="190"/>
      <c r="AN66" s="190"/>
    </row>
    <row r="67" spans="39:40" x14ac:dyDescent="0.2">
      <c r="AM67" s="190"/>
      <c r="AN67" s="190"/>
    </row>
    <row r="68" spans="39:40" x14ac:dyDescent="0.2">
      <c r="AM68" s="190"/>
      <c r="AN68" s="190"/>
    </row>
    <row r="69" spans="39:40" x14ac:dyDescent="0.2">
      <c r="AM69" s="190"/>
      <c r="AN69" s="190"/>
    </row>
    <row r="70" spans="39:40" x14ac:dyDescent="0.2">
      <c r="AM70" s="190"/>
      <c r="AN70" s="190"/>
    </row>
    <row r="71" spans="39:40" x14ac:dyDescent="0.2">
      <c r="AM71" s="190"/>
      <c r="AN71" s="190"/>
    </row>
    <row r="72" spans="39:40" x14ac:dyDescent="0.2">
      <c r="AM72" s="190"/>
      <c r="AN72" s="190"/>
    </row>
    <row r="73" spans="39:40" x14ac:dyDescent="0.2">
      <c r="AM73" s="190"/>
      <c r="AN73" s="190"/>
    </row>
    <row r="74" spans="39:40" x14ac:dyDescent="0.2">
      <c r="AM74" s="190"/>
      <c r="AN74" s="190"/>
    </row>
    <row r="75" spans="39:40" x14ac:dyDescent="0.2">
      <c r="AM75" s="190"/>
      <c r="AN75" s="190"/>
    </row>
    <row r="76" spans="39:40" x14ac:dyDescent="0.2">
      <c r="AM76" s="190"/>
      <c r="AN76" s="190"/>
    </row>
    <row r="77" spans="39:40" x14ac:dyDescent="0.2">
      <c r="AM77" s="191"/>
      <c r="AN77" s="190"/>
    </row>
    <row r="78" spans="39:40" x14ac:dyDescent="0.2">
      <c r="AM78" s="191"/>
      <c r="AN78" s="190"/>
    </row>
    <row r="79" spans="39:40" x14ac:dyDescent="0.2">
      <c r="AM79" s="191"/>
      <c r="AN79" s="190"/>
    </row>
  </sheetData>
  <mergeCells count="48">
    <mergeCell ref="A2:A4"/>
    <mergeCell ref="C9:C10"/>
    <mergeCell ref="C11:C12"/>
    <mergeCell ref="B9:B10"/>
    <mergeCell ref="B11:B12"/>
    <mergeCell ref="B5:B6"/>
    <mergeCell ref="B7:B8"/>
    <mergeCell ref="C2:C4"/>
    <mergeCell ref="Y2:Y3"/>
    <mergeCell ref="B19:B20"/>
    <mergeCell ref="C19:C20"/>
    <mergeCell ref="I2:N2"/>
    <mergeCell ref="O2:P3"/>
    <mergeCell ref="Q2:R2"/>
    <mergeCell ref="C15:C16"/>
    <mergeCell ref="B13:B14"/>
    <mergeCell ref="S2:T2"/>
    <mergeCell ref="B15:B16"/>
    <mergeCell ref="A1:AN1"/>
    <mergeCell ref="AM2:AN2"/>
    <mergeCell ref="G2:H2"/>
    <mergeCell ref="U2:U4"/>
    <mergeCell ref="AK2:AK3"/>
    <mergeCell ref="C13:C14"/>
    <mergeCell ref="C5:C6"/>
    <mergeCell ref="C7:C8"/>
    <mergeCell ref="AE2:AF2"/>
    <mergeCell ref="AG2:AH2"/>
    <mergeCell ref="AI2:AJ2"/>
    <mergeCell ref="X2:X4"/>
    <mergeCell ref="AA2:AA3"/>
    <mergeCell ref="AB2:AB3"/>
    <mergeCell ref="AL2:AL3"/>
    <mergeCell ref="E26:F26"/>
    <mergeCell ref="E27:F27"/>
    <mergeCell ref="B2:B4"/>
    <mergeCell ref="D2:D4"/>
    <mergeCell ref="E2:E4"/>
    <mergeCell ref="F2:F4"/>
    <mergeCell ref="C17:C18"/>
    <mergeCell ref="B17:B18"/>
    <mergeCell ref="Z2:Z3"/>
    <mergeCell ref="AD2:AD3"/>
    <mergeCell ref="AC2:AC3"/>
    <mergeCell ref="B21:B22"/>
    <mergeCell ref="C21:C22"/>
    <mergeCell ref="W2:W3"/>
    <mergeCell ref="V2:V4"/>
  </mergeCells>
  <phoneticPr fontId="0" type="noConversion"/>
  <pageMargins left="0.27559055118110237" right="0.27559055118110237" top="0.39370078740157483" bottom="0.31496062992125984" header="0.35433070866141736" footer="0.15748031496062992"/>
  <pageSetup paperSize="9" scale="80" orientation="landscape" r:id="rId1"/>
  <headerFooter>
    <oddFooter>&amp;L&amp;Z&amp;F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3D981-0750-4462-9738-48458B34461E}">
  <sheetPr codeName="Лист11"/>
  <dimension ref="A1:AM43"/>
  <sheetViews>
    <sheetView zoomScaleNormal="100" workbookViewId="0">
      <pane xSplit="2" ySplit="4" topLeftCell="F14" activePane="bottomRight" state="frozen"/>
      <selection pane="topRight" activeCell="C1" sqref="C1"/>
      <selection pane="bottomLeft" activeCell="A5" sqref="A5"/>
      <selection pane="bottomRight" activeCell="A21" sqref="A21:IV22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00" hidden="1" customWidth="1"/>
    <col min="4" max="4" width="5.140625" style="186" customWidth="1"/>
    <col min="5" max="5" width="3.140625" style="186" customWidth="1"/>
    <col min="6" max="6" width="15.7109375" style="100" customWidth="1"/>
    <col min="7" max="8" width="7" style="100" customWidth="1"/>
    <col min="9" max="10" width="5.5703125" style="188" customWidth="1"/>
    <col min="11" max="11" width="5.5703125" style="189" customWidth="1"/>
    <col min="12" max="15" width="5.5703125" style="186" customWidth="1"/>
    <col min="16" max="17" width="6.7109375" style="100" customWidth="1"/>
    <col min="18" max="19" width="6.7109375" style="190" customWidth="1"/>
    <col min="20" max="20" width="3.5703125" style="186" customWidth="1"/>
    <col min="21" max="21" width="15.85546875" style="100" customWidth="1"/>
    <col min="22" max="22" width="5.7109375" style="100" customWidth="1"/>
    <col min="23" max="23" width="7.42578125" style="100" customWidth="1"/>
    <col min="24" max="26" width="5.85546875" style="100" customWidth="1"/>
    <col min="27" max="27" width="11.42578125" style="100" customWidth="1"/>
    <col min="28" max="28" width="6.140625" style="186" customWidth="1"/>
    <col min="29" max="29" width="6.140625" style="100" customWidth="1"/>
    <col min="30" max="33" width="6.7109375" style="100" customWidth="1"/>
    <col min="34" max="34" width="10.85546875" style="190" customWidth="1"/>
    <col min="35" max="35" width="13.85546875" style="190" customWidth="1"/>
    <col min="36" max="36" width="6.7109375" style="191" customWidth="1"/>
    <col min="37" max="37" width="6.7109375" style="190" customWidth="1"/>
    <col min="38" max="39" width="6.7109375" style="100" customWidth="1"/>
    <col min="40" max="16384" width="9.140625" style="100"/>
  </cols>
  <sheetData>
    <row r="1" spans="1:39" ht="36.75" customHeight="1" thickBot="1" x14ac:dyDescent="0.25">
      <c r="A1" s="2302" t="s">
        <v>357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</row>
    <row r="2" spans="1:39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320" t="s">
        <v>7</v>
      </c>
      <c r="J2" s="2321"/>
      <c r="K2" s="2321"/>
      <c r="L2" s="2321"/>
      <c r="M2" s="2322"/>
      <c r="N2" s="2323" t="s">
        <v>8</v>
      </c>
      <c r="O2" s="2324"/>
      <c r="P2" s="2327" t="s">
        <v>385</v>
      </c>
      <c r="Q2" s="2327"/>
      <c r="R2" s="2328" t="s">
        <v>388</v>
      </c>
      <c r="S2" s="2329"/>
      <c r="T2" s="2330" t="s">
        <v>9</v>
      </c>
      <c r="U2" s="2333" t="s">
        <v>10</v>
      </c>
      <c r="V2" s="2341" t="s">
        <v>12</v>
      </c>
      <c r="W2" s="2338" t="s">
        <v>13</v>
      </c>
      <c r="X2" s="2341" t="s">
        <v>335</v>
      </c>
      <c r="Y2" s="2341" t="s">
        <v>336</v>
      </c>
      <c r="Z2" s="2460" t="s">
        <v>16</v>
      </c>
      <c r="AA2" s="2341" t="s">
        <v>17</v>
      </c>
      <c r="AB2" s="2341" t="s">
        <v>18</v>
      </c>
      <c r="AC2" s="2345" t="s">
        <v>19</v>
      </c>
      <c r="AD2" s="2321" t="s">
        <v>386</v>
      </c>
      <c r="AE2" s="2321"/>
      <c r="AF2" s="2347" t="s">
        <v>387</v>
      </c>
      <c r="AG2" s="2348"/>
      <c r="AH2" s="2349" t="s">
        <v>382</v>
      </c>
      <c r="AI2" s="2350"/>
      <c r="AJ2" s="2351" t="s">
        <v>20</v>
      </c>
      <c r="AK2" s="2351" t="s">
        <v>21</v>
      </c>
      <c r="AL2" s="2349" t="s">
        <v>383</v>
      </c>
      <c r="AM2" s="2353"/>
    </row>
    <row r="3" spans="1:39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400" t="s">
        <v>24</v>
      </c>
      <c r="J3" s="401" t="s">
        <v>25</v>
      </c>
      <c r="K3" s="402" t="s">
        <v>26</v>
      </c>
      <c r="L3" s="402" t="s">
        <v>27</v>
      </c>
      <c r="M3" s="403" t="s">
        <v>28</v>
      </c>
      <c r="N3" s="2325"/>
      <c r="O3" s="2326"/>
      <c r="P3" s="104" t="s">
        <v>216</v>
      </c>
      <c r="Q3" s="104" t="s">
        <v>217</v>
      </c>
      <c r="R3" s="105" t="s">
        <v>218</v>
      </c>
      <c r="S3" s="110" t="s">
        <v>219</v>
      </c>
      <c r="T3" s="2331"/>
      <c r="U3" s="2334"/>
      <c r="V3" s="2342"/>
      <c r="W3" s="2339"/>
      <c r="X3" s="2342"/>
      <c r="Y3" s="2342"/>
      <c r="Z3" s="2461"/>
      <c r="AA3" s="2342"/>
      <c r="AB3" s="2342"/>
      <c r="AC3" s="2346"/>
      <c r="AD3" s="1021" t="s">
        <v>216</v>
      </c>
      <c r="AE3" s="106" t="s">
        <v>217</v>
      </c>
      <c r="AF3" s="107" t="s">
        <v>216</v>
      </c>
      <c r="AG3" s="108" t="s">
        <v>217</v>
      </c>
      <c r="AH3" s="109" t="s">
        <v>218</v>
      </c>
      <c r="AI3" s="110" t="s">
        <v>219</v>
      </c>
      <c r="AJ3" s="2352"/>
      <c r="AK3" s="2352"/>
      <c r="AL3" s="105" t="s">
        <v>218</v>
      </c>
      <c r="AM3" s="111" t="s">
        <v>219</v>
      </c>
    </row>
    <row r="4" spans="1:39" s="101" customFormat="1" ht="13.5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6" t="s">
        <v>31</v>
      </c>
      <c r="M4" s="117" t="s">
        <v>31</v>
      </c>
      <c r="N4" s="118" t="s">
        <v>30</v>
      </c>
      <c r="O4" s="116" t="s">
        <v>30</v>
      </c>
      <c r="P4" s="116" t="s">
        <v>30</v>
      </c>
      <c r="Q4" s="116" t="s">
        <v>30</v>
      </c>
      <c r="R4" s="119" t="s">
        <v>35</v>
      </c>
      <c r="S4" s="1017" t="s">
        <v>35</v>
      </c>
      <c r="T4" s="2332"/>
      <c r="U4" s="2335"/>
      <c r="V4" s="120" t="s">
        <v>32</v>
      </c>
      <c r="W4" s="2340"/>
      <c r="X4" s="120" t="s">
        <v>33</v>
      </c>
      <c r="Y4" s="120" t="s">
        <v>33</v>
      </c>
      <c r="Z4" s="121" t="s">
        <v>34</v>
      </c>
      <c r="AA4" s="120" t="s">
        <v>35</v>
      </c>
      <c r="AB4" s="120" t="s">
        <v>34</v>
      </c>
      <c r="AC4" s="1025" t="s">
        <v>30</v>
      </c>
      <c r="AD4" s="118" t="s">
        <v>30</v>
      </c>
      <c r="AE4" s="122" t="s">
        <v>30</v>
      </c>
      <c r="AF4" s="123" t="s">
        <v>30</v>
      </c>
      <c r="AG4" s="124" t="s">
        <v>30</v>
      </c>
      <c r="AH4" s="125" t="s">
        <v>35</v>
      </c>
      <c r="AI4" s="119" t="s">
        <v>35</v>
      </c>
      <c r="AJ4" s="119" t="s">
        <v>35</v>
      </c>
      <c r="AK4" s="119" t="s">
        <v>35</v>
      </c>
      <c r="AL4" s="119" t="s">
        <v>35</v>
      </c>
      <c r="AM4" s="126" t="s">
        <v>35</v>
      </c>
    </row>
    <row r="5" spans="1:39" ht="12.75" customHeight="1" x14ac:dyDescent="0.2">
      <c r="A5" s="929">
        <v>8</v>
      </c>
      <c r="B5" s="2306" t="s">
        <v>299</v>
      </c>
      <c r="C5" s="2387" t="s">
        <v>43</v>
      </c>
      <c r="D5" s="649">
        <v>2.4</v>
      </c>
      <c r="E5" s="128" t="s">
        <v>39</v>
      </c>
      <c r="F5" s="655" t="s">
        <v>110</v>
      </c>
      <c r="G5" s="129">
        <v>10.308999999999999</v>
      </c>
      <c r="H5" s="130">
        <v>12.894</v>
      </c>
      <c r="I5" s="131"/>
      <c r="J5" s="132">
        <v>26.69</v>
      </c>
      <c r="K5" s="129"/>
      <c r="L5" s="129"/>
      <c r="M5" s="960"/>
      <c r="N5" s="878">
        <f t="shared" ref="N5:N32" si="0">0.314*I5+0.249*J5+0.195*K5+0.159*L5+0.06*M5</f>
        <v>6.64581</v>
      </c>
      <c r="O5" s="129">
        <f t="shared" ref="O5:O26" si="1">0.4*SUM(I5:M5)</f>
        <v>10.676000000000002</v>
      </c>
      <c r="P5" s="135">
        <f t="shared" ref="P5:P40" si="2">SQRT(POWER(N5,2)+POWER(O5+G5,2))</f>
        <v>22.012201515434569</v>
      </c>
      <c r="Q5" s="136">
        <f t="shared" ref="Q5:Q40" si="3">SQRT(POWER(N5,2)+POWER(O5+H5,2))</f>
        <v>24.489011628812214</v>
      </c>
      <c r="R5" s="354">
        <f t="shared" ref="R5:R40" si="4">37000/1.73/SQRT(POWER((G5+O5),2)+N5*N5)</f>
        <v>971.61036900365605</v>
      </c>
      <c r="S5" s="357">
        <f t="shared" ref="S5:S40" si="5">37000/2/SQRT(N5*N5+POWER((H5+O5),2))</f>
        <v>755.44085977868031</v>
      </c>
      <c r="T5" s="1028">
        <v>1</v>
      </c>
      <c r="U5" s="129" t="s">
        <v>190</v>
      </c>
      <c r="V5" s="129">
        <v>6.3</v>
      </c>
      <c r="W5" s="129">
        <v>11</v>
      </c>
      <c r="X5" s="129">
        <v>35</v>
      </c>
      <c r="Y5" s="129">
        <v>6.3</v>
      </c>
      <c r="Z5" s="136">
        <v>7.68</v>
      </c>
      <c r="AA5" s="129"/>
      <c r="AB5" s="129">
        <v>5</v>
      </c>
      <c r="AC5" s="529">
        <f t="shared" ref="AC5:AC32" si="6">Z5/100*X5*X5/V5</f>
        <v>14.933333333333332</v>
      </c>
      <c r="AD5" s="878">
        <f>SQRT(POWER(N5,2)+POWER(O5+AC5+G5,2))</f>
        <v>36.527981876919291</v>
      </c>
      <c r="AE5" s="138">
        <f>SQRT(POWER(N5,2)+POWER(O5+AC5+H5,2))</f>
        <v>39.072669071025558</v>
      </c>
      <c r="AF5" s="179">
        <f>SQRT(POWER((AC5+O5+G5),2)+POWER(N5,2))*POWER(6.3/35,2)</f>
        <v>1.1835066128121849</v>
      </c>
      <c r="AG5" s="180">
        <f>SQRT(POWER((H5+O5+AC5),2)+POWER(N5,2))*POWER(6.3/35,2)</f>
        <v>1.2659544779012279</v>
      </c>
      <c r="AH5" s="356">
        <f>37000/1.73/SQRT(POWER((G5+O5+AC5),2)+N5*N5)</f>
        <v>585.50410228132716</v>
      </c>
      <c r="AI5" s="354">
        <f>37000/2/SQRT(POWER((H5+O5+AC5),2)+N5*N5)</f>
        <v>473.47674064372336</v>
      </c>
      <c r="AJ5" s="354">
        <f t="shared" ref="AJ5:AJ32" si="7">AI5/1.2</f>
        <v>394.56395053643615</v>
      </c>
      <c r="AK5" s="354">
        <f t="shared" ref="AK5:AK32" si="8">AI5/1.5</f>
        <v>315.65116042914889</v>
      </c>
      <c r="AL5" s="354">
        <f>SUM(6300/(1.732*AF5))</f>
        <v>3073.4204232928978</v>
      </c>
      <c r="AM5" s="358">
        <f>SUM(6300/(2*AG5))</f>
        <v>2488.2411295090569</v>
      </c>
    </row>
    <row r="6" spans="1:39" ht="12.75" customHeight="1" x14ac:dyDescent="0.2">
      <c r="A6" s="161">
        <v>8</v>
      </c>
      <c r="B6" s="2359"/>
      <c r="C6" s="2361"/>
      <c r="D6" s="673">
        <v>2.4</v>
      </c>
      <c r="E6" s="145" t="s">
        <v>39</v>
      </c>
      <c r="F6" s="146" t="s">
        <v>110</v>
      </c>
      <c r="G6" s="129">
        <v>10.308999999999999</v>
      </c>
      <c r="H6" s="130">
        <v>12.894</v>
      </c>
      <c r="I6" s="147"/>
      <c r="J6" s="148">
        <v>26.69</v>
      </c>
      <c r="K6" s="152"/>
      <c r="L6" s="152"/>
      <c r="M6" s="272"/>
      <c r="N6" s="151">
        <f t="shared" si="0"/>
        <v>6.64581</v>
      </c>
      <c r="O6" s="152">
        <f t="shared" si="1"/>
        <v>10.676000000000002</v>
      </c>
      <c r="P6" s="153">
        <f t="shared" si="2"/>
        <v>22.012201515434569</v>
      </c>
      <c r="Q6" s="154">
        <f t="shared" si="3"/>
        <v>24.489011628812214</v>
      </c>
      <c r="R6" s="155">
        <f t="shared" si="4"/>
        <v>971.61036900365605</v>
      </c>
      <c r="S6" s="361">
        <f t="shared" si="5"/>
        <v>755.44085977868031</v>
      </c>
      <c r="T6" s="1027">
        <v>2</v>
      </c>
      <c r="U6" s="152" t="s">
        <v>190</v>
      </c>
      <c r="V6" s="152">
        <v>6.3</v>
      </c>
      <c r="W6" s="152">
        <v>11</v>
      </c>
      <c r="X6" s="152">
        <v>35</v>
      </c>
      <c r="Y6" s="152">
        <v>6.3</v>
      </c>
      <c r="Z6" s="154">
        <v>7.78</v>
      </c>
      <c r="AA6" s="152"/>
      <c r="AB6" s="152">
        <v>5</v>
      </c>
      <c r="AC6" s="274">
        <f t="shared" si="6"/>
        <v>15.12777777777778</v>
      </c>
      <c r="AD6" s="151">
        <f>SQRT(POWER(N6,2)+POWER(O6+AC6+G6,2))</f>
        <v>36.719198103761208</v>
      </c>
      <c r="AE6" s="156">
        <f>SQRT(POWER(N6,2)+POWER(O6+AC6+H6,2))</f>
        <v>39.264294155050997</v>
      </c>
      <c r="AF6" s="157">
        <f>SQRT(POWER((AC6+O6+G6),2)+POWER(N6,2))*POWER(6.3/35,2)</f>
        <v>1.189702018561863</v>
      </c>
      <c r="AG6" s="158">
        <f>SQRT(POWER((H6+O6+AC6),2)+POWER(N6,2))*POWER(6.3/35,2)</f>
        <v>1.2721631306236523</v>
      </c>
      <c r="AH6" s="360">
        <f t="shared" ref="AH6:AH14" si="9">37000/1.73/SQRT(POWER((G6+O6+AC6),2)+N6*N6)</f>
        <v>582.45507367993105</v>
      </c>
      <c r="AI6" s="155">
        <f>37000/2/SQRT(POWER((H6+O6+AC6),2)+N6*N6)</f>
        <v>471.16598930685581</v>
      </c>
      <c r="AJ6" s="155">
        <f t="shared" si="7"/>
        <v>392.63832442237987</v>
      </c>
      <c r="AK6" s="155">
        <f t="shared" si="8"/>
        <v>314.11065953790387</v>
      </c>
      <c r="AL6" s="155">
        <f>SUM(6300/(1.732*AF6))</f>
        <v>3057.4155025105792</v>
      </c>
      <c r="AM6" s="160">
        <f>SUM(6300/(2*AG6))</f>
        <v>2476.0975414023956</v>
      </c>
    </row>
    <row r="7" spans="1:39" ht="12.75" customHeight="1" x14ac:dyDescent="0.2">
      <c r="A7" s="161">
        <v>8</v>
      </c>
      <c r="B7" s="2358" t="s">
        <v>147</v>
      </c>
      <c r="C7" s="2362" t="s">
        <v>43</v>
      </c>
      <c r="D7" s="673">
        <v>1.3</v>
      </c>
      <c r="E7" s="145" t="s">
        <v>39</v>
      </c>
      <c r="F7" s="146" t="s">
        <v>130</v>
      </c>
      <c r="G7" s="152">
        <v>7.585</v>
      </c>
      <c r="H7" s="162">
        <v>8.1340000000000003</v>
      </c>
      <c r="I7" s="147">
        <v>0.05</v>
      </c>
      <c r="J7" s="148">
        <v>5.55</v>
      </c>
      <c r="K7" s="152"/>
      <c r="L7" s="152"/>
      <c r="M7" s="272"/>
      <c r="N7" s="151">
        <f t="shared" si="0"/>
        <v>1.3976500000000001</v>
      </c>
      <c r="O7" s="152">
        <f t="shared" si="1"/>
        <v>2.2399999999999998</v>
      </c>
      <c r="P7" s="153">
        <f t="shared" si="2"/>
        <v>9.9239130650414289</v>
      </c>
      <c r="Q7" s="154">
        <f t="shared" si="3"/>
        <v>10.467726664491197</v>
      </c>
      <c r="R7" s="155">
        <f t="shared" si="4"/>
        <v>2155.1260170077812</v>
      </c>
      <c r="S7" s="361">
        <f t="shared" si="5"/>
        <v>1767.3369388556944</v>
      </c>
      <c r="T7" s="1027">
        <v>1</v>
      </c>
      <c r="U7" s="152" t="s">
        <v>204</v>
      </c>
      <c r="V7" s="152">
        <v>6.3</v>
      </c>
      <c r="W7" s="152">
        <v>11</v>
      </c>
      <c r="X7" s="152">
        <v>35</v>
      </c>
      <c r="Y7" s="152">
        <v>6.3</v>
      </c>
      <c r="Z7" s="154">
        <v>7.8</v>
      </c>
      <c r="AA7" s="152" t="s">
        <v>68</v>
      </c>
      <c r="AB7" s="152">
        <v>5</v>
      </c>
      <c r="AC7" s="274">
        <f t="shared" si="6"/>
        <v>15.166666666666666</v>
      </c>
      <c r="AD7" s="151">
        <f t="shared" ref="AD7:AD14" si="10">SQRT(POWER(N7,2)+POWER(O7+AC7+G7,2))</f>
        <v>25.030717694470482</v>
      </c>
      <c r="AE7" s="156">
        <f t="shared" ref="AE7:AE14" si="11">SQRT(POWER(N7,2)+POWER(O7+AC7+H7,2))</f>
        <v>25.578879555216599</v>
      </c>
      <c r="AF7" s="157">
        <f t="shared" ref="AF7:AF14" si="12">SQRT(POWER((AC7+O7+G7),2)+POWER(N7,2))*POWER(6.3/35,2)</f>
        <v>0.81099525330084354</v>
      </c>
      <c r="AG7" s="158">
        <f t="shared" ref="AG7:AG14" si="13">SQRT(POWER((H7+O7+AC7),2)+POWER(N7,2))*POWER(6.3/35,2)</f>
        <v>0.82875569758901779</v>
      </c>
      <c r="AH7" s="360">
        <f t="shared" si="9"/>
        <v>854.44147059829879</v>
      </c>
      <c r="AI7" s="155">
        <f t="shared" ref="AI7:AI14" si="14">37000/2/SQRT(POWER((H7+O7+AC7),2)+N7*N7)</f>
        <v>723.25294624670448</v>
      </c>
      <c r="AJ7" s="155">
        <f t="shared" si="7"/>
        <v>602.71078853892038</v>
      </c>
      <c r="AK7" s="155">
        <f t="shared" si="8"/>
        <v>482.16863083113634</v>
      </c>
      <c r="AL7" s="155">
        <f t="shared" ref="AL7:AL14" si="15">SUM(6300/(1.732*AF7))</f>
        <v>4485.1229154726616</v>
      </c>
      <c r="AM7" s="160">
        <f t="shared" ref="AM7:AM14" si="16">SUM(6300/(2*AG7))</f>
        <v>3800.8788466418405</v>
      </c>
    </row>
    <row r="8" spans="1:39" ht="12.75" customHeight="1" x14ac:dyDescent="0.2">
      <c r="A8" s="161">
        <v>8</v>
      </c>
      <c r="B8" s="2359"/>
      <c r="C8" s="2363"/>
      <c r="D8" s="673">
        <v>1.3</v>
      </c>
      <c r="E8" s="145" t="s">
        <v>39</v>
      </c>
      <c r="F8" s="146" t="s">
        <v>130</v>
      </c>
      <c r="G8" s="152">
        <v>7.585</v>
      </c>
      <c r="H8" s="162">
        <v>8.1340000000000003</v>
      </c>
      <c r="I8" s="147">
        <v>0.05</v>
      </c>
      <c r="J8" s="148">
        <v>5.55</v>
      </c>
      <c r="K8" s="152"/>
      <c r="L8" s="152"/>
      <c r="M8" s="272"/>
      <c r="N8" s="151">
        <f t="shared" si="0"/>
        <v>1.3976500000000001</v>
      </c>
      <c r="O8" s="152">
        <f t="shared" si="1"/>
        <v>2.2399999999999998</v>
      </c>
      <c r="P8" s="153">
        <f t="shared" si="2"/>
        <v>9.9239130650414289</v>
      </c>
      <c r="Q8" s="154">
        <f t="shared" si="3"/>
        <v>10.467726664491197</v>
      </c>
      <c r="R8" s="155">
        <f t="shared" si="4"/>
        <v>2155.1260170077812</v>
      </c>
      <c r="S8" s="361">
        <f t="shared" si="5"/>
        <v>1767.3369388556944</v>
      </c>
      <c r="T8" s="1027">
        <v>2</v>
      </c>
      <c r="U8" s="152" t="s">
        <v>204</v>
      </c>
      <c r="V8" s="152">
        <v>6.3</v>
      </c>
      <c r="W8" s="152">
        <v>11</v>
      </c>
      <c r="X8" s="152">
        <v>35</v>
      </c>
      <c r="Y8" s="152">
        <v>6.3</v>
      </c>
      <c r="Z8" s="154">
        <v>7.39</v>
      </c>
      <c r="AA8" s="152" t="s">
        <v>68</v>
      </c>
      <c r="AB8" s="152">
        <v>5</v>
      </c>
      <c r="AC8" s="274">
        <f t="shared" si="6"/>
        <v>14.369444444444444</v>
      </c>
      <c r="AD8" s="151">
        <f t="shared" si="10"/>
        <v>24.234780120682103</v>
      </c>
      <c r="AE8" s="156">
        <f t="shared" si="11"/>
        <v>24.782886605434172</v>
      </c>
      <c r="AF8" s="157">
        <f t="shared" si="12"/>
        <v>0.78520687591010008</v>
      </c>
      <c r="AG8" s="158">
        <f t="shared" si="13"/>
        <v>0.80296552601606708</v>
      </c>
      <c r="AH8" s="360">
        <f t="shared" si="9"/>
        <v>882.5037046134446</v>
      </c>
      <c r="AI8" s="155">
        <f t="shared" si="14"/>
        <v>746.4828570834635</v>
      </c>
      <c r="AJ8" s="155">
        <f t="shared" si="7"/>
        <v>622.06904756955294</v>
      </c>
      <c r="AK8" s="155">
        <f t="shared" si="8"/>
        <v>497.65523805564231</v>
      </c>
      <c r="AL8" s="155">
        <f t="shared" si="15"/>
        <v>4632.4268247182581</v>
      </c>
      <c r="AM8" s="160">
        <f t="shared" si="16"/>
        <v>3922.95795764583</v>
      </c>
    </row>
    <row r="9" spans="1:39" ht="13.5" customHeight="1" x14ac:dyDescent="0.2">
      <c r="A9" s="161">
        <v>8</v>
      </c>
      <c r="B9" s="2358" t="s">
        <v>206</v>
      </c>
      <c r="C9" s="2362" t="s">
        <v>43</v>
      </c>
      <c r="D9" s="933">
        <v>2.4</v>
      </c>
      <c r="E9" s="961" t="s">
        <v>39</v>
      </c>
      <c r="F9" s="146" t="s">
        <v>109</v>
      </c>
      <c r="G9" s="152">
        <v>6.9320000000000004</v>
      </c>
      <c r="H9" s="162">
        <v>10.763</v>
      </c>
      <c r="I9" s="962"/>
      <c r="J9" s="148">
        <v>33.799999999999997</v>
      </c>
      <c r="K9" s="363"/>
      <c r="L9" s="152"/>
      <c r="M9" s="272"/>
      <c r="N9" s="151">
        <f t="shared" si="0"/>
        <v>8.4161999999999999</v>
      </c>
      <c r="O9" s="152">
        <f t="shared" si="1"/>
        <v>13.52</v>
      </c>
      <c r="P9" s="153">
        <f t="shared" si="2"/>
        <v>22.11598350605281</v>
      </c>
      <c r="Q9" s="154">
        <f t="shared" si="3"/>
        <v>25.700126681399841</v>
      </c>
      <c r="R9" s="155">
        <f t="shared" si="4"/>
        <v>967.05096705922404</v>
      </c>
      <c r="S9" s="361">
        <f t="shared" si="5"/>
        <v>719.84080971044989</v>
      </c>
      <c r="T9" s="1027">
        <v>1</v>
      </c>
      <c r="U9" s="152" t="s">
        <v>85</v>
      </c>
      <c r="V9" s="152">
        <v>4</v>
      </c>
      <c r="W9" s="152">
        <v>11</v>
      </c>
      <c r="X9" s="152">
        <v>35</v>
      </c>
      <c r="Y9" s="152">
        <v>6.3</v>
      </c>
      <c r="Z9" s="152">
        <v>6.44</v>
      </c>
      <c r="AA9" s="152"/>
      <c r="AB9" s="152">
        <v>5</v>
      </c>
      <c r="AC9" s="274">
        <f t="shared" si="6"/>
        <v>19.7225</v>
      </c>
      <c r="AD9" s="151">
        <f t="shared" si="10"/>
        <v>41.046593923125947</v>
      </c>
      <c r="AE9" s="156">
        <f t="shared" si="11"/>
        <v>44.803085303246689</v>
      </c>
      <c r="AF9" s="157">
        <f t="shared" si="12"/>
        <v>1.3299096431092805</v>
      </c>
      <c r="AG9" s="158">
        <f t="shared" si="13"/>
        <v>1.4516199638251928</v>
      </c>
      <c r="AH9" s="360">
        <f t="shared" si="9"/>
        <v>521.04891521692059</v>
      </c>
      <c r="AI9" s="155">
        <f t="shared" si="14"/>
        <v>412.91799157990988</v>
      </c>
      <c r="AJ9" s="155">
        <f t="shared" si="7"/>
        <v>344.09832631659157</v>
      </c>
      <c r="AK9" s="155">
        <f t="shared" si="8"/>
        <v>275.27866105327325</v>
      </c>
      <c r="AL9" s="155">
        <f t="shared" si="15"/>
        <v>2735.0831041536239</v>
      </c>
      <c r="AM9" s="160">
        <f t="shared" si="16"/>
        <v>2169.9894452397666</v>
      </c>
    </row>
    <row r="10" spans="1:39" ht="13.5" customHeight="1" x14ac:dyDescent="0.2">
      <c r="A10" s="161">
        <v>8</v>
      </c>
      <c r="B10" s="2359"/>
      <c r="C10" s="2363"/>
      <c r="D10" s="933">
        <v>2.4</v>
      </c>
      <c r="E10" s="961" t="s">
        <v>39</v>
      </c>
      <c r="F10" s="146" t="s">
        <v>109</v>
      </c>
      <c r="G10" s="152">
        <v>6.9320000000000004</v>
      </c>
      <c r="H10" s="162">
        <v>10.763</v>
      </c>
      <c r="I10" s="362"/>
      <c r="J10" s="148">
        <v>33.4</v>
      </c>
      <c r="K10" s="363"/>
      <c r="L10" s="152"/>
      <c r="M10" s="272"/>
      <c r="N10" s="151">
        <f t="shared" si="0"/>
        <v>8.3165999999999993</v>
      </c>
      <c r="O10" s="152">
        <f t="shared" si="1"/>
        <v>13.36</v>
      </c>
      <c r="P10" s="153">
        <f t="shared" si="2"/>
        <v>21.930141348381685</v>
      </c>
      <c r="Q10" s="154">
        <f t="shared" si="3"/>
        <v>25.516366601849878</v>
      </c>
      <c r="R10" s="155">
        <f t="shared" si="4"/>
        <v>975.24602770389686</v>
      </c>
      <c r="S10" s="361">
        <f t="shared" si="5"/>
        <v>725.02485517114303</v>
      </c>
      <c r="T10" s="1027">
        <v>2</v>
      </c>
      <c r="U10" s="152" t="s">
        <v>85</v>
      </c>
      <c r="V10" s="152">
        <v>4</v>
      </c>
      <c r="W10" s="152">
        <v>11</v>
      </c>
      <c r="X10" s="152">
        <v>35</v>
      </c>
      <c r="Y10" s="152">
        <v>6.3</v>
      </c>
      <c r="Z10" s="152">
        <v>6.49</v>
      </c>
      <c r="AA10" s="152"/>
      <c r="AB10" s="152">
        <v>5</v>
      </c>
      <c r="AC10" s="274">
        <f t="shared" si="6"/>
        <v>19.875624999999999</v>
      </c>
      <c r="AD10" s="151">
        <f t="shared" si="10"/>
        <v>41.019555503450121</v>
      </c>
      <c r="AE10" s="156">
        <f t="shared" si="11"/>
        <v>44.777727024164868</v>
      </c>
      <c r="AF10" s="157">
        <f t="shared" si="12"/>
        <v>1.3290335983117838</v>
      </c>
      <c r="AG10" s="158">
        <f t="shared" si="13"/>
        <v>1.4507983555829416</v>
      </c>
      <c r="AH10" s="360">
        <f t="shared" si="9"/>
        <v>521.39236943207129</v>
      </c>
      <c r="AI10" s="155">
        <f t="shared" si="14"/>
        <v>413.1518330534339</v>
      </c>
      <c r="AJ10" s="155">
        <f t="shared" si="7"/>
        <v>344.29319421119493</v>
      </c>
      <c r="AK10" s="155">
        <f t="shared" si="8"/>
        <v>275.43455536895596</v>
      </c>
      <c r="AL10" s="155">
        <f t="shared" si="15"/>
        <v>2736.8859594969035</v>
      </c>
      <c r="AM10" s="160">
        <f t="shared" si="16"/>
        <v>2171.2183418724007</v>
      </c>
    </row>
    <row r="11" spans="1:39" ht="12.75" customHeight="1" x14ac:dyDescent="0.2">
      <c r="A11" s="161">
        <v>8</v>
      </c>
      <c r="B11" s="2358" t="s">
        <v>144</v>
      </c>
      <c r="C11" s="2362" t="s">
        <v>43</v>
      </c>
      <c r="D11" s="673">
        <v>1.3</v>
      </c>
      <c r="E11" s="145" t="s">
        <v>39</v>
      </c>
      <c r="F11" s="146" t="s">
        <v>130</v>
      </c>
      <c r="G11" s="152">
        <v>7.585</v>
      </c>
      <c r="H11" s="162">
        <v>8.1340000000000003</v>
      </c>
      <c r="I11" s="147">
        <v>3.78</v>
      </c>
      <c r="J11" s="148">
        <v>6.05</v>
      </c>
      <c r="K11" s="152"/>
      <c r="L11" s="152"/>
      <c r="M11" s="272"/>
      <c r="N11" s="151">
        <f t="shared" si="0"/>
        <v>2.6933699999999998</v>
      </c>
      <c r="O11" s="152">
        <f t="shared" si="1"/>
        <v>3.9320000000000004</v>
      </c>
      <c r="P11" s="153">
        <f t="shared" si="2"/>
        <v>11.827744119522539</v>
      </c>
      <c r="Q11" s="154">
        <f t="shared" si="3"/>
        <v>12.362952639110933</v>
      </c>
      <c r="R11" s="155">
        <f t="shared" si="4"/>
        <v>1808.2301257847621</v>
      </c>
      <c r="S11" s="361">
        <f t="shared" si="5"/>
        <v>1496.4062825472738</v>
      </c>
      <c r="T11" s="1027">
        <v>1</v>
      </c>
      <c r="U11" s="152" t="s">
        <v>203</v>
      </c>
      <c r="V11" s="152">
        <v>6.3</v>
      </c>
      <c r="W11" s="152">
        <v>11</v>
      </c>
      <c r="X11" s="152">
        <v>35</v>
      </c>
      <c r="Y11" s="152">
        <v>6.3</v>
      </c>
      <c r="Z11" s="154">
        <v>7.7</v>
      </c>
      <c r="AA11" s="152" t="s">
        <v>60</v>
      </c>
      <c r="AB11" s="152"/>
      <c r="AC11" s="274">
        <f t="shared" si="6"/>
        <v>14.972222222222221</v>
      </c>
      <c r="AD11" s="151">
        <f t="shared" si="10"/>
        <v>26.625798314701697</v>
      </c>
      <c r="AE11" s="156">
        <f t="shared" si="11"/>
        <v>27.17203899038811</v>
      </c>
      <c r="AF11" s="157">
        <f t="shared" si="12"/>
        <v>0.8626758653963349</v>
      </c>
      <c r="AG11" s="158">
        <f t="shared" si="13"/>
        <v>0.8803740632885747</v>
      </c>
      <c r="AH11" s="360">
        <f t="shared" si="9"/>
        <v>803.25415915078952</v>
      </c>
      <c r="AI11" s="155">
        <f t="shared" si="14"/>
        <v>680.84695471488999</v>
      </c>
      <c r="AJ11" s="155">
        <f t="shared" si="7"/>
        <v>567.37246226240836</v>
      </c>
      <c r="AK11" s="155">
        <f t="shared" si="8"/>
        <v>453.89796980992668</v>
      </c>
      <c r="AL11" s="155">
        <f t="shared" si="15"/>
        <v>4216.4311542992455</v>
      </c>
      <c r="AM11" s="160">
        <f t="shared" si="16"/>
        <v>3578.0245367899629</v>
      </c>
    </row>
    <row r="12" spans="1:39" ht="12.75" customHeight="1" x14ac:dyDescent="0.2">
      <c r="A12" s="161">
        <v>8</v>
      </c>
      <c r="B12" s="2359"/>
      <c r="C12" s="2363"/>
      <c r="D12" s="673">
        <v>1.3</v>
      </c>
      <c r="E12" s="145" t="s">
        <v>39</v>
      </c>
      <c r="F12" s="146" t="s">
        <v>130</v>
      </c>
      <c r="G12" s="152">
        <v>7.585</v>
      </c>
      <c r="H12" s="162">
        <v>8.1340000000000003</v>
      </c>
      <c r="I12" s="147">
        <v>3.78</v>
      </c>
      <c r="J12" s="148">
        <v>6.05</v>
      </c>
      <c r="K12" s="152"/>
      <c r="L12" s="152"/>
      <c r="M12" s="272"/>
      <c r="N12" s="151">
        <f t="shared" si="0"/>
        <v>2.6933699999999998</v>
      </c>
      <c r="O12" s="152">
        <f t="shared" si="1"/>
        <v>3.9320000000000004</v>
      </c>
      <c r="P12" s="153">
        <f t="shared" si="2"/>
        <v>11.827744119522539</v>
      </c>
      <c r="Q12" s="154">
        <f t="shared" si="3"/>
        <v>12.362952639110933</v>
      </c>
      <c r="R12" s="155">
        <f t="shared" si="4"/>
        <v>1808.2301257847621</v>
      </c>
      <c r="S12" s="361">
        <f t="shared" si="5"/>
        <v>1496.4062825472738</v>
      </c>
      <c r="T12" s="1027">
        <v>2</v>
      </c>
      <c r="U12" s="152" t="s">
        <v>203</v>
      </c>
      <c r="V12" s="152">
        <v>6.3</v>
      </c>
      <c r="W12" s="152">
        <v>11</v>
      </c>
      <c r="X12" s="152">
        <v>35</v>
      </c>
      <c r="Y12" s="152">
        <v>6.3</v>
      </c>
      <c r="Z12" s="154">
        <v>7.7</v>
      </c>
      <c r="AA12" s="152" t="s">
        <v>60</v>
      </c>
      <c r="AB12" s="152"/>
      <c r="AC12" s="274">
        <f t="shared" si="6"/>
        <v>14.972222222222221</v>
      </c>
      <c r="AD12" s="151">
        <f t="shared" si="10"/>
        <v>26.625798314701697</v>
      </c>
      <c r="AE12" s="156">
        <f t="shared" si="11"/>
        <v>27.17203899038811</v>
      </c>
      <c r="AF12" s="157">
        <f t="shared" si="12"/>
        <v>0.8626758653963349</v>
      </c>
      <c r="AG12" s="158">
        <f t="shared" si="13"/>
        <v>0.8803740632885747</v>
      </c>
      <c r="AH12" s="360">
        <f t="shared" si="9"/>
        <v>803.25415915078952</v>
      </c>
      <c r="AI12" s="155">
        <f t="shared" si="14"/>
        <v>680.84695471488999</v>
      </c>
      <c r="AJ12" s="155">
        <f t="shared" si="7"/>
        <v>567.37246226240836</v>
      </c>
      <c r="AK12" s="155">
        <f t="shared" si="8"/>
        <v>453.89796980992668</v>
      </c>
      <c r="AL12" s="155">
        <f t="shared" si="15"/>
        <v>4216.4311542992455</v>
      </c>
      <c r="AM12" s="160">
        <f t="shared" si="16"/>
        <v>3578.0245367899629</v>
      </c>
    </row>
    <row r="13" spans="1:39" ht="12.75" customHeight="1" x14ac:dyDescent="0.2">
      <c r="A13" s="161">
        <v>8</v>
      </c>
      <c r="B13" s="2358" t="s">
        <v>150</v>
      </c>
      <c r="C13" s="2360" t="s">
        <v>358</v>
      </c>
      <c r="D13" s="673">
        <v>2.4</v>
      </c>
      <c r="E13" s="145" t="s">
        <v>39</v>
      </c>
      <c r="F13" s="146" t="s">
        <v>130</v>
      </c>
      <c r="G13" s="152">
        <v>7.585</v>
      </c>
      <c r="H13" s="162">
        <v>8.1340000000000003</v>
      </c>
      <c r="I13" s="147"/>
      <c r="J13" s="148">
        <v>8.9499999999999993</v>
      </c>
      <c r="K13" s="152"/>
      <c r="L13" s="152"/>
      <c r="M13" s="272"/>
      <c r="N13" s="151">
        <f t="shared" si="0"/>
        <v>2.2285499999999998</v>
      </c>
      <c r="O13" s="152">
        <f t="shared" si="1"/>
        <v>3.58</v>
      </c>
      <c r="P13" s="153">
        <f t="shared" si="2"/>
        <v>11.385238693259794</v>
      </c>
      <c r="Q13" s="154">
        <f t="shared" si="3"/>
        <v>11.924102947496722</v>
      </c>
      <c r="R13" s="155">
        <f t="shared" si="4"/>
        <v>1878.5098681906215</v>
      </c>
      <c r="S13" s="361">
        <f t="shared" si="5"/>
        <v>1551.4793927440708</v>
      </c>
      <c r="T13" s="1027">
        <v>1</v>
      </c>
      <c r="U13" s="152" t="s">
        <v>205</v>
      </c>
      <c r="V13" s="152">
        <v>10</v>
      </c>
      <c r="W13" s="152">
        <v>11</v>
      </c>
      <c r="X13" s="152">
        <v>35</v>
      </c>
      <c r="Y13" s="152">
        <v>6.3</v>
      </c>
      <c r="Z13" s="154">
        <v>8.0399999999999991</v>
      </c>
      <c r="AA13" s="152" t="s">
        <v>74</v>
      </c>
      <c r="AB13" s="152">
        <v>9.5</v>
      </c>
      <c r="AC13" s="274">
        <f t="shared" si="6"/>
        <v>9.8489999999999984</v>
      </c>
      <c r="AD13" s="151">
        <f t="shared" si="10"/>
        <v>21.131839274007834</v>
      </c>
      <c r="AE13" s="156">
        <f t="shared" si="11"/>
        <v>21.677855154569603</v>
      </c>
      <c r="AF13" s="157">
        <f t="shared" si="12"/>
        <v>0.68467159247785381</v>
      </c>
      <c r="AG13" s="158">
        <f t="shared" si="13"/>
        <v>0.70236250700805514</v>
      </c>
      <c r="AH13" s="360">
        <f t="shared" si="9"/>
        <v>1012.0881083598143</v>
      </c>
      <c r="AI13" s="155">
        <f t="shared" si="14"/>
        <v>853.40546230655468</v>
      </c>
      <c r="AJ13" s="155">
        <f t="shared" si="7"/>
        <v>711.17121858879557</v>
      </c>
      <c r="AK13" s="155">
        <f t="shared" si="8"/>
        <v>568.93697487103645</v>
      </c>
      <c r="AL13" s="155">
        <f t="shared" si="15"/>
        <v>5312.639570389103</v>
      </c>
      <c r="AM13" s="160">
        <f t="shared" si="16"/>
        <v>4484.8635406500616</v>
      </c>
    </row>
    <row r="14" spans="1:39" ht="12.75" customHeight="1" x14ac:dyDescent="0.2">
      <c r="A14" s="161">
        <v>8</v>
      </c>
      <c r="B14" s="2359"/>
      <c r="C14" s="2361"/>
      <c r="D14" s="673">
        <v>2.4</v>
      </c>
      <c r="E14" s="145" t="s">
        <v>39</v>
      </c>
      <c r="F14" s="146" t="s">
        <v>130</v>
      </c>
      <c r="G14" s="152">
        <v>7.585</v>
      </c>
      <c r="H14" s="162">
        <v>8.1340000000000003</v>
      </c>
      <c r="I14" s="147"/>
      <c r="J14" s="148">
        <v>8.9499999999999993</v>
      </c>
      <c r="K14" s="152"/>
      <c r="L14" s="152"/>
      <c r="M14" s="272"/>
      <c r="N14" s="151">
        <f t="shared" si="0"/>
        <v>2.2285499999999998</v>
      </c>
      <c r="O14" s="152">
        <f t="shared" si="1"/>
        <v>3.58</v>
      </c>
      <c r="P14" s="153">
        <f t="shared" si="2"/>
        <v>11.385238693259794</v>
      </c>
      <c r="Q14" s="154">
        <f t="shared" si="3"/>
        <v>11.924102947496722</v>
      </c>
      <c r="R14" s="155">
        <f t="shared" si="4"/>
        <v>1878.5098681906215</v>
      </c>
      <c r="S14" s="361">
        <f t="shared" si="5"/>
        <v>1551.4793927440708</v>
      </c>
      <c r="T14" s="1027">
        <v>2</v>
      </c>
      <c r="U14" s="152" t="s">
        <v>205</v>
      </c>
      <c r="V14" s="152">
        <v>10</v>
      </c>
      <c r="W14" s="152">
        <v>11</v>
      </c>
      <c r="X14" s="152">
        <v>35</v>
      </c>
      <c r="Y14" s="152">
        <v>6.3</v>
      </c>
      <c r="Z14" s="154">
        <v>7.99</v>
      </c>
      <c r="AA14" s="152" t="s">
        <v>74</v>
      </c>
      <c r="AB14" s="152">
        <v>9.5</v>
      </c>
      <c r="AC14" s="274">
        <f t="shared" si="6"/>
        <v>9.7877499999999991</v>
      </c>
      <c r="AD14" s="151">
        <f t="shared" si="10"/>
        <v>21.07093181767242</v>
      </c>
      <c r="AE14" s="156">
        <f t="shared" si="11"/>
        <v>21.616930590742989</v>
      </c>
      <c r="AF14" s="157">
        <f t="shared" si="12"/>
        <v>0.68269819089258643</v>
      </c>
      <c r="AG14" s="158">
        <f t="shared" si="13"/>
        <v>0.70038855114007281</v>
      </c>
      <c r="AH14" s="360">
        <f t="shared" si="9"/>
        <v>1015.0136416395439</v>
      </c>
      <c r="AI14" s="155">
        <f t="shared" si="14"/>
        <v>855.81067683689787</v>
      </c>
      <c r="AJ14" s="155">
        <f t="shared" si="7"/>
        <v>713.17556403074821</v>
      </c>
      <c r="AK14" s="155">
        <f t="shared" si="8"/>
        <v>570.54045122459854</v>
      </c>
      <c r="AL14" s="155">
        <f t="shared" si="15"/>
        <v>5327.9962411552196</v>
      </c>
      <c r="AM14" s="160">
        <f t="shared" si="16"/>
        <v>4497.5035569506645</v>
      </c>
    </row>
    <row r="15" spans="1:39" ht="12.75" customHeight="1" x14ac:dyDescent="0.2">
      <c r="A15" s="161">
        <v>8</v>
      </c>
      <c r="B15" s="2358" t="s">
        <v>121</v>
      </c>
      <c r="C15" s="2362" t="s">
        <v>351</v>
      </c>
      <c r="D15" s="673">
        <v>1.3</v>
      </c>
      <c r="E15" s="145" t="s">
        <v>39</v>
      </c>
      <c r="F15" s="146" t="s">
        <v>110</v>
      </c>
      <c r="G15" s="129">
        <v>10.308999999999999</v>
      </c>
      <c r="H15" s="130">
        <v>12.894</v>
      </c>
      <c r="I15" s="147"/>
      <c r="J15" s="148">
        <v>5</v>
      </c>
      <c r="K15" s="152"/>
      <c r="L15" s="152"/>
      <c r="M15" s="272"/>
      <c r="N15" s="151">
        <f t="shared" si="0"/>
        <v>1.2450000000000001</v>
      </c>
      <c r="O15" s="152">
        <f t="shared" si="1"/>
        <v>2</v>
      </c>
      <c r="P15" s="153">
        <f t="shared" si="2"/>
        <v>12.371802859729053</v>
      </c>
      <c r="Q15" s="154">
        <f t="shared" si="3"/>
        <v>14.945944633913241</v>
      </c>
      <c r="R15" s="155">
        <f t="shared" si="4"/>
        <v>1728.7119330531111</v>
      </c>
      <c r="S15" s="361">
        <f t="shared" si="5"/>
        <v>1237.7939603778805</v>
      </c>
      <c r="T15" s="1027">
        <v>1</v>
      </c>
      <c r="U15" s="152" t="s">
        <v>204</v>
      </c>
      <c r="V15" s="152">
        <v>6.3</v>
      </c>
      <c r="W15" s="152">
        <v>11</v>
      </c>
      <c r="X15" s="152">
        <v>35</v>
      </c>
      <c r="Y15" s="152">
        <v>6.3</v>
      </c>
      <c r="Z15" s="154">
        <v>7.96</v>
      </c>
      <c r="AA15" s="152" t="s">
        <v>123</v>
      </c>
      <c r="AB15" s="152">
        <v>10</v>
      </c>
      <c r="AC15" s="274">
        <f t="shared" si="6"/>
        <v>15.47777777777778</v>
      </c>
      <c r="AD15" s="151">
        <f t="shared" ref="AD15:AD24" si="17">SQRT(POWER(N15,2)+POWER(O15+AC15+G15,2))</f>
        <v>27.814655206771931</v>
      </c>
      <c r="AE15" s="156">
        <f t="shared" ref="AE15:AE24" si="18">SQRT(POWER(N15,2)+POWER(O15+AC15+H15,2))</f>
        <v>30.397284588968077</v>
      </c>
      <c r="AF15" s="157">
        <f t="shared" ref="AF15:AF24" si="19">SQRT(POWER((AC15+O15+G15),2)+POWER(N15,2))*POWER(6.3/35,2)</f>
        <v>0.90119482869941048</v>
      </c>
      <c r="AG15" s="158">
        <f t="shared" ref="AG15:AG24" si="20">SQRT(POWER((H15+O15+AC15),2)+POWER(N15,2))*POWER(6.3/35,2)</f>
        <v>0.98487202068256563</v>
      </c>
      <c r="AH15" s="360">
        <f t="shared" ref="AH15:AH38" si="21">37000/1.73/SQRT(POWER((G15+O15+AC15),2)+N15*N15)</f>
        <v>768.92138615427223</v>
      </c>
      <c r="AI15" s="155">
        <f t="shared" ref="AI15:AI24" si="22">37000/2/SQRT(POWER((H15+O15+AC15),2)+N15*N15)</f>
        <v>608.60699401794943</v>
      </c>
      <c r="AJ15" s="155">
        <f t="shared" si="7"/>
        <v>507.17249501495786</v>
      </c>
      <c r="AK15" s="155">
        <f t="shared" si="8"/>
        <v>405.73799601196629</v>
      </c>
      <c r="AL15" s="155">
        <f t="shared" ref="AL15:AL24" si="23">SUM(6300/(1.732*AF15))</f>
        <v>4036.212014408276</v>
      </c>
      <c r="AM15" s="160">
        <f t="shared" ref="AM15:AM24" si="24">SUM(6300/(2*AG15))</f>
        <v>3198.3851036979327</v>
      </c>
    </row>
    <row r="16" spans="1:39" ht="12.75" customHeight="1" x14ac:dyDescent="0.2">
      <c r="A16" s="161">
        <v>8</v>
      </c>
      <c r="B16" s="2359"/>
      <c r="C16" s="2363"/>
      <c r="D16" s="673">
        <v>1.3</v>
      </c>
      <c r="E16" s="145" t="s">
        <v>39</v>
      </c>
      <c r="F16" s="146" t="s">
        <v>110</v>
      </c>
      <c r="G16" s="129">
        <v>10.308999999999999</v>
      </c>
      <c r="H16" s="130">
        <v>12.894</v>
      </c>
      <c r="I16" s="147"/>
      <c r="J16" s="148">
        <v>5</v>
      </c>
      <c r="K16" s="152"/>
      <c r="L16" s="152"/>
      <c r="M16" s="272"/>
      <c r="N16" s="151">
        <f t="shared" si="0"/>
        <v>1.2450000000000001</v>
      </c>
      <c r="O16" s="152">
        <f t="shared" si="1"/>
        <v>2</v>
      </c>
      <c r="P16" s="153">
        <f t="shared" si="2"/>
        <v>12.371802859729053</v>
      </c>
      <c r="Q16" s="154">
        <f t="shared" si="3"/>
        <v>14.945944633913241</v>
      </c>
      <c r="R16" s="155">
        <f t="shared" si="4"/>
        <v>1728.7119330531111</v>
      </c>
      <c r="S16" s="361">
        <f t="shared" si="5"/>
        <v>1237.7939603778805</v>
      </c>
      <c r="T16" s="1027">
        <v>2</v>
      </c>
      <c r="U16" s="152" t="s">
        <v>201</v>
      </c>
      <c r="V16" s="152">
        <v>4</v>
      </c>
      <c r="W16" s="152">
        <v>11</v>
      </c>
      <c r="X16" s="152">
        <v>35</v>
      </c>
      <c r="Y16" s="152">
        <v>6.3</v>
      </c>
      <c r="Z16" s="154">
        <v>7.6</v>
      </c>
      <c r="AA16" s="152" t="s">
        <v>170</v>
      </c>
      <c r="AB16" s="152">
        <v>10</v>
      </c>
      <c r="AC16" s="274">
        <f t="shared" si="6"/>
        <v>23.275000000000002</v>
      </c>
      <c r="AD16" s="151">
        <f t="shared" si="17"/>
        <v>35.605773141444359</v>
      </c>
      <c r="AE16" s="156">
        <f t="shared" si="18"/>
        <v>38.189299365136307</v>
      </c>
      <c r="AF16" s="157">
        <f t="shared" si="19"/>
        <v>1.1536270497827972</v>
      </c>
      <c r="AG16" s="158">
        <f t="shared" si="20"/>
        <v>1.2373332994304163</v>
      </c>
      <c r="AH16" s="360">
        <f t="shared" si="21"/>
        <v>600.66897443942537</v>
      </c>
      <c r="AI16" s="155">
        <f t="shared" si="22"/>
        <v>484.42889258369007</v>
      </c>
      <c r="AJ16" s="155">
        <f t="shared" si="7"/>
        <v>403.69074381974173</v>
      </c>
      <c r="AK16" s="155">
        <f t="shared" si="8"/>
        <v>322.95259505579338</v>
      </c>
      <c r="AL16" s="155">
        <f t="shared" si="23"/>
        <v>3153.023670521608</v>
      </c>
      <c r="AM16" s="160">
        <f t="shared" si="24"/>
        <v>2545.7974835479213</v>
      </c>
    </row>
    <row r="17" spans="1:39" ht="12.75" customHeight="1" x14ac:dyDescent="0.2">
      <c r="A17" s="161">
        <v>8</v>
      </c>
      <c r="B17" s="2358" t="s">
        <v>136</v>
      </c>
      <c r="C17" s="2360" t="s">
        <v>341</v>
      </c>
      <c r="D17" s="673">
        <v>2.4</v>
      </c>
      <c r="E17" s="145" t="s">
        <v>39</v>
      </c>
      <c r="F17" s="146" t="s">
        <v>130</v>
      </c>
      <c r="G17" s="152">
        <v>7.585</v>
      </c>
      <c r="H17" s="162">
        <v>8.1340000000000003</v>
      </c>
      <c r="I17" s="147"/>
      <c r="J17" s="148">
        <v>7.5</v>
      </c>
      <c r="K17" s="152"/>
      <c r="L17" s="152"/>
      <c r="M17" s="272"/>
      <c r="N17" s="151">
        <f t="shared" si="0"/>
        <v>1.8674999999999999</v>
      </c>
      <c r="O17" s="152">
        <f t="shared" si="1"/>
        <v>3</v>
      </c>
      <c r="P17" s="153">
        <f t="shared" si="2"/>
        <v>10.748478089943712</v>
      </c>
      <c r="Q17" s="154">
        <f t="shared" si="3"/>
        <v>11.289531090793806</v>
      </c>
      <c r="R17" s="155">
        <f t="shared" si="4"/>
        <v>1989.7964212258278</v>
      </c>
      <c r="S17" s="361">
        <f t="shared" si="5"/>
        <v>1638.6863060314404</v>
      </c>
      <c r="T17" s="1027">
        <v>1</v>
      </c>
      <c r="U17" s="152" t="s">
        <v>137</v>
      </c>
      <c r="V17" s="152">
        <v>4</v>
      </c>
      <c r="W17" s="152">
        <v>11</v>
      </c>
      <c r="X17" s="152">
        <v>35</v>
      </c>
      <c r="Y17" s="152">
        <v>6.3</v>
      </c>
      <c r="Z17" s="154">
        <v>7.97</v>
      </c>
      <c r="AA17" s="152" t="s">
        <v>54</v>
      </c>
      <c r="AB17" s="152">
        <v>10</v>
      </c>
      <c r="AC17" s="274">
        <f t="shared" si="6"/>
        <v>24.408124999999998</v>
      </c>
      <c r="AD17" s="151">
        <f t="shared" si="17"/>
        <v>35.042921589325637</v>
      </c>
      <c r="AE17" s="156">
        <f t="shared" si="18"/>
        <v>35.591153476188779</v>
      </c>
      <c r="AF17" s="157">
        <f t="shared" si="19"/>
        <v>1.1353906594941505</v>
      </c>
      <c r="AG17" s="158">
        <f t="shared" si="20"/>
        <v>1.1531533726285164</v>
      </c>
      <c r="AH17" s="360">
        <f t="shared" si="21"/>
        <v>610.31678487415161</v>
      </c>
      <c r="AI17" s="155">
        <f t="shared" si="22"/>
        <v>519.79208856989942</v>
      </c>
      <c r="AJ17" s="155">
        <f t="shared" si="7"/>
        <v>433.16007380824954</v>
      </c>
      <c r="AK17" s="155">
        <f t="shared" si="8"/>
        <v>346.52805904659959</v>
      </c>
      <c r="AL17" s="155">
        <f t="shared" si="23"/>
        <v>3203.6668300052265</v>
      </c>
      <c r="AM17" s="160">
        <f t="shared" si="24"/>
        <v>2731.640105097069</v>
      </c>
    </row>
    <row r="18" spans="1:39" ht="12.75" customHeight="1" x14ac:dyDescent="0.2">
      <c r="A18" s="161">
        <v>8</v>
      </c>
      <c r="B18" s="2359"/>
      <c r="C18" s="2361"/>
      <c r="D18" s="673">
        <v>2.4</v>
      </c>
      <c r="E18" s="145" t="s">
        <v>39</v>
      </c>
      <c r="F18" s="146" t="s">
        <v>130</v>
      </c>
      <c r="G18" s="152">
        <v>7.585</v>
      </c>
      <c r="H18" s="162">
        <v>8.1340000000000003</v>
      </c>
      <c r="I18" s="147"/>
      <c r="J18" s="148">
        <v>7.5</v>
      </c>
      <c r="K18" s="152"/>
      <c r="L18" s="152"/>
      <c r="M18" s="272"/>
      <c r="N18" s="151">
        <f t="shared" si="0"/>
        <v>1.8674999999999999</v>
      </c>
      <c r="O18" s="152">
        <f t="shared" si="1"/>
        <v>3</v>
      </c>
      <c r="P18" s="153">
        <f t="shared" si="2"/>
        <v>10.748478089943712</v>
      </c>
      <c r="Q18" s="154">
        <f t="shared" si="3"/>
        <v>11.289531090793806</v>
      </c>
      <c r="R18" s="155">
        <f t="shared" si="4"/>
        <v>1989.7964212258278</v>
      </c>
      <c r="S18" s="361">
        <f t="shared" si="5"/>
        <v>1638.6863060314404</v>
      </c>
      <c r="T18" s="1027">
        <v>2</v>
      </c>
      <c r="U18" s="152" t="s">
        <v>137</v>
      </c>
      <c r="V18" s="152">
        <v>4</v>
      </c>
      <c r="W18" s="152">
        <v>11</v>
      </c>
      <c r="X18" s="152">
        <v>35</v>
      </c>
      <c r="Y18" s="152">
        <v>6.3</v>
      </c>
      <c r="Z18" s="154">
        <v>8.07</v>
      </c>
      <c r="AA18" s="152" t="s">
        <v>54</v>
      </c>
      <c r="AB18" s="152">
        <v>10</v>
      </c>
      <c r="AC18" s="274">
        <f t="shared" si="6"/>
        <v>24.714375000000004</v>
      </c>
      <c r="AD18" s="151">
        <f t="shared" si="17"/>
        <v>35.348740170487339</v>
      </c>
      <c r="AE18" s="156">
        <f t="shared" si="18"/>
        <v>35.896985199186652</v>
      </c>
      <c r="AF18" s="157">
        <f t="shared" si="19"/>
        <v>1.1452991815237896</v>
      </c>
      <c r="AG18" s="158">
        <f t="shared" si="20"/>
        <v>1.1630623204536474</v>
      </c>
      <c r="AH18" s="360">
        <f t="shared" si="21"/>
        <v>605.03664724239479</v>
      </c>
      <c r="AI18" s="155">
        <f t="shared" si="22"/>
        <v>515.36361333260845</v>
      </c>
      <c r="AJ18" s="155">
        <f t="shared" si="7"/>
        <v>429.46967777717373</v>
      </c>
      <c r="AK18" s="155">
        <f t="shared" si="8"/>
        <v>343.57574222173895</v>
      </c>
      <c r="AL18" s="155">
        <f t="shared" si="23"/>
        <v>3175.9504010818277</v>
      </c>
      <c r="AM18" s="160">
        <f t="shared" si="24"/>
        <v>2708.3673373335282</v>
      </c>
    </row>
    <row r="19" spans="1:39" ht="12.75" customHeight="1" x14ac:dyDescent="0.2">
      <c r="A19" s="932">
        <v>8</v>
      </c>
      <c r="B19" s="2358" t="s">
        <v>126</v>
      </c>
      <c r="C19" s="2362" t="s">
        <v>43</v>
      </c>
      <c r="D19" s="649">
        <v>2.4</v>
      </c>
      <c r="E19" s="128" t="s">
        <v>39</v>
      </c>
      <c r="F19" s="655" t="s">
        <v>110</v>
      </c>
      <c r="G19" s="129">
        <v>10.308999999999999</v>
      </c>
      <c r="H19" s="130">
        <v>12.894</v>
      </c>
      <c r="I19" s="131"/>
      <c r="J19" s="132">
        <v>27</v>
      </c>
      <c r="K19" s="129"/>
      <c r="L19" s="129"/>
      <c r="M19" s="960"/>
      <c r="N19" s="878">
        <f t="shared" si="0"/>
        <v>6.7229999999999999</v>
      </c>
      <c r="O19" s="129">
        <f t="shared" si="1"/>
        <v>10.8</v>
      </c>
      <c r="P19" s="135">
        <f t="shared" si="2"/>
        <v>22.153749344072665</v>
      </c>
      <c r="Q19" s="136">
        <f t="shared" si="3"/>
        <v>24.629339516113703</v>
      </c>
      <c r="R19" s="137">
        <f t="shared" si="4"/>
        <v>965.40242036802147</v>
      </c>
      <c r="S19" s="142">
        <f t="shared" si="5"/>
        <v>751.13666722148218</v>
      </c>
      <c r="T19" s="1028">
        <v>1</v>
      </c>
      <c r="U19" s="129" t="s">
        <v>200</v>
      </c>
      <c r="V19" s="129">
        <v>4</v>
      </c>
      <c r="W19" s="152">
        <v>11</v>
      </c>
      <c r="X19" s="129">
        <v>35</v>
      </c>
      <c r="Y19" s="129">
        <v>6.3</v>
      </c>
      <c r="Z19" s="136">
        <v>6.72</v>
      </c>
      <c r="AA19" s="129" t="s">
        <v>54</v>
      </c>
      <c r="AB19" s="129">
        <v>5</v>
      </c>
      <c r="AC19" s="529">
        <f t="shared" si="6"/>
        <v>20.58</v>
      </c>
      <c r="AD19" s="878">
        <f t="shared" si="17"/>
        <v>42.227614779904393</v>
      </c>
      <c r="AE19" s="138">
        <f t="shared" si="18"/>
        <v>44.781534196585987</v>
      </c>
      <c r="AF19" s="179">
        <f t="shared" si="19"/>
        <v>1.3681747188689022</v>
      </c>
      <c r="AG19" s="180">
        <f t="shared" si="20"/>
        <v>1.4509217079693859</v>
      </c>
      <c r="AH19" s="1313">
        <f t="shared" si="21"/>
        <v>506.476232400703</v>
      </c>
      <c r="AI19" s="1314">
        <f t="shared" si="22"/>
        <v>413.11670830184255</v>
      </c>
      <c r="AJ19" s="137">
        <f t="shared" si="7"/>
        <v>344.26392358486879</v>
      </c>
      <c r="AK19" s="137">
        <f t="shared" si="8"/>
        <v>275.41113886789503</v>
      </c>
      <c r="AL19" s="137">
        <f t="shared" si="23"/>
        <v>2658.5883694198737</v>
      </c>
      <c r="AM19" s="143">
        <f t="shared" si="24"/>
        <v>2171.0337523370104</v>
      </c>
    </row>
    <row r="20" spans="1:39" ht="12.75" customHeight="1" x14ac:dyDescent="0.2">
      <c r="A20" s="161">
        <v>8</v>
      </c>
      <c r="B20" s="2359"/>
      <c r="C20" s="2363"/>
      <c r="D20" s="673">
        <v>2.4</v>
      </c>
      <c r="E20" s="145" t="s">
        <v>39</v>
      </c>
      <c r="F20" s="146" t="s">
        <v>110</v>
      </c>
      <c r="G20" s="129">
        <v>10.308999999999999</v>
      </c>
      <c r="H20" s="130">
        <v>12.894</v>
      </c>
      <c r="I20" s="147"/>
      <c r="J20" s="148">
        <v>27</v>
      </c>
      <c r="K20" s="152"/>
      <c r="L20" s="152"/>
      <c r="M20" s="272"/>
      <c r="N20" s="151">
        <f t="shared" si="0"/>
        <v>6.7229999999999999</v>
      </c>
      <c r="O20" s="152">
        <f t="shared" si="1"/>
        <v>10.8</v>
      </c>
      <c r="P20" s="153">
        <f t="shared" si="2"/>
        <v>22.153749344072665</v>
      </c>
      <c r="Q20" s="154">
        <f t="shared" si="3"/>
        <v>24.629339516113703</v>
      </c>
      <c r="R20" s="155">
        <f t="shared" si="4"/>
        <v>965.40242036802147</v>
      </c>
      <c r="S20" s="361">
        <f t="shared" si="5"/>
        <v>751.13666722148218</v>
      </c>
      <c r="T20" s="1027">
        <v>2</v>
      </c>
      <c r="U20" s="152" t="s">
        <v>200</v>
      </c>
      <c r="V20" s="152">
        <v>4</v>
      </c>
      <c r="W20" s="152">
        <v>11</v>
      </c>
      <c r="X20" s="152">
        <v>35</v>
      </c>
      <c r="Y20" s="152">
        <v>6.3</v>
      </c>
      <c r="Z20" s="154">
        <v>6.8</v>
      </c>
      <c r="AA20" s="152" t="s">
        <v>54</v>
      </c>
      <c r="AB20" s="152">
        <v>5</v>
      </c>
      <c r="AC20" s="274">
        <f t="shared" si="6"/>
        <v>20.825000000000003</v>
      </c>
      <c r="AD20" s="151">
        <f t="shared" si="17"/>
        <v>42.469507708472442</v>
      </c>
      <c r="AE20" s="156">
        <f t="shared" si="18"/>
        <v>45.023772498536822</v>
      </c>
      <c r="AF20" s="157">
        <f t="shared" si="19"/>
        <v>1.376012049754507</v>
      </c>
      <c r="AG20" s="158">
        <f t="shared" si="20"/>
        <v>1.458770228952593</v>
      </c>
      <c r="AH20" s="1315">
        <f t="shared" si="21"/>
        <v>503.59150343359335</v>
      </c>
      <c r="AI20" s="1316">
        <f t="shared" si="22"/>
        <v>410.89404493151284</v>
      </c>
      <c r="AJ20" s="155">
        <f t="shared" si="7"/>
        <v>342.41170410959404</v>
      </c>
      <c r="AK20" s="155">
        <f t="shared" si="8"/>
        <v>273.92936328767524</v>
      </c>
      <c r="AL20" s="155">
        <f t="shared" si="23"/>
        <v>2643.4458881142182</v>
      </c>
      <c r="AM20" s="160">
        <f t="shared" si="24"/>
        <v>2159.353088979422</v>
      </c>
    </row>
    <row r="21" spans="1:39" ht="12.75" customHeight="1" x14ac:dyDescent="0.2">
      <c r="A21" s="161">
        <v>8</v>
      </c>
      <c r="B21" s="2358" t="s">
        <v>129</v>
      </c>
      <c r="C21" s="2362" t="s">
        <v>127</v>
      </c>
      <c r="D21" s="673">
        <v>2.4</v>
      </c>
      <c r="E21" s="145" t="s">
        <v>39</v>
      </c>
      <c r="F21" s="146" t="s">
        <v>130</v>
      </c>
      <c r="G21" s="152">
        <v>7.585</v>
      </c>
      <c r="H21" s="162">
        <v>8.1340000000000003</v>
      </c>
      <c r="I21" s="147"/>
      <c r="J21" s="148">
        <v>27.4</v>
      </c>
      <c r="K21" s="152"/>
      <c r="L21" s="152"/>
      <c r="M21" s="272"/>
      <c r="N21" s="151">
        <f t="shared" si="0"/>
        <v>6.8225999999999996</v>
      </c>
      <c r="O21" s="152">
        <f t="shared" si="1"/>
        <v>10.96</v>
      </c>
      <c r="P21" s="153">
        <f t="shared" si="2"/>
        <v>19.760184608449389</v>
      </c>
      <c r="Q21" s="154">
        <f t="shared" si="3"/>
        <v>20.276309002380092</v>
      </c>
      <c r="R21" s="155">
        <f t="shared" si="4"/>
        <v>1082.3422787178358</v>
      </c>
      <c r="S21" s="361">
        <f t="shared" si="5"/>
        <v>912.39485440019757</v>
      </c>
      <c r="T21" s="1027">
        <v>1</v>
      </c>
      <c r="U21" s="152" t="s">
        <v>553</v>
      </c>
      <c r="V21" s="152">
        <v>6.3</v>
      </c>
      <c r="W21" s="152">
        <v>11</v>
      </c>
      <c r="X21" s="152">
        <v>35</v>
      </c>
      <c r="Y21" s="152">
        <v>6.3</v>
      </c>
      <c r="Z21" s="154">
        <v>7.61</v>
      </c>
      <c r="AA21" s="152"/>
      <c r="AB21" s="152">
        <v>10</v>
      </c>
      <c r="AC21" s="274">
        <f t="shared" si="6"/>
        <v>14.797222222222222</v>
      </c>
      <c r="AD21" s="151">
        <f t="shared" si="17"/>
        <v>34.033096442669589</v>
      </c>
      <c r="AE21" s="156">
        <f t="shared" si="18"/>
        <v>34.571126890456576</v>
      </c>
      <c r="AF21" s="157">
        <f t="shared" si="19"/>
        <v>1.1026723247424945</v>
      </c>
      <c r="AG21" s="158">
        <f>SQRT(POWER((H21+O21+AC21),2)+POWER(N21,2))*POWER(6.3/35,2)</f>
        <v>1.120104511250793</v>
      </c>
      <c r="AH21" s="360">
        <f t="shared" si="21"/>
        <v>628.42601680461667</v>
      </c>
      <c r="AI21" s="155">
        <f t="shared" si="22"/>
        <v>535.12863664004431</v>
      </c>
      <c r="AJ21" s="155">
        <f t="shared" si="7"/>
        <v>445.94053053337029</v>
      </c>
      <c r="AK21" s="155">
        <f t="shared" si="8"/>
        <v>356.75242442669622</v>
      </c>
      <c r="AL21" s="155">
        <f t="shared" si="23"/>
        <v>3298.7255717772805</v>
      </c>
      <c r="AM21" s="160">
        <f t="shared" si="24"/>
        <v>2812.2375799401725</v>
      </c>
    </row>
    <row r="22" spans="1:39" ht="12.75" customHeight="1" x14ac:dyDescent="0.2">
      <c r="A22" s="161">
        <v>8</v>
      </c>
      <c r="B22" s="2359"/>
      <c r="C22" s="2363"/>
      <c r="D22" s="673">
        <v>2.4</v>
      </c>
      <c r="E22" s="145" t="s">
        <v>39</v>
      </c>
      <c r="F22" s="146" t="s">
        <v>130</v>
      </c>
      <c r="G22" s="152">
        <v>7.585</v>
      </c>
      <c r="H22" s="162">
        <v>8.1340000000000003</v>
      </c>
      <c r="I22" s="147"/>
      <c r="J22" s="148">
        <v>27.4</v>
      </c>
      <c r="K22" s="152"/>
      <c r="L22" s="152"/>
      <c r="M22" s="272"/>
      <c r="N22" s="151">
        <f t="shared" si="0"/>
        <v>6.8225999999999996</v>
      </c>
      <c r="O22" s="152">
        <f t="shared" si="1"/>
        <v>10.96</v>
      </c>
      <c r="P22" s="153">
        <f t="shared" si="2"/>
        <v>19.760184608449389</v>
      </c>
      <c r="Q22" s="154">
        <f t="shared" si="3"/>
        <v>20.276309002380092</v>
      </c>
      <c r="R22" s="155">
        <f t="shared" si="4"/>
        <v>1082.3422787178358</v>
      </c>
      <c r="S22" s="361">
        <f t="shared" si="5"/>
        <v>912.39485440019757</v>
      </c>
      <c r="T22" s="1027">
        <v>2</v>
      </c>
      <c r="U22" s="152" t="s">
        <v>553</v>
      </c>
      <c r="V22" s="152">
        <v>6.3</v>
      </c>
      <c r="W22" s="152">
        <v>11</v>
      </c>
      <c r="X22" s="152">
        <v>35</v>
      </c>
      <c r="Y22" s="152">
        <v>6.3</v>
      </c>
      <c r="Z22" s="1638">
        <v>7.6</v>
      </c>
      <c r="AA22" s="152"/>
      <c r="AB22" s="152">
        <v>10</v>
      </c>
      <c r="AC22" s="274">
        <f t="shared" si="6"/>
        <v>14.77777777777778</v>
      </c>
      <c r="AD22" s="151">
        <f t="shared" si="17"/>
        <v>34.014046945154298</v>
      </c>
      <c r="AE22" s="156">
        <f t="shared" si="18"/>
        <v>34.552065069792292</v>
      </c>
      <c r="AF22" s="157">
        <f t="shared" si="19"/>
        <v>1.1020551210229992</v>
      </c>
      <c r="AG22" s="158">
        <f t="shared" si="20"/>
        <v>1.1194869082612702</v>
      </c>
      <c r="AH22" s="360">
        <f t="shared" si="21"/>
        <v>628.777965511719</v>
      </c>
      <c r="AI22" s="155">
        <f t="shared" si="22"/>
        <v>535.4238585344043</v>
      </c>
      <c r="AJ22" s="155">
        <f t="shared" si="7"/>
        <v>446.18654877867027</v>
      </c>
      <c r="AK22" s="155">
        <f t="shared" si="8"/>
        <v>356.94923902293618</v>
      </c>
      <c r="AL22" s="155">
        <f t="shared" si="23"/>
        <v>3300.5730162958503</v>
      </c>
      <c r="AM22" s="160">
        <f t="shared" si="24"/>
        <v>2813.7890463519748</v>
      </c>
    </row>
    <row r="23" spans="1:39" x14ac:dyDescent="0.2">
      <c r="A23" s="161">
        <v>8</v>
      </c>
      <c r="B23" s="2358" t="s">
        <v>133</v>
      </c>
      <c r="C23" s="2360" t="s">
        <v>342</v>
      </c>
      <c r="D23" s="933">
        <v>2.4</v>
      </c>
      <c r="E23" s="963" t="s">
        <v>39</v>
      </c>
      <c r="F23" s="654" t="s">
        <v>130</v>
      </c>
      <c r="G23" s="276">
        <v>7.585</v>
      </c>
      <c r="H23" s="282">
        <v>8.1340000000000003</v>
      </c>
      <c r="I23" s="964"/>
      <c r="J23" s="623">
        <v>22.7</v>
      </c>
      <c r="K23" s="965"/>
      <c r="L23" s="276"/>
      <c r="M23" s="342"/>
      <c r="N23" s="538">
        <f t="shared" si="0"/>
        <v>5.6522999999999994</v>
      </c>
      <c r="O23" s="276">
        <f t="shared" si="1"/>
        <v>9.08</v>
      </c>
      <c r="P23" s="287">
        <f t="shared" si="2"/>
        <v>17.597463461817444</v>
      </c>
      <c r="Q23" s="288">
        <f t="shared" si="3"/>
        <v>18.118230909501069</v>
      </c>
      <c r="R23" s="155">
        <f t="shared" si="4"/>
        <v>1215.3617072937718</v>
      </c>
      <c r="S23" s="867">
        <f t="shared" si="5"/>
        <v>1021.0709915557337</v>
      </c>
      <c r="T23" s="1047">
        <v>1</v>
      </c>
      <c r="U23" s="152" t="s">
        <v>122</v>
      </c>
      <c r="V23" s="276">
        <v>4</v>
      </c>
      <c r="W23" s="152">
        <v>11</v>
      </c>
      <c r="X23" s="276">
        <v>35</v>
      </c>
      <c r="Y23" s="276">
        <v>6.3</v>
      </c>
      <c r="Z23" s="276">
        <v>7.5</v>
      </c>
      <c r="AA23" s="276"/>
      <c r="AB23" s="276"/>
      <c r="AC23" s="290">
        <f t="shared" si="6"/>
        <v>22.96875</v>
      </c>
      <c r="AD23" s="538">
        <f t="shared" si="17"/>
        <v>40.034767819390431</v>
      </c>
      <c r="AE23" s="411">
        <f t="shared" si="18"/>
        <v>40.578342657783594</v>
      </c>
      <c r="AF23" s="181">
        <f t="shared" si="19"/>
        <v>1.2971264773482498</v>
      </c>
      <c r="AG23" s="182">
        <f t="shared" si="20"/>
        <v>1.3147383021121883</v>
      </c>
      <c r="AH23" s="603">
        <f t="shared" si="21"/>
        <v>534.21774127625906</v>
      </c>
      <c r="AI23" s="292">
        <f t="shared" si="22"/>
        <v>455.90822069839749</v>
      </c>
      <c r="AJ23" s="292">
        <f t="shared" si="7"/>
        <v>379.92351724866461</v>
      </c>
      <c r="AK23" s="292">
        <f t="shared" si="8"/>
        <v>303.93881379893168</v>
      </c>
      <c r="AL23" s="155">
        <f t="shared" si="23"/>
        <v>2804.208732486311</v>
      </c>
      <c r="AM23" s="160">
        <f t="shared" si="24"/>
        <v>2395.9140727393265</v>
      </c>
    </row>
    <row r="24" spans="1:39" x14ac:dyDescent="0.2">
      <c r="A24" s="144">
        <v>8</v>
      </c>
      <c r="B24" s="2307"/>
      <c r="C24" s="2571"/>
      <c r="D24" s="1100">
        <v>2.4</v>
      </c>
      <c r="E24" s="963" t="s">
        <v>39</v>
      </c>
      <c r="F24" s="654" t="s">
        <v>130</v>
      </c>
      <c r="G24" s="276">
        <v>7.585</v>
      </c>
      <c r="H24" s="282">
        <v>8.1340000000000003</v>
      </c>
      <c r="I24" s="964"/>
      <c r="J24" s="623">
        <v>22.7</v>
      </c>
      <c r="K24" s="965"/>
      <c r="L24" s="276"/>
      <c r="M24" s="342"/>
      <c r="N24" s="538">
        <f t="shared" si="0"/>
        <v>5.6522999999999994</v>
      </c>
      <c r="O24" s="276">
        <f t="shared" si="1"/>
        <v>9.08</v>
      </c>
      <c r="P24" s="287">
        <f t="shared" si="2"/>
        <v>17.597463461817444</v>
      </c>
      <c r="Q24" s="288">
        <f t="shared" si="3"/>
        <v>18.118230909501069</v>
      </c>
      <c r="R24" s="292">
        <f t="shared" si="4"/>
        <v>1215.3617072937718</v>
      </c>
      <c r="S24" s="867">
        <f t="shared" si="5"/>
        <v>1021.0709915557337</v>
      </c>
      <c r="T24" s="1047">
        <v>2</v>
      </c>
      <c r="U24" s="276" t="s">
        <v>122</v>
      </c>
      <c r="V24" s="276">
        <v>4</v>
      </c>
      <c r="W24" s="276">
        <v>11</v>
      </c>
      <c r="X24" s="276">
        <v>35</v>
      </c>
      <c r="Y24" s="276">
        <v>6.3</v>
      </c>
      <c r="Z24" s="276">
        <v>7.5</v>
      </c>
      <c r="AA24" s="276"/>
      <c r="AB24" s="276"/>
      <c r="AC24" s="290">
        <f t="shared" si="6"/>
        <v>22.96875</v>
      </c>
      <c r="AD24" s="538">
        <f t="shared" si="17"/>
        <v>40.034767819390431</v>
      </c>
      <c r="AE24" s="411">
        <f t="shared" si="18"/>
        <v>40.578342657783594</v>
      </c>
      <c r="AF24" s="181">
        <f t="shared" si="19"/>
        <v>1.2971264773482498</v>
      </c>
      <c r="AG24" s="182">
        <f t="shared" si="20"/>
        <v>1.3147383021121883</v>
      </c>
      <c r="AH24" s="603">
        <f t="shared" si="21"/>
        <v>534.21774127625906</v>
      </c>
      <c r="AI24" s="292">
        <f t="shared" si="22"/>
        <v>455.90822069839749</v>
      </c>
      <c r="AJ24" s="292">
        <f t="shared" si="7"/>
        <v>379.92351724866461</v>
      </c>
      <c r="AK24" s="292">
        <f t="shared" si="8"/>
        <v>303.93881379893168</v>
      </c>
      <c r="AL24" s="292">
        <f t="shared" si="23"/>
        <v>2804.208732486311</v>
      </c>
      <c r="AM24" s="318">
        <f t="shared" si="24"/>
        <v>2395.9140727393265</v>
      </c>
    </row>
    <row r="25" spans="1:39" x14ac:dyDescent="0.2">
      <c r="A25" s="161">
        <v>8</v>
      </c>
      <c r="B25" s="2564" t="s">
        <v>447</v>
      </c>
      <c r="C25" s="933"/>
      <c r="D25" s="933">
        <v>2.4</v>
      </c>
      <c r="E25" s="961" t="s">
        <v>39</v>
      </c>
      <c r="F25" s="146" t="s">
        <v>130</v>
      </c>
      <c r="G25" s="276">
        <v>7.585</v>
      </c>
      <c r="H25" s="282">
        <v>8.1340000000000003</v>
      </c>
      <c r="I25" s="962"/>
      <c r="J25" s="148">
        <v>5.4</v>
      </c>
      <c r="K25" s="363"/>
      <c r="L25" s="152"/>
      <c r="M25" s="272"/>
      <c r="N25" s="151">
        <f t="shared" si="0"/>
        <v>1.3446</v>
      </c>
      <c r="O25" s="152">
        <f t="shared" si="1"/>
        <v>2.16</v>
      </c>
      <c r="P25" s="1115">
        <f t="shared" si="2"/>
        <v>9.8373255593174331</v>
      </c>
      <c r="Q25" s="1101">
        <f t="shared" si="3"/>
        <v>10.381444271391144</v>
      </c>
      <c r="R25" s="155">
        <f t="shared" si="4"/>
        <v>2174.0952973480917</v>
      </c>
      <c r="S25" s="361">
        <f t="shared" si="5"/>
        <v>1782.0256523441267</v>
      </c>
      <c r="T25" s="1027"/>
      <c r="U25" s="152"/>
      <c r="V25" s="152"/>
      <c r="W25" s="152"/>
      <c r="X25" s="152"/>
      <c r="Y25" s="152"/>
      <c r="Z25" s="152"/>
      <c r="AA25" s="152"/>
      <c r="AB25" s="152"/>
      <c r="AC25" s="274"/>
      <c r="AD25" s="151"/>
      <c r="AE25" s="156"/>
      <c r="AF25" s="157"/>
      <c r="AG25" s="158"/>
      <c r="AH25" s="360"/>
      <c r="AI25" s="155"/>
      <c r="AJ25" s="155"/>
      <c r="AK25" s="155"/>
      <c r="AL25" s="155"/>
      <c r="AM25" s="160"/>
    </row>
    <row r="26" spans="1:39" ht="13.5" thickBot="1" x14ac:dyDescent="0.25">
      <c r="A26" s="932">
        <v>8</v>
      </c>
      <c r="B26" s="2565"/>
      <c r="C26" s="1103"/>
      <c r="D26" s="1099">
        <v>2.4</v>
      </c>
      <c r="E26" s="1104" t="s">
        <v>39</v>
      </c>
      <c r="F26" s="655" t="s">
        <v>130</v>
      </c>
      <c r="G26" s="276">
        <v>7.585</v>
      </c>
      <c r="H26" s="282">
        <v>8.1340000000000003</v>
      </c>
      <c r="I26" s="1105"/>
      <c r="J26" s="132">
        <v>5.4</v>
      </c>
      <c r="K26" s="1106"/>
      <c r="L26" s="129"/>
      <c r="M26" s="960"/>
      <c r="N26" s="1107">
        <f t="shared" si="0"/>
        <v>1.3446</v>
      </c>
      <c r="O26" s="970">
        <f t="shared" si="1"/>
        <v>2.16</v>
      </c>
      <c r="P26" s="1116">
        <f t="shared" si="2"/>
        <v>9.8373255593174331</v>
      </c>
      <c r="Q26" s="1117">
        <f t="shared" si="3"/>
        <v>10.381444271391144</v>
      </c>
      <c r="R26" s="289">
        <f t="shared" si="4"/>
        <v>2174.0952973480917</v>
      </c>
      <c r="S26" s="1045">
        <f t="shared" si="5"/>
        <v>1782.0256523441267</v>
      </c>
      <c r="T26" s="1108"/>
      <c r="U26" s="970"/>
      <c r="V26" s="970"/>
      <c r="W26" s="970"/>
      <c r="X26" s="970"/>
      <c r="Y26" s="970"/>
      <c r="Z26" s="970"/>
      <c r="AA26" s="970"/>
      <c r="AB26" s="970"/>
      <c r="AC26" s="1109"/>
      <c r="AD26" s="1107"/>
      <c r="AE26" s="1110"/>
      <c r="AF26" s="179"/>
      <c r="AG26" s="180"/>
      <c r="AH26" s="542"/>
      <c r="AI26" s="137"/>
      <c r="AJ26" s="137"/>
      <c r="AK26" s="137"/>
      <c r="AL26" s="137"/>
      <c r="AM26" s="143"/>
    </row>
    <row r="27" spans="1:39" ht="12.75" customHeight="1" x14ac:dyDescent="0.2">
      <c r="A27" s="293">
        <v>8</v>
      </c>
      <c r="B27" s="2478" t="s">
        <v>299</v>
      </c>
      <c r="C27" s="2572" t="s">
        <v>43</v>
      </c>
      <c r="D27" s="674">
        <v>2.4</v>
      </c>
      <c r="E27" s="294" t="s">
        <v>35</v>
      </c>
      <c r="F27" s="231" t="s">
        <v>130</v>
      </c>
      <c r="G27" s="232">
        <v>7.585</v>
      </c>
      <c r="H27" s="295">
        <v>8.1340000000000003</v>
      </c>
      <c r="I27" s="296"/>
      <c r="J27" s="297">
        <v>33.01</v>
      </c>
      <c r="K27" s="232"/>
      <c r="L27" s="232"/>
      <c r="M27" s="295"/>
      <c r="N27" s="298">
        <f t="shared" si="0"/>
        <v>8.2194899999999986</v>
      </c>
      <c r="O27" s="232">
        <f t="shared" ref="O27:O37" si="25">0.4*SUM(I27:M27)</f>
        <v>13.204000000000001</v>
      </c>
      <c r="P27" s="252">
        <f t="shared" si="2"/>
        <v>22.354921982867666</v>
      </c>
      <c r="Q27" s="238">
        <f t="shared" si="3"/>
        <v>22.866356506013371</v>
      </c>
      <c r="R27" s="253">
        <f t="shared" si="4"/>
        <v>956.71473393577378</v>
      </c>
      <c r="S27" s="266">
        <f t="shared" si="5"/>
        <v>809.04887471403185</v>
      </c>
      <c r="T27" s="1048">
        <v>1</v>
      </c>
      <c r="U27" s="232" t="s">
        <v>190</v>
      </c>
      <c r="V27" s="232">
        <v>6.3</v>
      </c>
      <c r="W27" s="232">
        <v>11</v>
      </c>
      <c r="X27" s="232">
        <v>35</v>
      </c>
      <c r="Y27" s="232">
        <v>6.3</v>
      </c>
      <c r="Z27" s="238">
        <v>7.68</v>
      </c>
      <c r="AA27" s="232"/>
      <c r="AB27" s="232">
        <v>5</v>
      </c>
      <c r="AC27" s="300">
        <f t="shared" si="6"/>
        <v>14.933333333333332</v>
      </c>
      <c r="AD27" s="298">
        <f t="shared" ref="AD27:AD38" si="26">SQRT(POWER(N27,2)+POWER(O27+AC27+G27,2))</f>
        <v>36.655765094155079</v>
      </c>
      <c r="AE27" s="300">
        <f t="shared" ref="AE27:AE38" si="27">SQRT(POWER(N27,2)+POWER(O27+AC27+H27,2))</f>
        <v>37.19098866174275</v>
      </c>
      <c r="AF27" s="139">
        <f t="shared" ref="AF27:AF38" si="28">SQRT(POWER((AC27+O27+G27),2)+POWER(N27,2))*POWER(6.3/35,2)</f>
        <v>1.1876467890506246</v>
      </c>
      <c r="AG27" s="140">
        <f t="shared" ref="AG27:AG38" si="29">SQRT(POWER((H27+O27+AC27),2)+POWER(N27,2))*POWER(6.3/35,2)</f>
        <v>1.2049880326404649</v>
      </c>
      <c r="AH27" s="319">
        <f t="shared" si="21"/>
        <v>583.46301549178452</v>
      </c>
      <c r="AI27" s="253">
        <f t="shared" ref="AI27:AI38" si="30">37000/2/SQRT(POWER((H27+O27+AC27),2)+N27*N27)</f>
        <v>497.43232610082219</v>
      </c>
      <c r="AJ27" s="253">
        <f t="shared" si="7"/>
        <v>414.52693841735186</v>
      </c>
      <c r="AK27" s="253">
        <f t="shared" si="8"/>
        <v>331.62155073388146</v>
      </c>
      <c r="AL27" s="253">
        <f t="shared" ref="AL27:AL38" si="31">SUM(6300/(1.732*AF27))</f>
        <v>3062.706377395948</v>
      </c>
      <c r="AM27" s="266">
        <f t="shared" ref="AM27:AM38" si="32">SUM(6300/(2*AG27))</f>
        <v>2614.133845875192</v>
      </c>
    </row>
    <row r="28" spans="1:39" ht="12.75" customHeight="1" x14ac:dyDescent="0.2">
      <c r="A28" s="255">
        <v>8</v>
      </c>
      <c r="B28" s="2366"/>
      <c r="C28" s="2567"/>
      <c r="D28" s="675">
        <v>2.4</v>
      </c>
      <c r="E28" s="301" t="s">
        <v>35</v>
      </c>
      <c r="F28" s="210" t="s">
        <v>130</v>
      </c>
      <c r="G28" s="211">
        <v>7.585</v>
      </c>
      <c r="H28" s="302">
        <v>8.1340000000000003</v>
      </c>
      <c r="I28" s="303"/>
      <c r="J28" s="304">
        <v>33.01</v>
      </c>
      <c r="K28" s="211"/>
      <c r="L28" s="211"/>
      <c r="M28" s="302"/>
      <c r="N28" s="305">
        <f t="shared" si="0"/>
        <v>8.2194899999999986</v>
      </c>
      <c r="O28" s="211">
        <f t="shared" si="25"/>
        <v>13.204000000000001</v>
      </c>
      <c r="P28" s="218">
        <f t="shared" si="2"/>
        <v>22.354921982867666</v>
      </c>
      <c r="Q28" s="219">
        <f t="shared" si="3"/>
        <v>22.866356506013371</v>
      </c>
      <c r="R28" s="220">
        <f t="shared" si="4"/>
        <v>956.71473393577378</v>
      </c>
      <c r="S28" s="262">
        <f t="shared" si="5"/>
        <v>809.04887471403185</v>
      </c>
      <c r="T28" s="1031">
        <v>2</v>
      </c>
      <c r="U28" s="211" t="s">
        <v>207</v>
      </c>
      <c r="V28" s="211">
        <v>6.3</v>
      </c>
      <c r="W28" s="211">
        <v>11</v>
      </c>
      <c r="X28" s="211">
        <v>35</v>
      </c>
      <c r="Y28" s="211">
        <v>6.3</v>
      </c>
      <c r="Z28" s="219">
        <v>7.78</v>
      </c>
      <c r="AA28" s="211"/>
      <c r="AB28" s="211">
        <v>5</v>
      </c>
      <c r="AC28" s="307">
        <f t="shared" si="6"/>
        <v>15.12777777777778</v>
      </c>
      <c r="AD28" s="305">
        <f t="shared" si="26"/>
        <v>36.845283847439312</v>
      </c>
      <c r="AE28" s="307">
        <f t="shared" si="27"/>
        <v>37.380649603750491</v>
      </c>
      <c r="AF28" s="157">
        <f t="shared" si="28"/>
        <v>1.1937871966570337</v>
      </c>
      <c r="AG28" s="158">
        <f t="shared" si="29"/>
        <v>1.2111330471615158</v>
      </c>
      <c r="AH28" s="320">
        <f t="shared" si="21"/>
        <v>580.46189372702042</v>
      </c>
      <c r="AI28" s="220">
        <f t="shared" si="30"/>
        <v>494.90846724461016</v>
      </c>
      <c r="AJ28" s="220">
        <f t="shared" si="7"/>
        <v>412.4237227038418</v>
      </c>
      <c r="AK28" s="220">
        <f t="shared" si="8"/>
        <v>329.93897816307344</v>
      </c>
      <c r="AL28" s="220">
        <f t="shared" si="31"/>
        <v>3046.9529285496019</v>
      </c>
      <c r="AM28" s="262">
        <f t="shared" si="32"/>
        <v>2600.8703233575611</v>
      </c>
    </row>
    <row r="29" spans="1:39" ht="12.75" customHeight="1" x14ac:dyDescent="0.2">
      <c r="A29" s="255">
        <v>8</v>
      </c>
      <c r="B29" s="2369" t="s">
        <v>150</v>
      </c>
      <c r="C29" s="2566" t="s">
        <v>358</v>
      </c>
      <c r="D29" s="675">
        <v>2.4</v>
      </c>
      <c r="E29" s="301" t="s">
        <v>35</v>
      </c>
      <c r="F29" s="210" t="s">
        <v>110</v>
      </c>
      <c r="G29" s="211">
        <v>10.308999999999999</v>
      </c>
      <c r="H29" s="302">
        <v>12.894</v>
      </c>
      <c r="I29" s="303"/>
      <c r="J29" s="304">
        <v>57.85</v>
      </c>
      <c r="K29" s="211"/>
      <c r="L29" s="211"/>
      <c r="M29" s="302"/>
      <c r="N29" s="305">
        <f t="shared" si="0"/>
        <v>14.40465</v>
      </c>
      <c r="O29" s="211">
        <f>0.4*SUM(I29:M29)</f>
        <v>23.14</v>
      </c>
      <c r="P29" s="218">
        <f t="shared" si="2"/>
        <v>36.418807539820683</v>
      </c>
      <c r="Q29" s="219">
        <f t="shared" si="3"/>
        <v>38.806482675224508</v>
      </c>
      <c r="R29" s="220">
        <f t="shared" si="4"/>
        <v>587.25929490165629</v>
      </c>
      <c r="S29" s="262">
        <f t="shared" si="5"/>
        <v>476.72447293995759</v>
      </c>
      <c r="T29" s="1031">
        <v>1</v>
      </c>
      <c r="U29" s="211" t="s">
        <v>205</v>
      </c>
      <c r="V29" s="211">
        <v>10</v>
      </c>
      <c r="W29" s="211">
        <v>11</v>
      </c>
      <c r="X29" s="211">
        <v>35</v>
      </c>
      <c r="Y29" s="211">
        <v>6.3</v>
      </c>
      <c r="Z29" s="219">
        <v>8.0399999999999991</v>
      </c>
      <c r="AA29" s="387"/>
      <c r="AB29" s="211">
        <v>9.5</v>
      </c>
      <c r="AC29" s="307">
        <f t="shared" si="6"/>
        <v>9.8489999999999984</v>
      </c>
      <c r="AD29" s="305">
        <f t="shared" si="26"/>
        <v>45.631247469497254</v>
      </c>
      <c r="AE29" s="307">
        <f t="shared" si="27"/>
        <v>48.090993238053422</v>
      </c>
      <c r="AF29" s="157">
        <f t="shared" si="28"/>
        <v>1.4784524180117109</v>
      </c>
      <c r="AG29" s="158">
        <f t="shared" si="29"/>
        <v>1.5581481809129307</v>
      </c>
      <c r="AH29" s="320">
        <f t="shared" si="21"/>
        <v>468.69819308119509</v>
      </c>
      <c r="AI29" s="220">
        <f t="shared" si="30"/>
        <v>384.68741762982194</v>
      </c>
      <c r="AJ29" s="220">
        <f t="shared" si="7"/>
        <v>320.57284802485162</v>
      </c>
      <c r="AK29" s="220">
        <f t="shared" si="8"/>
        <v>256.45827841988131</v>
      </c>
      <c r="AL29" s="220">
        <f t="shared" si="31"/>
        <v>2460.2843829163776</v>
      </c>
      <c r="AM29" s="262">
        <f t="shared" si="32"/>
        <v>2021.630573129695</v>
      </c>
    </row>
    <row r="30" spans="1:39" ht="12.75" customHeight="1" x14ac:dyDescent="0.2">
      <c r="A30" s="255">
        <v>8</v>
      </c>
      <c r="B30" s="2366"/>
      <c r="C30" s="2567"/>
      <c r="D30" s="675">
        <v>2.4</v>
      </c>
      <c r="E30" s="326" t="s">
        <v>35</v>
      </c>
      <c r="F30" s="653" t="s">
        <v>110</v>
      </c>
      <c r="G30" s="211">
        <v>10.308999999999999</v>
      </c>
      <c r="H30" s="302">
        <v>12.894</v>
      </c>
      <c r="I30" s="328"/>
      <c r="J30" s="329">
        <v>57.85</v>
      </c>
      <c r="K30" s="223"/>
      <c r="L30" s="223"/>
      <c r="M30" s="327"/>
      <c r="N30" s="331">
        <f t="shared" si="0"/>
        <v>14.40465</v>
      </c>
      <c r="O30" s="211">
        <f>0.4*SUM(I30:M30)</f>
        <v>23.14</v>
      </c>
      <c r="P30" s="227">
        <f t="shared" si="2"/>
        <v>36.418807539820683</v>
      </c>
      <c r="Q30" s="228">
        <f t="shared" si="3"/>
        <v>38.806482675224508</v>
      </c>
      <c r="R30" s="229">
        <f t="shared" si="4"/>
        <v>587.25929490165629</v>
      </c>
      <c r="S30" s="264">
        <f t="shared" si="5"/>
        <v>476.72447293995759</v>
      </c>
      <c r="T30" s="1042">
        <v>2</v>
      </c>
      <c r="U30" s="223" t="s">
        <v>205</v>
      </c>
      <c r="V30" s="223">
        <v>10</v>
      </c>
      <c r="W30" s="211">
        <v>11</v>
      </c>
      <c r="X30" s="223">
        <v>35</v>
      </c>
      <c r="Y30" s="223">
        <v>6.3</v>
      </c>
      <c r="Z30" s="228">
        <v>7.99</v>
      </c>
      <c r="AA30" s="966"/>
      <c r="AB30" s="223">
        <v>9.5</v>
      </c>
      <c r="AC30" s="333">
        <f t="shared" si="6"/>
        <v>9.7877499999999991</v>
      </c>
      <c r="AD30" s="331">
        <f t="shared" si="26"/>
        <v>45.573133447076032</v>
      </c>
      <c r="AE30" s="333">
        <f t="shared" si="27"/>
        <v>48.032558902113479</v>
      </c>
      <c r="AF30" s="181">
        <f t="shared" si="28"/>
        <v>1.4765695236852634</v>
      </c>
      <c r="AG30" s="182">
        <f t="shared" si="29"/>
        <v>1.5562549084284762</v>
      </c>
      <c r="AH30" s="334">
        <f t="shared" si="21"/>
        <v>469.29586840525718</v>
      </c>
      <c r="AI30" s="229">
        <f t="shared" si="30"/>
        <v>385.15541172190154</v>
      </c>
      <c r="AJ30" s="229">
        <f t="shared" si="7"/>
        <v>320.96284310158461</v>
      </c>
      <c r="AK30" s="229">
        <f t="shared" si="8"/>
        <v>256.77027448126768</v>
      </c>
      <c r="AL30" s="220">
        <f t="shared" si="31"/>
        <v>2463.4216923567615</v>
      </c>
      <c r="AM30" s="262">
        <f t="shared" si="32"/>
        <v>2024.0900015415248</v>
      </c>
    </row>
    <row r="31" spans="1:39" ht="12.75" customHeight="1" x14ac:dyDescent="0.2">
      <c r="A31" s="255">
        <v>8</v>
      </c>
      <c r="B31" s="2369" t="s">
        <v>136</v>
      </c>
      <c r="C31" s="2566" t="s">
        <v>341</v>
      </c>
      <c r="D31" s="675">
        <v>2.4</v>
      </c>
      <c r="E31" s="301" t="s">
        <v>35</v>
      </c>
      <c r="F31" s="210" t="s">
        <v>110</v>
      </c>
      <c r="G31" s="211">
        <v>10.308999999999999</v>
      </c>
      <c r="H31" s="302">
        <v>12.894</v>
      </c>
      <c r="I31" s="303"/>
      <c r="J31" s="304">
        <v>52.4</v>
      </c>
      <c r="K31" s="211"/>
      <c r="L31" s="211"/>
      <c r="M31" s="302"/>
      <c r="N31" s="305">
        <f t="shared" si="0"/>
        <v>13.047599999999999</v>
      </c>
      <c r="O31" s="211">
        <f>0.4*SUM(I31:M31)</f>
        <v>20.96</v>
      </c>
      <c r="P31" s="218">
        <f t="shared" si="2"/>
        <v>33.882004467858742</v>
      </c>
      <c r="Q31" s="219">
        <f t="shared" si="3"/>
        <v>36.281306230068395</v>
      </c>
      <c r="R31" s="220">
        <f t="shared" si="4"/>
        <v>631.22839315137605</v>
      </c>
      <c r="S31" s="262">
        <f t="shared" si="5"/>
        <v>509.90446382186735</v>
      </c>
      <c r="T31" s="1031">
        <v>1</v>
      </c>
      <c r="U31" s="211" t="s">
        <v>137</v>
      </c>
      <c r="V31" s="211">
        <v>4</v>
      </c>
      <c r="W31" s="211">
        <v>11</v>
      </c>
      <c r="X31" s="211">
        <v>35</v>
      </c>
      <c r="Y31" s="211">
        <v>6.3</v>
      </c>
      <c r="Z31" s="219">
        <v>7.97</v>
      </c>
      <c r="AA31" s="387"/>
      <c r="AB31" s="211">
        <v>10</v>
      </c>
      <c r="AC31" s="307">
        <f t="shared" si="6"/>
        <v>24.408124999999998</v>
      </c>
      <c r="AD31" s="305">
        <f t="shared" si="26"/>
        <v>57.185506153444379</v>
      </c>
      <c r="AE31" s="307">
        <f t="shared" si="27"/>
        <v>59.70523490679544</v>
      </c>
      <c r="AF31" s="157">
        <f t="shared" si="28"/>
        <v>1.8528103993715979</v>
      </c>
      <c r="AG31" s="158">
        <f t="shared" si="29"/>
        <v>1.9344496109801721</v>
      </c>
      <c r="AH31" s="320">
        <f t="shared" si="21"/>
        <v>373.9983201268916</v>
      </c>
      <c r="AI31" s="220">
        <f t="shared" si="30"/>
        <v>309.85557679958805</v>
      </c>
      <c r="AJ31" s="220">
        <f t="shared" si="7"/>
        <v>258.2129806663234</v>
      </c>
      <c r="AK31" s="220">
        <f t="shared" si="8"/>
        <v>206.5703845330587</v>
      </c>
      <c r="AL31" s="220">
        <f t="shared" si="31"/>
        <v>1963.1870568908939</v>
      </c>
      <c r="AM31" s="262">
        <f t="shared" si="32"/>
        <v>1628.3701483461837</v>
      </c>
    </row>
    <row r="32" spans="1:39" ht="12.75" customHeight="1" x14ac:dyDescent="0.2">
      <c r="A32" s="255">
        <v>8</v>
      </c>
      <c r="B32" s="2366"/>
      <c r="C32" s="2567"/>
      <c r="D32" s="675">
        <v>2.4</v>
      </c>
      <c r="E32" s="301" t="s">
        <v>35</v>
      </c>
      <c r="F32" s="210" t="s">
        <v>110</v>
      </c>
      <c r="G32" s="211">
        <v>10.308999999999999</v>
      </c>
      <c r="H32" s="302">
        <v>12.894</v>
      </c>
      <c r="I32" s="303"/>
      <c r="J32" s="304">
        <v>52.4</v>
      </c>
      <c r="K32" s="211"/>
      <c r="L32" s="211"/>
      <c r="M32" s="302"/>
      <c r="N32" s="305">
        <f t="shared" si="0"/>
        <v>13.047599999999999</v>
      </c>
      <c r="O32" s="211">
        <f>0.4*SUM(I32:M32)</f>
        <v>20.96</v>
      </c>
      <c r="P32" s="218">
        <f t="shared" si="2"/>
        <v>33.882004467858742</v>
      </c>
      <c r="Q32" s="219">
        <f t="shared" si="3"/>
        <v>36.281306230068395</v>
      </c>
      <c r="R32" s="220">
        <f t="shared" si="4"/>
        <v>631.22839315137605</v>
      </c>
      <c r="S32" s="262">
        <f t="shared" si="5"/>
        <v>509.90446382186735</v>
      </c>
      <c r="T32" s="1031">
        <v>2</v>
      </c>
      <c r="U32" s="211" t="s">
        <v>137</v>
      </c>
      <c r="V32" s="211">
        <v>4</v>
      </c>
      <c r="W32" s="211">
        <v>11</v>
      </c>
      <c r="X32" s="211">
        <v>35</v>
      </c>
      <c r="Y32" s="211">
        <v>6.3</v>
      </c>
      <c r="Z32" s="219">
        <v>8.07</v>
      </c>
      <c r="AA32" s="387"/>
      <c r="AB32" s="211">
        <v>10</v>
      </c>
      <c r="AC32" s="307">
        <f t="shared" si="6"/>
        <v>24.714375000000004</v>
      </c>
      <c r="AD32" s="305">
        <f t="shared" si="26"/>
        <v>57.483720670730989</v>
      </c>
      <c r="AE32" s="307">
        <f t="shared" si="27"/>
        <v>60.004119991052491</v>
      </c>
      <c r="AF32" s="157">
        <f t="shared" si="28"/>
        <v>1.8624725497316839</v>
      </c>
      <c r="AG32" s="158">
        <f t="shared" si="29"/>
        <v>1.9441334877101006</v>
      </c>
      <c r="AH32" s="320">
        <f t="shared" si="21"/>
        <v>372.05808857609298</v>
      </c>
      <c r="AI32" s="220">
        <f t="shared" si="30"/>
        <v>308.31216261081113</v>
      </c>
      <c r="AJ32" s="220">
        <f t="shared" si="7"/>
        <v>256.92680217567596</v>
      </c>
      <c r="AK32" s="220">
        <f t="shared" si="8"/>
        <v>205.54144174054076</v>
      </c>
      <c r="AL32" s="220">
        <f t="shared" si="31"/>
        <v>1953.0024189850158</v>
      </c>
      <c r="AM32" s="262">
        <f t="shared" si="32"/>
        <v>1620.2591128195781</v>
      </c>
    </row>
    <row r="33" spans="1:39" s="392" customFormat="1" ht="12.75" customHeight="1" x14ac:dyDescent="0.2">
      <c r="A33" s="255">
        <v>8</v>
      </c>
      <c r="B33" s="2369" t="s">
        <v>126</v>
      </c>
      <c r="C33" s="2568" t="s">
        <v>43</v>
      </c>
      <c r="D33" s="675">
        <v>2.4</v>
      </c>
      <c r="E33" s="301" t="s">
        <v>35</v>
      </c>
      <c r="F33" s="210" t="s">
        <v>130</v>
      </c>
      <c r="G33" s="211">
        <v>7.585</v>
      </c>
      <c r="H33" s="302">
        <v>8.1340000000000003</v>
      </c>
      <c r="I33" s="303"/>
      <c r="J33" s="304">
        <v>32.700000000000003</v>
      </c>
      <c r="K33" s="211"/>
      <c r="L33" s="211"/>
      <c r="M33" s="302"/>
      <c r="N33" s="305">
        <f t="shared" ref="N33:N40" si="33">0.314*I33+0.249*J33+0.195*K33+0.159*L33+0.06*M33</f>
        <v>8.1423000000000005</v>
      </c>
      <c r="O33" s="211">
        <f t="shared" si="25"/>
        <v>13.080000000000002</v>
      </c>
      <c r="P33" s="218">
        <f t="shared" si="2"/>
        <v>22.211242069951876</v>
      </c>
      <c r="Q33" s="219">
        <f t="shared" si="3"/>
        <v>22.722914542153259</v>
      </c>
      <c r="R33" s="220">
        <f t="shared" si="4"/>
        <v>962.90352289337591</v>
      </c>
      <c r="S33" s="262">
        <f t="shared" si="5"/>
        <v>814.15612269634983</v>
      </c>
      <c r="T33" s="1031">
        <v>1</v>
      </c>
      <c r="U33" s="211" t="s">
        <v>200</v>
      </c>
      <c r="V33" s="211">
        <v>4</v>
      </c>
      <c r="W33" s="211">
        <v>11</v>
      </c>
      <c r="X33" s="211">
        <v>35</v>
      </c>
      <c r="Y33" s="211">
        <v>6.3</v>
      </c>
      <c r="Z33" s="219">
        <v>6.72</v>
      </c>
      <c r="AA33" s="211" t="s">
        <v>54</v>
      </c>
      <c r="AB33" s="211">
        <v>5</v>
      </c>
      <c r="AC33" s="307">
        <f t="shared" ref="AC33:AC38" si="34">Z33/100*X33*X33/V33</f>
        <v>20.58</v>
      </c>
      <c r="AD33" s="305">
        <f t="shared" si="26"/>
        <v>42.041016570606374</v>
      </c>
      <c r="AE33" s="307">
        <f t="shared" si="27"/>
        <v>42.579754406172889</v>
      </c>
      <c r="AF33" s="157">
        <f t="shared" si="28"/>
        <v>1.3621289368876464</v>
      </c>
      <c r="AG33" s="158">
        <f t="shared" si="29"/>
        <v>1.3795840427600015</v>
      </c>
      <c r="AH33" s="1317">
        <f t="shared" si="21"/>
        <v>508.7242170054343</v>
      </c>
      <c r="AI33" s="1318">
        <f t="shared" si="30"/>
        <v>434.47878593959223</v>
      </c>
      <c r="AJ33" s="220">
        <f t="shared" ref="AJ33:AJ38" si="35">AI33/1.2</f>
        <v>362.0656549496602</v>
      </c>
      <c r="AK33" s="220">
        <f t="shared" ref="AK33:AK38" si="36">AI33/1.5</f>
        <v>289.65252395972817</v>
      </c>
      <c r="AL33" s="220">
        <f t="shared" si="31"/>
        <v>2670.3884606037091</v>
      </c>
      <c r="AM33" s="262">
        <f t="shared" si="32"/>
        <v>2283.2969231059656</v>
      </c>
    </row>
    <row r="34" spans="1:39" s="392" customFormat="1" ht="12.75" customHeight="1" x14ac:dyDescent="0.2">
      <c r="A34" s="255">
        <v>8</v>
      </c>
      <c r="B34" s="2366"/>
      <c r="C34" s="2569"/>
      <c r="D34" s="675">
        <v>2.4</v>
      </c>
      <c r="E34" s="301" t="s">
        <v>35</v>
      </c>
      <c r="F34" s="210" t="s">
        <v>130</v>
      </c>
      <c r="G34" s="211">
        <v>7.585</v>
      </c>
      <c r="H34" s="302">
        <v>8.1340000000000003</v>
      </c>
      <c r="I34" s="303"/>
      <c r="J34" s="304">
        <v>32.700000000000003</v>
      </c>
      <c r="K34" s="211"/>
      <c r="L34" s="211"/>
      <c r="M34" s="302"/>
      <c r="N34" s="305">
        <f t="shared" si="33"/>
        <v>8.1423000000000005</v>
      </c>
      <c r="O34" s="211">
        <f t="shared" si="25"/>
        <v>13.080000000000002</v>
      </c>
      <c r="P34" s="218">
        <f t="shared" si="2"/>
        <v>22.211242069951876</v>
      </c>
      <c r="Q34" s="219">
        <f t="shared" si="3"/>
        <v>22.722914542153259</v>
      </c>
      <c r="R34" s="220">
        <f t="shared" si="4"/>
        <v>962.90352289337591</v>
      </c>
      <c r="S34" s="262">
        <f t="shared" si="5"/>
        <v>814.15612269634983</v>
      </c>
      <c r="T34" s="1031">
        <v>2</v>
      </c>
      <c r="U34" s="211" t="s">
        <v>200</v>
      </c>
      <c r="V34" s="211">
        <v>4</v>
      </c>
      <c r="W34" s="211">
        <v>11</v>
      </c>
      <c r="X34" s="211">
        <v>35</v>
      </c>
      <c r="Y34" s="211">
        <v>6.3</v>
      </c>
      <c r="Z34" s="219">
        <v>6.8</v>
      </c>
      <c r="AA34" s="211" t="s">
        <v>54</v>
      </c>
      <c r="AB34" s="211">
        <v>5</v>
      </c>
      <c r="AC34" s="307">
        <f t="shared" si="34"/>
        <v>20.825000000000003</v>
      </c>
      <c r="AD34" s="305">
        <f t="shared" si="26"/>
        <v>42.28140429656991</v>
      </c>
      <c r="AE34" s="307">
        <f t="shared" si="27"/>
        <v>42.820258876961496</v>
      </c>
      <c r="AF34" s="157">
        <f t="shared" si="28"/>
        <v>1.369917499208865</v>
      </c>
      <c r="AG34" s="158">
        <f t="shared" si="29"/>
        <v>1.3873763876135523</v>
      </c>
      <c r="AH34" s="1319">
        <f t="shared" si="21"/>
        <v>505.83190394953999</v>
      </c>
      <c r="AI34" s="1320">
        <f t="shared" si="30"/>
        <v>432.03849031266645</v>
      </c>
      <c r="AJ34" s="220">
        <f t="shared" si="35"/>
        <v>360.03207526055542</v>
      </c>
      <c r="AK34" s="220">
        <f t="shared" si="36"/>
        <v>288.02566020844432</v>
      </c>
      <c r="AL34" s="220">
        <f t="shared" si="31"/>
        <v>2655.2061689990787</v>
      </c>
      <c r="AM34" s="262">
        <f t="shared" si="32"/>
        <v>2270.4725466881873</v>
      </c>
    </row>
    <row r="35" spans="1:39" ht="12.75" customHeight="1" x14ac:dyDescent="0.2">
      <c r="A35" s="255">
        <v>8</v>
      </c>
      <c r="B35" s="2369" t="s">
        <v>129</v>
      </c>
      <c r="C35" s="2568" t="s">
        <v>127</v>
      </c>
      <c r="D35" s="675">
        <v>2.4</v>
      </c>
      <c r="E35" s="301" t="s">
        <v>35</v>
      </c>
      <c r="F35" s="210" t="s">
        <v>110</v>
      </c>
      <c r="G35" s="211">
        <v>10.308999999999999</v>
      </c>
      <c r="H35" s="302">
        <v>12.894</v>
      </c>
      <c r="I35" s="303"/>
      <c r="J35" s="304">
        <v>32.299999999999997</v>
      </c>
      <c r="K35" s="211"/>
      <c r="L35" s="211"/>
      <c r="M35" s="302"/>
      <c r="N35" s="305">
        <f t="shared" si="33"/>
        <v>8.0427</v>
      </c>
      <c r="O35" s="211">
        <f t="shared" si="25"/>
        <v>12.92</v>
      </c>
      <c r="P35" s="218">
        <f t="shared" si="2"/>
        <v>24.581933697128058</v>
      </c>
      <c r="Q35" s="219">
        <f t="shared" si="3"/>
        <v>27.037892286382089</v>
      </c>
      <c r="R35" s="220">
        <f t="shared" si="4"/>
        <v>870.04071772811449</v>
      </c>
      <c r="S35" s="262">
        <f t="shared" si="5"/>
        <v>684.22493159045962</v>
      </c>
      <c r="T35" s="1031">
        <v>1</v>
      </c>
      <c r="U35" s="211" t="s">
        <v>202</v>
      </c>
      <c r="V35" s="211">
        <v>6.3</v>
      </c>
      <c r="W35" s="211">
        <v>11</v>
      </c>
      <c r="X35" s="211">
        <v>35</v>
      </c>
      <c r="Y35" s="211">
        <v>6.3</v>
      </c>
      <c r="Z35" s="219">
        <v>7.61</v>
      </c>
      <c r="AA35" s="211"/>
      <c r="AB35" s="211">
        <v>10</v>
      </c>
      <c r="AC35" s="307">
        <f t="shared" si="34"/>
        <v>14.797222222222222</v>
      </c>
      <c r="AD35" s="305">
        <f t="shared" si="26"/>
        <v>38.867449103122624</v>
      </c>
      <c r="AE35" s="307">
        <f t="shared" si="27"/>
        <v>41.39995644529975</v>
      </c>
      <c r="AF35" s="157">
        <f t="shared" si="28"/>
        <v>1.2593053509411729</v>
      </c>
      <c r="AG35" s="158">
        <f t="shared" si="29"/>
        <v>1.3413585888277118</v>
      </c>
      <c r="AH35" s="320">
        <f t="shared" si="21"/>
        <v>550.26207612055396</v>
      </c>
      <c r="AI35" s="220">
        <f t="shared" si="30"/>
        <v>446.86037349926619</v>
      </c>
      <c r="AJ35" s="220">
        <f t="shared" si="35"/>
        <v>372.38364458272184</v>
      </c>
      <c r="AK35" s="220">
        <f t="shared" si="36"/>
        <v>297.90691566617744</v>
      </c>
      <c r="AL35" s="220">
        <f t="shared" si="31"/>
        <v>2888.4284436659132</v>
      </c>
      <c r="AM35" s="262">
        <f t="shared" si="32"/>
        <v>2348.3653261973454</v>
      </c>
    </row>
    <row r="36" spans="1:39" ht="12.75" customHeight="1" x14ac:dyDescent="0.2">
      <c r="A36" s="255">
        <v>8</v>
      </c>
      <c r="B36" s="2366"/>
      <c r="C36" s="2569"/>
      <c r="D36" s="675">
        <v>2.4</v>
      </c>
      <c r="E36" s="301" t="s">
        <v>35</v>
      </c>
      <c r="F36" s="210" t="s">
        <v>110</v>
      </c>
      <c r="G36" s="211">
        <v>10.308999999999999</v>
      </c>
      <c r="H36" s="302">
        <v>12.894</v>
      </c>
      <c r="I36" s="303"/>
      <c r="J36" s="304">
        <v>32.299999999999997</v>
      </c>
      <c r="K36" s="211"/>
      <c r="L36" s="211"/>
      <c r="M36" s="302"/>
      <c r="N36" s="305">
        <f t="shared" si="33"/>
        <v>8.0427</v>
      </c>
      <c r="O36" s="211">
        <f t="shared" si="25"/>
        <v>12.92</v>
      </c>
      <c r="P36" s="218">
        <f t="shared" si="2"/>
        <v>24.581933697128058</v>
      </c>
      <c r="Q36" s="219">
        <f t="shared" si="3"/>
        <v>27.037892286382089</v>
      </c>
      <c r="R36" s="220">
        <f t="shared" si="4"/>
        <v>870.04071772811449</v>
      </c>
      <c r="S36" s="262">
        <f t="shared" si="5"/>
        <v>684.22493159045962</v>
      </c>
      <c r="T36" s="1031">
        <v>2</v>
      </c>
      <c r="U36" s="211" t="s">
        <v>202</v>
      </c>
      <c r="V36" s="211">
        <v>6.3</v>
      </c>
      <c r="W36" s="211">
        <v>11</v>
      </c>
      <c r="X36" s="211">
        <v>35</v>
      </c>
      <c r="Y36" s="211">
        <v>6.3</v>
      </c>
      <c r="Z36" s="219">
        <v>7.4</v>
      </c>
      <c r="AA36" s="211"/>
      <c r="AB36" s="211">
        <v>10</v>
      </c>
      <c r="AC36" s="307">
        <f t="shared" si="34"/>
        <v>14.388888888888891</v>
      </c>
      <c r="AD36" s="305">
        <f t="shared" si="26"/>
        <v>38.468046320898466</v>
      </c>
      <c r="AE36" s="307">
        <f t="shared" si="27"/>
        <v>40.999479244282433</v>
      </c>
      <c r="AF36" s="157">
        <f t="shared" si="28"/>
        <v>1.2463647007971101</v>
      </c>
      <c r="AG36" s="158">
        <f t="shared" si="29"/>
        <v>1.3283831275147508</v>
      </c>
      <c r="AH36" s="320">
        <f t="shared" si="21"/>
        <v>555.97529072785767</v>
      </c>
      <c r="AI36" s="220">
        <f t="shared" si="30"/>
        <v>451.22524336891206</v>
      </c>
      <c r="AJ36" s="220">
        <f t="shared" si="35"/>
        <v>376.02103614076009</v>
      </c>
      <c r="AK36" s="220">
        <f t="shared" si="36"/>
        <v>300.81682891260806</v>
      </c>
      <c r="AL36" s="220">
        <f t="shared" si="31"/>
        <v>2918.4181745462365</v>
      </c>
      <c r="AM36" s="262">
        <f t="shared" si="32"/>
        <v>2371.3038315183067</v>
      </c>
    </row>
    <row r="37" spans="1:39" ht="13.5" customHeight="1" x14ac:dyDescent="0.2">
      <c r="A37" s="255">
        <v>8</v>
      </c>
      <c r="B37" s="2369" t="s">
        <v>133</v>
      </c>
      <c r="C37" s="2566" t="s">
        <v>342</v>
      </c>
      <c r="D37" s="675">
        <v>2.4</v>
      </c>
      <c r="E37" s="1112" t="s">
        <v>35</v>
      </c>
      <c r="F37" s="210" t="s">
        <v>110</v>
      </c>
      <c r="G37" s="211">
        <v>10.308999999999999</v>
      </c>
      <c r="H37" s="302">
        <v>12.894</v>
      </c>
      <c r="I37" s="384"/>
      <c r="J37" s="214">
        <v>44.6</v>
      </c>
      <c r="K37" s="386"/>
      <c r="L37" s="211"/>
      <c r="M37" s="302"/>
      <c r="N37" s="305">
        <f t="shared" si="33"/>
        <v>11.105399999999999</v>
      </c>
      <c r="O37" s="211">
        <f t="shared" si="25"/>
        <v>17.84</v>
      </c>
      <c r="P37" s="218">
        <f t="shared" si="2"/>
        <v>30.260471082916077</v>
      </c>
      <c r="Q37" s="219">
        <f t="shared" si="3"/>
        <v>32.678871846500456</v>
      </c>
      <c r="R37" s="220">
        <f t="shared" si="4"/>
        <v>706.7729771420735</v>
      </c>
      <c r="S37" s="262">
        <f t="shared" si="5"/>
        <v>566.11501421769992</v>
      </c>
      <c r="T37" s="1031">
        <v>1</v>
      </c>
      <c r="U37" s="211" t="s">
        <v>122</v>
      </c>
      <c r="V37" s="211">
        <v>4</v>
      </c>
      <c r="W37" s="211">
        <v>11</v>
      </c>
      <c r="X37" s="211">
        <v>35</v>
      </c>
      <c r="Y37" s="211">
        <v>6.3</v>
      </c>
      <c r="Z37" s="211">
        <v>7.5</v>
      </c>
      <c r="AA37" s="211"/>
      <c r="AB37" s="211"/>
      <c r="AC37" s="307">
        <f t="shared" si="34"/>
        <v>22.96875</v>
      </c>
      <c r="AD37" s="305">
        <f t="shared" si="26"/>
        <v>52.310173716233251</v>
      </c>
      <c r="AE37" s="307">
        <f t="shared" si="27"/>
        <v>54.838994034559938</v>
      </c>
      <c r="AF37" s="157">
        <f t="shared" si="28"/>
        <v>1.6948496284059573</v>
      </c>
      <c r="AG37" s="158">
        <f t="shared" si="29"/>
        <v>1.7767834067197419</v>
      </c>
      <c r="AH37" s="320">
        <f t="shared" si="21"/>
        <v>408.85513691875144</v>
      </c>
      <c r="AI37" s="220">
        <f t="shared" si="30"/>
        <v>337.35119189715925</v>
      </c>
      <c r="AJ37" s="220">
        <f t="shared" si="35"/>
        <v>281.12599324763272</v>
      </c>
      <c r="AK37" s="220">
        <f t="shared" si="36"/>
        <v>224.90079459810616</v>
      </c>
      <c r="AL37" s="220">
        <f t="shared" si="31"/>
        <v>2146.1570005713338</v>
      </c>
      <c r="AM37" s="262">
        <f t="shared" si="32"/>
        <v>1772.8666240841703</v>
      </c>
    </row>
    <row r="38" spans="1:39" ht="13.5" customHeight="1" x14ac:dyDescent="0.2">
      <c r="A38" s="256">
        <v>8</v>
      </c>
      <c r="B38" s="2365"/>
      <c r="C38" s="2570"/>
      <c r="D38" s="646">
        <v>2.4</v>
      </c>
      <c r="E38" s="1113" t="s">
        <v>35</v>
      </c>
      <c r="F38" s="653" t="s">
        <v>110</v>
      </c>
      <c r="G38" s="223">
        <v>10.308999999999999</v>
      </c>
      <c r="H38" s="327">
        <v>12.894</v>
      </c>
      <c r="I38" s="389"/>
      <c r="J38" s="226">
        <v>44.6</v>
      </c>
      <c r="K38" s="391"/>
      <c r="L38" s="223"/>
      <c r="M38" s="327"/>
      <c r="N38" s="331">
        <f t="shared" si="33"/>
        <v>11.105399999999999</v>
      </c>
      <c r="O38" s="223">
        <f>0.4*SUM(I38:M38)</f>
        <v>17.84</v>
      </c>
      <c r="P38" s="227">
        <f t="shared" si="2"/>
        <v>30.260471082916077</v>
      </c>
      <c r="Q38" s="228">
        <f t="shared" si="3"/>
        <v>32.678871846500456</v>
      </c>
      <c r="R38" s="229">
        <f t="shared" si="4"/>
        <v>706.7729771420735</v>
      </c>
      <c r="S38" s="264">
        <f t="shared" si="5"/>
        <v>566.11501421769992</v>
      </c>
      <c r="T38" s="1042">
        <v>2</v>
      </c>
      <c r="U38" s="223" t="s">
        <v>122</v>
      </c>
      <c r="V38" s="223">
        <v>4</v>
      </c>
      <c r="W38" s="223">
        <v>11</v>
      </c>
      <c r="X38" s="223">
        <v>35</v>
      </c>
      <c r="Y38" s="223">
        <v>6.3</v>
      </c>
      <c r="Z38" s="223">
        <v>7.51</v>
      </c>
      <c r="AA38" s="223"/>
      <c r="AB38" s="223"/>
      <c r="AC38" s="333">
        <f t="shared" si="34"/>
        <v>22.999374999999997</v>
      </c>
      <c r="AD38" s="331">
        <f t="shared" si="26"/>
        <v>52.340101015384221</v>
      </c>
      <c r="AE38" s="333">
        <f t="shared" si="27"/>
        <v>54.868984846182684</v>
      </c>
      <c r="AF38" s="181">
        <f t="shared" si="28"/>
        <v>1.6958192728984487</v>
      </c>
      <c r="AG38" s="182">
        <f t="shared" si="29"/>
        <v>1.7777551090163188</v>
      </c>
      <c r="AH38" s="334">
        <f t="shared" si="21"/>
        <v>408.62135957108478</v>
      </c>
      <c r="AI38" s="229">
        <f t="shared" si="30"/>
        <v>337.16679927398133</v>
      </c>
      <c r="AJ38" s="229">
        <f t="shared" si="35"/>
        <v>280.97233272831778</v>
      </c>
      <c r="AK38" s="229">
        <f t="shared" si="36"/>
        <v>224.77786618265421</v>
      </c>
      <c r="AL38" s="229">
        <f t="shared" si="31"/>
        <v>2144.9298595965356</v>
      </c>
      <c r="AM38" s="264">
        <f t="shared" si="32"/>
        <v>1771.8975937821842</v>
      </c>
    </row>
    <row r="39" spans="1:39" ht="13.5" customHeight="1" x14ac:dyDescent="0.2">
      <c r="A39" s="255">
        <v>8</v>
      </c>
      <c r="B39" s="2369" t="s">
        <v>447</v>
      </c>
      <c r="C39" s="1111"/>
      <c r="D39" s="675">
        <v>2.4</v>
      </c>
      <c r="E39" s="1112" t="s">
        <v>35</v>
      </c>
      <c r="F39" s="210" t="s">
        <v>110</v>
      </c>
      <c r="G39" s="211">
        <v>10.308999999999999</v>
      </c>
      <c r="H39" s="302">
        <v>12.894</v>
      </c>
      <c r="I39" s="384"/>
      <c r="J39" s="214">
        <v>54.3</v>
      </c>
      <c r="K39" s="386"/>
      <c r="L39" s="211"/>
      <c r="M39" s="302"/>
      <c r="N39" s="305">
        <f t="shared" si="33"/>
        <v>13.5207</v>
      </c>
      <c r="O39" s="211">
        <f>0.4*SUM(I39:M39)</f>
        <v>21.72</v>
      </c>
      <c r="P39" s="1115">
        <f t="shared" si="2"/>
        <v>34.765876509732927</v>
      </c>
      <c r="Q39" s="1101">
        <f t="shared" si="3"/>
        <v>37.16097851900566</v>
      </c>
      <c r="R39" s="220">
        <f t="shared" si="4"/>
        <v>615.1803257716432</v>
      </c>
      <c r="S39" s="262">
        <f t="shared" si="5"/>
        <v>497.83403821130099</v>
      </c>
      <c r="T39" s="1031"/>
      <c r="U39" s="211"/>
      <c r="V39" s="211"/>
      <c r="W39" s="211"/>
      <c r="X39" s="211"/>
      <c r="Y39" s="211"/>
      <c r="Z39" s="211"/>
      <c r="AA39" s="211"/>
      <c r="AB39" s="211"/>
      <c r="AC39" s="307"/>
      <c r="AD39" s="305"/>
      <c r="AE39" s="307"/>
      <c r="AF39" s="157"/>
      <c r="AG39" s="158"/>
      <c r="AH39" s="320"/>
      <c r="AI39" s="220"/>
      <c r="AJ39" s="220"/>
      <c r="AK39" s="220"/>
      <c r="AL39" s="220"/>
      <c r="AM39" s="262"/>
    </row>
    <row r="40" spans="1:39" ht="13.5" customHeight="1" thickBot="1" x14ac:dyDescent="0.25">
      <c r="A40" s="258">
        <v>8</v>
      </c>
      <c r="B40" s="2381"/>
      <c r="C40" s="1111"/>
      <c r="D40" s="676">
        <v>2.4</v>
      </c>
      <c r="E40" s="1114" t="s">
        <v>35</v>
      </c>
      <c r="F40" s="240" t="s">
        <v>110</v>
      </c>
      <c r="G40" s="241">
        <v>10.308999999999999</v>
      </c>
      <c r="H40" s="313">
        <v>12.894</v>
      </c>
      <c r="I40" s="395"/>
      <c r="J40" s="243">
        <v>54.3</v>
      </c>
      <c r="K40" s="397"/>
      <c r="L40" s="241"/>
      <c r="M40" s="313"/>
      <c r="N40" s="245">
        <f t="shared" si="33"/>
        <v>13.5207</v>
      </c>
      <c r="O40" s="241">
        <f>0.4*SUM(I40:M40)</f>
        <v>21.72</v>
      </c>
      <c r="P40" s="1118">
        <f t="shared" si="2"/>
        <v>34.765876509732927</v>
      </c>
      <c r="Q40" s="1102">
        <f t="shared" si="3"/>
        <v>37.16097851900566</v>
      </c>
      <c r="R40" s="248">
        <f t="shared" si="4"/>
        <v>615.1803257716432</v>
      </c>
      <c r="S40" s="268">
        <f t="shared" si="5"/>
        <v>497.83403821130099</v>
      </c>
      <c r="T40" s="1032"/>
      <c r="U40" s="241"/>
      <c r="V40" s="241"/>
      <c r="W40" s="241"/>
      <c r="X40" s="241"/>
      <c r="Y40" s="241"/>
      <c r="Z40" s="241"/>
      <c r="AA40" s="241"/>
      <c r="AB40" s="241"/>
      <c r="AC40" s="317"/>
      <c r="AD40" s="245"/>
      <c r="AE40" s="317"/>
      <c r="AF40" s="175"/>
      <c r="AG40" s="176"/>
      <c r="AH40" s="321"/>
      <c r="AI40" s="248"/>
      <c r="AJ40" s="248"/>
      <c r="AK40" s="248"/>
      <c r="AL40" s="248"/>
      <c r="AM40" s="268"/>
    </row>
    <row r="41" spans="1:39" x14ac:dyDescent="0.2">
      <c r="N41" s="188"/>
    </row>
    <row r="42" spans="1:39" ht="15.75" x14ac:dyDescent="0.2">
      <c r="B42" s="192" t="s">
        <v>158</v>
      </c>
      <c r="E42" s="2378">
        <v>42648</v>
      </c>
      <c r="F42" s="2378"/>
      <c r="G42" s="188" t="s">
        <v>337</v>
      </c>
    </row>
    <row r="43" spans="1:39" x14ac:dyDescent="0.2">
      <c r="B43" s="185" t="s">
        <v>328</v>
      </c>
      <c r="E43" s="2380" t="s">
        <v>189</v>
      </c>
      <c r="F43" s="2380"/>
    </row>
  </sheetData>
  <mergeCells count="64">
    <mergeCell ref="B39:B40"/>
    <mergeCell ref="C33:C34"/>
    <mergeCell ref="C35:C36"/>
    <mergeCell ref="C37:C38"/>
    <mergeCell ref="C19:C20"/>
    <mergeCell ref="C21:C22"/>
    <mergeCell ref="C23:C24"/>
    <mergeCell ref="C27:C28"/>
    <mergeCell ref="C29:C30"/>
    <mergeCell ref="B31:B32"/>
    <mergeCell ref="B37:B38"/>
    <mergeCell ref="C5:C6"/>
    <mergeCell ref="C7:C8"/>
    <mergeCell ref="C9:C10"/>
    <mergeCell ref="C11:C12"/>
    <mergeCell ref="C13:C14"/>
    <mergeCell ref="C31:C32"/>
    <mergeCell ref="C15:C16"/>
    <mergeCell ref="B23:B24"/>
    <mergeCell ref="B27:B28"/>
    <mergeCell ref="B25:B26"/>
    <mergeCell ref="B33:B34"/>
    <mergeCell ref="B35:B36"/>
    <mergeCell ref="B29:B30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AL2:AM2"/>
    <mergeCell ref="AC2:AC3"/>
    <mergeCell ref="R2:S2"/>
    <mergeCell ref="AJ2:AJ3"/>
    <mergeCell ref="AK2:AK3"/>
    <mergeCell ref="AD2:AE2"/>
    <mergeCell ref="C17:C18"/>
    <mergeCell ref="P2:Q2"/>
    <mergeCell ref="AF2:AG2"/>
    <mergeCell ref="AH2:AI2"/>
    <mergeCell ref="V2:V3"/>
    <mergeCell ref="X2:X3"/>
    <mergeCell ref="Y2:Y3"/>
    <mergeCell ref="Z2:Z3"/>
    <mergeCell ref="AA2:AA3"/>
    <mergeCell ref="A1:AM1"/>
    <mergeCell ref="W2:W4"/>
    <mergeCell ref="A2:A4"/>
    <mergeCell ref="E42:F42"/>
    <mergeCell ref="E43:F43"/>
    <mergeCell ref="B2:B4"/>
    <mergeCell ref="D2:D4"/>
    <mergeCell ref="E2:E4"/>
    <mergeCell ref="F2:F4"/>
    <mergeCell ref="C2:C4"/>
    <mergeCell ref="G2:H2"/>
    <mergeCell ref="AB2:AB3"/>
    <mergeCell ref="I2:M2"/>
    <mergeCell ref="N2:O3"/>
    <mergeCell ref="T2:T4"/>
    <mergeCell ref="U2:U4"/>
  </mergeCells>
  <phoneticPr fontId="0" type="noConversion"/>
  <pageMargins left="0.43307086614173229" right="0.43307086614173229" top="0.39370078740157483" bottom="0.31496062992125984" header="0.35433070866141736" footer="0.15748031496062992"/>
  <pageSetup paperSize="9" scale="76" orientation="landscape" r:id="rId1"/>
  <headerFooter>
    <oddFooter>&amp;L&amp;Z&amp;F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7BB40-E2F2-4E74-AF65-10CC119F83E6}">
  <sheetPr codeName="Лист12"/>
  <dimension ref="A1:AN86"/>
  <sheetViews>
    <sheetView topLeftCell="E1" zoomScaleNormal="100" workbookViewId="0">
      <selection activeCell="A8" sqref="A8:IV9"/>
    </sheetView>
  </sheetViews>
  <sheetFormatPr defaultRowHeight="12.75" x14ac:dyDescent="0.2"/>
  <cols>
    <col min="1" max="1" width="2.85546875" style="1200" customWidth="1"/>
    <col min="2" max="2" width="20.5703125" style="1201" customWidth="1"/>
    <col min="3" max="3" width="9.42578125" style="1200" customWidth="1"/>
    <col min="4" max="4" width="16.5703125" style="1202" customWidth="1"/>
    <col min="5" max="5" width="3.140625" style="1202" customWidth="1"/>
    <col min="6" max="6" width="22.5703125" style="1200" customWidth="1"/>
    <col min="7" max="7" width="7.28515625" style="1200" customWidth="1"/>
    <col min="8" max="8" width="7.42578125" style="1200" customWidth="1"/>
    <col min="9" max="9" width="5.42578125" style="1204" customWidth="1"/>
    <col min="10" max="10" width="6" style="1204" customWidth="1"/>
    <col min="11" max="12" width="5.42578125" style="1205" customWidth="1"/>
    <col min="13" max="13" width="4.140625" style="1202" customWidth="1"/>
    <col min="14" max="14" width="4" style="1202" customWidth="1"/>
    <col min="15" max="15" width="6.140625" style="1202" customWidth="1"/>
    <col min="16" max="16" width="5.5703125" style="1202" customWidth="1"/>
    <col min="17" max="17" width="9.5703125" style="1200" customWidth="1"/>
    <col min="18" max="18" width="9" style="1200" customWidth="1"/>
    <col min="19" max="19" width="6.140625" style="12" customWidth="1"/>
    <col min="20" max="20" width="6.5703125" style="12" customWidth="1"/>
    <col min="21" max="21" width="3.5703125" style="1202" customWidth="1"/>
    <col min="22" max="22" width="16" style="1200" customWidth="1"/>
    <col min="23" max="23" width="5.7109375" style="1200" customWidth="1"/>
    <col min="24" max="24" width="6.7109375" style="1200" customWidth="1"/>
    <col min="25" max="26" width="5.85546875" style="1200" customWidth="1"/>
    <col min="27" max="27" width="6.140625" style="1200" customWidth="1"/>
    <col min="28" max="28" width="11.28515625" style="1200" customWidth="1"/>
    <col min="29" max="29" width="6" style="11" customWidth="1"/>
    <col min="30" max="30" width="5.7109375" style="1200" customWidth="1"/>
    <col min="31" max="31" width="8.140625" style="1200" customWidth="1"/>
    <col min="32" max="32" width="8.7109375" style="1200" customWidth="1"/>
    <col min="33" max="33" width="7" style="1200" customWidth="1"/>
    <col min="34" max="34" width="9.7109375" style="1200" customWidth="1"/>
    <col min="35" max="35" width="5.5703125" style="12" customWidth="1"/>
    <col min="36" max="36" width="5.85546875" style="12" customWidth="1"/>
    <col min="37" max="37" width="6.140625" style="12" customWidth="1"/>
    <col min="38" max="38" width="8.7109375" style="12" customWidth="1"/>
    <col min="39" max="39" width="5" style="1206" customWidth="1"/>
    <col min="40" max="40" width="4.5703125" style="1207" customWidth="1"/>
    <col min="41" max="16384" width="9.140625" style="1200"/>
  </cols>
  <sheetData>
    <row r="1" spans="1:40" s="3" customFormat="1" ht="69.75" customHeight="1" x14ac:dyDescent="0.2">
      <c r="A1" s="2592" t="s">
        <v>0</v>
      </c>
      <c r="B1" s="2596" t="s">
        <v>1</v>
      </c>
      <c r="C1" s="1183" t="s">
        <v>2</v>
      </c>
      <c r="D1" s="2306" t="s">
        <v>318</v>
      </c>
      <c r="E1" s="2599" t="s">
        <v>4</v>
      </c>
      <c r="F1" s="2596" t="s">
        <v>5</v>
      </c>
      <c r="G1" s="2602" t="s">
        <v>6</v>
      </c>
      <c r="H1" s="2603"/>
      <c r="I1" s="2578" t="s">
        <v>7</v>
      </c>
      <c r="J1" s="2586"/>
      <c r="K1" s="2586"/>
      <c r="L1" s="2586"/>
      <c r="M1" s="2586"/>
      <c r="N1" s="2579"/>
      <c r="O1" s="2587" t="s">
        <v>8</v>
      </c>
      <c r="P1" s="2588"/>
      <c r="Q1" s="2591" t="s">
        <v>11</v>
      </c>
      <c r="R1" s="2591"/>
      <c r="S1" s="2581" t="s">
        <v>173</v>
      </c>
      <c r="T1" s="2581"/>
      <c r="U1" s="2592" t="s">
        <v>9</v>
      </c>
      <c r="V1" s="2595" t="s">
        <v>10</v>
      </c>
      <c r="W1" s="2575" t="s">
        <v>12</v>
      </c>
      <c r="X1" s="2582" t="s">
        <v>13</v>
      </c>
      <c r="Y1" s="2575" t="s">
        <v>14</v>
      </c>
      <c r="Z1" s="2575" t="s">
        <v>15</v>
      </c>
      <c r="AA1" s="2585" t="s">
        <v>16</v>
      </c>
      <c r="AB1" s="2575" t="s">
        <v>17</v>
      </c>
      <c r="AC1" s="2575" t="s">
        <v>18</v>
      </c>
      <c r="AD1" s="2576" t="s">
        <v>19</v>
      </c>
      <c r="AE1" s="2578" t="s">
        <v>520</v>
      </c>
      <c r="AF1" s="2579"/>
      <c r="AG1" s="2580" t="s">
        <v>521</v>
      </c>
      <c r="AH1" s="2580"/>
      <c r="AI1" s="2581" t="s">
        <v>522</v>
      </c>
      <c r="AJ1" s="2581"/>
      <c r="AK1" s="2574" t="s">
        <v>523</v>
      </c>
      <c r="AL1" s="2574"/>
      <c r="AM1" s="2573" t="s">
        <v>20</v>
      </c>
      <c r="AN1" s="2573" t="s">
        <v>21</v>
      </c>
    </row>
    <row r="2" spans="1:40" s="3" customFormat="1" ht="36" customHeight="1" x14ac:dyDescent="0.2">
      <c r="A2" s="2593"/>
      <c r="B2" s="2597"/>
      <c r="C2" s="1172"/>
      <c r="D2" s="2307"/>
      <c r="E2" s="2600"/>
      <c r="F2" s="2597"/>
      <c r="G2" s="4" t="s">
        <v>22</v>
      </c>
      <c r="H2" s="4" t="s">
        <v>23</v>
      </c>
      <c r="I2" s="1184" t="s">
        <v>24</v>
      </c>
      <c r="J2" s="1185" t="s">
        <v>25</v>
      </c>
      <c r="K2" s="6" t="s">
        <v>172</v>
      </c>
      <c r="L2" s="6" t="s">
        <v>26</v>
      </c>
      <c r="M2" s="6" t="s">
        <v>27</v>
      </c>
      <c r="N2" s="6" t="s">
        <v>28</v>
      </c>
      <c r="O2" s="2589"/>
      <c r="P2" s="2590"/>
      <c r="Q2" s="1" t="s">
        <v>22</v>
      </c>
      <c r="R2" s="1" t="s">
        <v>23</v>
      </c>
      <c r="S2" s="2" t="s">
        <v>524</v>
      </c>
      <c r="T2" s="2" t="s">
        <v>525</v>
      </c>
      <c r="U2" s="2593"/>
      <c r="V2" s="2595"/>
      <c r="W2" s="2575"/>
      <c r="X2" s="2583"/>
      <c r="Y2" s="2575"/>
      <c r="Z2" s="2575"/>
      <c r="AA2" s="2585"/>
      <c r="AB2" s="2575"/>
      <c r="AC2" s="2575"/>
      <c r="AD2" s="2577"/>
      <c r="AE2" s="1" t="s">
        <v>22</v>
      </c>
      <c r="AF2" s="1" t="s">
        <v>23</v>
      </c>
      <c r="AG2" s="1186" t="s">
        <v>22</v>
      </c>
      <c r="AH2" s="1186" t="s">
        <v>23</v>
      </c>
      <c r="AI2" s="2" t="s">
        <v>524</v>
      </c>
      <c r="AJ2" s="2" t="s">
        <v>525</v>
      </c>
      <c r="AK2" s="2" t="s">
        <v>524</v>
      </c>
      <c r="AL2" s="2" t="s">
        <v>525</v>
      </c>
      <c r="AM2" s="2573"/>
      <c r="AN2" s="2573"/>
    </row>
    <row r="3" spans="1:40" s="3" customFormat="1" ht="13.5" customHeight="1" thickBot="1" x14ac:dyDescent="0.25">
      <c r="A3" s="2594"/>
      <c r="B3" s="2598"/>
      <c r="C3" s="1187"/>
      <c r="D3" s="2308"/>
      <c r="E3" s="2601"/>
      <c r="F3" s="2598"/>
      <c r="G3" s="4" t="s">
        <v>30</v>
      </c>
      <c r="H3" s="4" t="s">
        <v>30</v>
      </c>
      <c r="I3" s="1188" t="s">
        <v>31</v>
      </c>
      <c r="J3" s="1189" t="s">
        <v>31</v>
      </c>
      <c r="K3" s="1190" t="s">
        <v>31</v>
      </c>
      <c r="L3" s="1190" t="s">
        <v>31</v>
      </c>
      <c r="M3" s="1190" t="s">
        <v>31</v>
      </c>
      <c r="N3" s="1190" t="s">
        <v>31</v>
      </c>
      <c r="O3" s="1" t="s">
        <v>30</v>
      </c>
      <c r="P3" s="1" t="s">
        <v>30</v>
      </c>
      <c r="Q3" s="1" t="s">
        <v>30</v>
      </c>
      <c r="R3" s="1" t="s">
        <v>30</v>
      </c>
      <c r="S3" s="2" t="s">
        <v>35</v>
      </c>
      <c r="T3" s="2" t="s">
        <v>35</v>
      </c>
      <c r="U3" s="2594"/>
      <c r="V3" s="2595"/>
      <c r="W3" s="1173" t="s">
        <v>32</v>
      </c>
      <c r="X3" s="2584"/>
      <c r="Y3" s="1173" t="s">
        <v>33</v>
      </c>
      <c r="Z3" s="1173" t="s">
        <v>33</v>
      </c>
      <c r="AA3" s="1174" t="s">
        <v>34</v>
      </c>
      <c r="AB3" s="1173" t="s">
        <v>35</v>
      </c>
      <c r="AC3" s="1173" t="s">
        <v>34</v>
      </c>
      <c r="AD3" s="1173" t="s">
        <v>30</v>
      </c>
      <c r="AE3" s="1" t="s">
        <v>30</v>
      </c>
      <c r="AF3" s="1" t="s">
        <v>30</v>
      </c>
      <c r="AG3" s="1186" t="s">
        <v>30</v>
      </c>
      <c r="AH3" s="1186" t="s">
        <v>30</v>
      </c>
      <c r="AI3" s="2" t="s">
        <v>35</v>
      </c>
      <c r="AJ3" s="2" t="s">
        <v>35</v>
      </c>
      <c r="AK3" s="1191" t="s">
        <v>35</v>
      </c>
      <c r="AL3" s="1191" t="s">
        <v>35</v>
      </c>
      <c r="AM3" s="2" t="s">
        <v>35</v>
      </c>
      <c r="AN3" s="2" t="s">
        <v>35</v>
      </c>
    </row>
    <row r="4" spans="1:40" ht="12.75" customHeight="1" x14ac:dyDescent="0.2">
      <c r="A4" s="1173">
        <v>9</v>
      </c>
      <c r="B4" s="1235" t="s">
        <v>534</v>
      </c>
      <c r="C4" s="7" t="s">
        <v>37</v>
      </c>
      <c r="D4" s="8" t="s">
        <v>526</v>
      </c>
      <c r="E4" s="8" t="s">
        <v>39</v>
      </c>
      <c r="F4" s="8" t="s">
        <v>527</v>
      </c>
      <c r="G4" s="1192">
        <v>15.53</v>
      </c>
      <c r="H4" s="1193">
        <v>20.02</v>
      </c>
      <c r="I4" s="1236"/>
      <c r="J4" s="1195">
        <v>14.579000000000001</v>
      </c>
      <c r="K4" s="1192">
        <v>0.38400000000000001</v>
      </c>
      <c r="L4" s="1192"/>
      <c r="M4" s="1192"/>
      <c r="N4" s="1192"/>
      <c r="O4" s="1194">
        <f t="shared" ref="O4:O9" si="0">0.314*I4+0.249*J4+0.153*K4+0.195*L4+0.159*M4+0.06*N4</f>
        <v>3.6889230000000004</v>
      </c>
      <c r="P4" s="1192">
        <f>(0.4*SUM(I4:N4))+0.076*K4</f>
        <v>6.0143840000000006</v>
      </c>
      <c r="Q4" s="19">
        <f t="shared" ref="Q4:Q9" si="1">SQRT(POWER(O4,2)+POWER(P4+G4,2))</f>
        <v>21.857919270584404</v>
      </c>
      <c r="R4" s="1195">
        <f t="shared" ref="R4:R9" si="2">SQRT(POWER(O4,2)+POWER(P4+H4,2))</f>
        <v>26.294434832477098</v>
      </c>
      <c r="S4" s="10">
        <f>37000/1.73/Q4</f>
        <v>978.46839729966655</v>
      </c>
      <c r="T4" s="10">
        <f>37000/2/R4</f>
        <v>703.57093118236787</v>
      </c>
      <c r="U4" s="1192">
        <v>1</v>
      </c>
      <c r="V4" s="1196" t="s">
        <v>528</v>
      </c>
      <c r="W4" s="1192">
        <v>6.3</v>
      </c>
      <c r="X4" s="1192" t="s">
        <v>47</v>
      </c>
      <c r="Y4" s="1192">
        <v>35</v>
      </c>
      <c r="Z4" s="1192">
        <v>6.3</v>
      </c>
      <c r="AA4" s="1195">
        <v>7.97</v>
      </c>
      <c r="AB4" s="7" t="s">
        <v>54</v>
      </c>
      <c r="AC4" s="7"/>
      <c r="AD4" s="1195">
        <f>AA4/100*Y4*Y4/W4</f>
        <v>15.497222222222222</v>
      </c>
      <c r="AE4" s="9">
        <f>SQRT(POWER(O4,2)+POWER(P4+AD4+G4,2))</f>
        <v>37.224840421714383</v>
      </c>
      <c r="AF4" s="9">
        <f>SQRT(POWER(O4,2)+POWER(P4+AD4+H4,2))</f>
        <v>41.695113242413157</v>
      </c>
      <c r="AG4" s="1197">
        <f>SQRT(POWER((AD4+P4+G4),2)+POWER(O4,2))*POWER(6.3/35,2)</f>
        <v>1.206084829663546</v>
      </c>
      <c r="AH4" s="1197">
        <f>SQRT(POWER((H4+P4+AD4),2)+POWER(O4,2))*POWER(6.3/35,2)</f>
        <v>1.3509216690541863</v>
      </c>
      <c r="AI4" s="10">
        <f t="shared" ref="AI4:AI9" si="3">37000/1.73/SQRT(POWER((G4+P4+AD4),2)+O4*O4)</f>
        <v>574.54331555759643</v>
      </c>
      <c r="AJ4" s="10">
        <f t="shared" ref="AJ4:AJ9" si="4">37000/2/SQRT(POWER((H4+P4+AD4),2)+O4*O4)</f>
        <v>443.69708009766015</v>
      </c>
      <c r="AK4" s="1199">
        <f t="shared" ref="AK4:AL7" si="5">6300/(1.73*AG4)</f>
        <v>3019.3717784558376</v>
      </c>
      <c r="AL4" s="1199">
        <f t="shared" si="5"/>
        <v>2695.6548114735724</v>
      </c>
      <c r="AM4" s="10">
        <f t="shared" ref="AM4:AM9" si="6">AJ4/1.2</f>
        <v>369.74756674805013</v>
      </c>
      <c r="AN4" s="1198">
        <f t="shared" ref="AN4:AN9" si="7">AJ4/1.5</f>
        <v>295.79805339844012</v>
      </c>
    </row>
    <row r="5" spans="1:40" ht="12.75" customHeight="1" x14ac:dyDescent="0.2">
      <c r="A5" s="1173">
        <v>9</v>
      </c>
      <c r="B5" s="1235" t="s">
        <v>531</v>
      </c>
      <c r="C5" s="7"/>
      <c r="D5" s="8" t="s">
        <v>539</v>
      </c>
      <c r="E5" s="8" t="s">
        <v>39</v>
      </c>
      <c r="F5" s="8" t="s">
        <v>527</v>
      </c>
      <c r="G5" s="1192">
        <v>15.53</v>
      </c>
      <c r="H5" s="1193">
        <v>20.02</v>
      </c>
      <c r="I5" s="1236"/>
      <c r="J5" s="1195">
        <v>11.36</v>
      </c>
      <c r="K5" s="1192">
        <v>0.38400000000000001</v>
      </c>
      <c r="L5" s="1192"/>
      <c r="M5" s="1192"/>
      <c r="N5" s="1192"/>
      <c r="O5" s="1194">
        <f t="shared" si="0"/>
        <v>2.8873920000000002</v>
      </c>
      <c r="P5" s="1192">
        <f>(0.4*SUM(I5:N5))+0.076*K5</f>
        <v>4.7267840000000003</v>
      </c>
      <c r="Q5" s="19">
        <f t="shared" si="1"/>
        <v>20.461532948054504</v>
      </c>
      <c r="R5" s="1195">
        <f t="shared" si="2"/>
        <v>24.914661364431986</v>
      </c>
      <c r="S5" s="10">
        <f>37000/1.73/SQRT(POWER((G5+P5),2)+O5*O5)</f>
        <v>1045.243447364863</v>
      </c>
      <c r="T5" s="10">
        <f>37000/2/SQRT(O5*O5+POWER((H5+P5),2))</f>
        <v>742.53467584393843</v>
      </c>
      <c r="U5" s="1192">
        <v>1</v>
      </c>
      <c r="V5" s="1196" t="s">
        <v>212</v>
      </c>
      <c r="W5" s="1192">
        <v>16</v>
      </c>
      <c r="X5" s="1192" t="s">
        <v>47</v>
      </c>
      <c r="Y5" s="1192">
        <v>35</v>
      </c>
      <c r="Z5" s="1192">
        <v>6.3</v>
      </c>
      <c r="AA5" s="1195">
        <v>7.97</v>
      </c>
      <c r="AB5" s="7"/>
      <c r="AC5" s="7"/>
      <c r="AD5" s="1195">
        <f>AA5/100*Y5*Y5/W5</f>
        <v>6.1020312499999996</v>
      </c>
      <c r="AE5" s="9">
        <f>SQRT(POWER(O5,2)+POWER(P5+AD5+G5,2))</f>
        <v>26.516488718254092</v>
      </c>
      <c r="AF5" s="9">
        <f>SQRT(POWER(O5,2)+POWER(P5+AD5+H5,2))</f>
        <v>30.983647862869482</v>
      </c>
      <c r="AG5" s="1197">
        <f>SQRT(POWER((AD5+P5+G5),2)+POWER(O5,2))*POWER(6.3/35,2)</f>
        <v>0.85913423447143256</v>
      </c>
      <c r="AH5" s="1197">
        <f>SQRT(POWER((H5+P5+AD5),2)+POWER(O5,2))*POWER(6.3/35,2)</f>
        <v>1.0038701907569711</v>
      </c>
      <c r="AI5" s="10">
        <f t="shared" si="3"/>
        <v>806.56543421871311</v>
      </c>
      <c r="AJ5" s="10">
        <f t="shared" si="4"/>
        <v>597.0891510863778</v>
      </c>
      <c r="AK5" s="1199">
        <f>6300/(1.73*AG5)</f>
        <v>4238.7072368851295</v>
      </c>
      <c r="AL5" s="1199">
        <f>6300/(1.73*AH5)</f>
        <v>3627.5790741070355</v>
      </c>
      <c r="AM5" s="10">
        <f t="shared" si="6"/>
        <v>497.57429257198152</v>
      </c>
      <c r="AN5" s="1198">
        <f t="shared" si="7"/>
        <v>398.05943405758518</v>
      </c>
    </row>
    <row r="6" spans="1:40" ht="12.75" customHeight="1" x14ac:dyDescent="0.2">
      <c r="A6" s="1173">
        <v>9</v>
      </c>
      <c r="B6" s="1235" t="s">
        <v>531</v>
      </c>
      <c r="C6" s="7"/>
      <c r="D6" s="8" t="s">
        <v>532</v>
      </c>
      <c r="E6" s="8" t="s">
        <v>39</v>
      </c>
      <c r="F6" s="8" t="s">
        <v>533</v>
      </c>
      <c r="G6" s="1192">
        <v>6.875</v>
      </c>
      <c r="H6" s="1193">
        <v>8.3290000000000006</v>
      </c>
      <c r="I6" s="1236"/>
      <c r="J6" s="1195">
        <v>38.93</v>
      </c>
      <c r="K6" s="1192">
        <v>4.1000000000000002E-2</v>
      </c>
      <c r="L6" s="1192"/>
      <c r="M6" s="1192"/>
      <c r="N6" s="1192"/>
      <c r="O6" s="1194">
        <f t="shared" si="0"/>
        <v>9.6998429999999995</v>
      </c>
      <c r="P6" s="1192">
        <f>0.209*K6+0.4*J6</f>
        <v>15.580569000000001</v>
      </c>
      <c r="Q6" s="19">
        <f t="shared" si="1"/>
        <v>24.460979811495903</v>
      </c>
      <c r="R6" s="1195">
        <f t="shared" si="2"/>
        <v>25.802217811467486</v>
      </c>
      <c r="S6" s="10">
        <f>37000/1.73/SQRT(POWER((G6+P6),2)+O6*O6)</f>
        <v>874.34286777600209</v>
      </c>
      <c r="T6" s="10">
        <f>37000/2/SQRT(O6*O6+POWER((H6+P6),2))</f>
        <v>716.99262967146558</v>
      </c>
      <c r="U6" s="1192">
        <v>1</v>
      </c>
      <c r="V6" s="1196" t="s">
        <v>212</v>
      </c>
      <c r="W6" s="1192">
        <v>16</v>
      </c>
      <c r="X6" s="1192" t="s">
        <v>47</v>
      </c>
      <c r="Y6" s="1192">
        <v>35</v>
      </c>
      <c r="Z6" s="1192">
        <v>6.3</v>
      </c>
      <c r="AA6" s="1195">
        <v>10.32</v>
      </c>
      <c r="AB6" s="7"/>
      <c r="AC6" s="7"/>
      <c r="AD6" s="1195">
        <v>7.9</v>
      </c>
      <c r="AE6" s="9">
        <v>31.87</v>
      </c>
      <c r="AF6" s="9">
        <v>33.26</v>
      </c>
      <c r="AG6" s="1197">
        <f>SQRT(POWER((AD6+P6+G6),2)+POWER(O6,2))*POWER(6.3/35,2)</f>
        <v>1.0325120669075405</v>
      </c>
      <c r="AH6" s="1197">
        <f>SQRT(POWER((H6+P6+AD6),2)+POWER(O6,2))*POWER(6.3/35,2)</f>
        <v>1.0774817823739409</v>
      </c>
      <c r="AI6" s="10">
        <f t="shared" si="3"/>
        <v>671.12821156080963</v>
      </c>
      <c r="AJ6" s="10">
        <f t="shared" si="4"/>
        <v>556.29710850366632</v>
      </c>
      <c r="AK6" s="1199">
        <f t="shared" si="5"/>
        <v>3526.9500607550058</v>
      </c>
      <c r="AL6" s="1199">
        <f t="shared" si="5"/>
        <v>3379.7494831759486</v>
      </c>
      <c r="AM6" s="10">
        <f t="shared" si="6"/>
        <v>463.58092375305529</v>
      </c>
      <c r="AN6" s="1198">
        <f t="shared" si="7"/>
        <v>370.8647390024442</v>
      </c>
    </row>
    <row r="7" spans="1:40" ht="12.75" customHeight="1" x14ac:dyDescent="0.2">
      <c r="A7" s="1173">
        <v>9</v>
      </c>
      <c r="B7" s="1235" t="s">
        <v>531</v>
      </c>
      <c r="C7" s="7"/>
      <c r="D7" s="8" t="s">
        <v>532</v>
      </c>
      <c r="E7" s="8" t="s">
        <v>39</v>
      </c>
      <c r="F7" s="8" t="s">
        <v>533</v>
      </c>
      <c r="G7" s="1192">
        <v>6.8490000000000002</v>
      </c>
      <c r="H7" s="1193">
        <v>8.3030000000000008</v>
      </c>
      <c r="I7" s="1236"/>
      <c r="J7" s="1195">
        <v>38.93</v>
      </c>
      <c r="K7" s="1192">
        <v>3.5000000000000003E-2</v>
      </c>
      <c r="L7" s="1192"/>
      <c r="M7" s="1192"/>
      <c r="N7" s="1192"/>
      <c r="O7" s="1194">
        <f t="shared" si="0"/>
        <v>9.6989249999999991</v>
      </c>
      <c r="P7" s="1192">
        <f>0.209*K7+0.4*J7</f>
        <v>15.579315000000001</v>
      </c>
      <c r="Q7" s="19">
        <f t="shared" si="1"/>
        <v>24.4355982102925</v>
      </c>
      <c r="R7" s="1195">
        <f t="shared" si="2"/>
        <v>25.776619559493252</v>
      </c>
      <c r="S7" s="10">
        <f>37000/1.73/SQRT(POWER((G7+P7),2)+O7*O7)</f>
        <v>875.25106006963631</v>
      </c>
      <c r="T7" s="10">
        <f>37000/2/SQRT(O7*O7+POWER((H7+P7),2))</f>
        <v>717.70466089633726</v>
      </c>
      <c r="U7" s="1192">
        <v>2</v>
      </c>
      <c r="V7" s="1196" t="s">
        <v>212</v>
      </c>
      <c r="W7" s="1192">
        <v>16</v>
      </c>
      <c r="X7" s="1192" t="s">
        <v>47</v>
      </c>
      <c r="Y7" s="1192">
        <v>35</v>
      </c>
      <c r="Z7" s="1192">
        <v>6.3</v>
      </c>
      <c r="AA7" s="1195">
        <v>10.3</v>
      </c>
      <c r="AB7" s="7"/>
      <c r="AC7" s="7"/>
      <c r="AD7" s="1195">
        <v>7.89</v>
      </c>
      <c r="AE7" s="9">
        <v>31.83</v>
      </c>
      <c r="AF7" s="9">
        <v>33.22</v>
      </c>
      <c r="AG7" s="1197">
        <f>SQRT(POWER((AD7+P7+G7),2)+POWER(O7,2))*POWER(6.3/35,2)</f>
        <v>1.0313533121465455</v>
      </c>
      <c r="AH7" s="1197">
        <f>SQRT(POWER((H7+P7+AD7),2)+POWER(O7,2))*POWER(6.3/35,2)</f>
        <v>1.0763186108910341</v>
      </c>
      <c r="AI7" s="10">
        <f t="shared" si="3"/>
        <v>671.88224318239395</v>
      </c>
      <c r="AJ7" s="10">
        <f t="shared" si="4"/>
        <v>556.89829566710239</v>
      </c>
      <c r="AK7" s="1199">
        <f t="shared" si="5"/>
        <v>3530.9126893969656</v>
      </c>
      <c r="AL7" s="1199">
        <f t="shared" si="5"/>
        <v>3383.4019594765718</v>
      </c>
      <c r="AM7" s="10">
        <f t="shared" si="6"/>
        <v>464.08191305591868</v>
      </c>
      <c r="AN7" s="1198">
        <f t="shared" si="7"/>
        <v>371.26553044473491</v>
      </c>
    </row>
    <row r="8" spans="1:40" ht="12.75" customHeight="1" x14ac:dyDescent="0.2">
      <c r="A8" s="1173">
        <v>9</v>
      </c>
      <c r="B8" s="1235" t="s">
        <v>534</v>
      </c>
      <c r="C8" s="7"/>
      <c r="D8" s="8" t="s">
        <v>608</v>
      </c>
      <c r="E8" s="8" t="s">
        <v>39</v>
      </c>
      <c r="F8" s="8" t="s">
        <v>533</v>
      </c>
      <c r="G8" s="1816">
        <v>6.875</v>
      </c>
      <c r="H8" s="1817">
        <v>8.3290000000000006</v>
      </c>
      <c r="I8" s="1236"/>
      <c r="J8" s="1195">
        <v>23.37</v>
      </c>
      <c r="K8" s="1192">
        <v>4.1000000000000002E-2</v>
      </c>
      <c r="L8" s="1192"/>
      <c r="M8" s="1192"/>
      <c r="N8" s="1192"/>
      <c r="O8" s="1194">
        <f t="shared" si="0"/>
        <v>5.8254030000000006</v>
      </c>
      <c r="P8" s="1192">
        <f>(0.4*SUM(I8:N8))+0.076*K8</f>
        <v>9.367516000000002</v>
      </c>
      <c r="Q8" s="19">
        <f t="shared" si="1"/>
        <v>17.255568554025249</v>
      </c>
      <c r="R8" s="1195">
        <f t="shared" si="2"/>
        <v>18.630673596267663</v>
      </c>
      <c r="S8" s="10">
        <f>37000/(1.73*Q8)</f>
        <v>1239.4423962347596</v>
      </c>
      <c r="T8" s="10">
        <f>37000/(1.73*R8)</f>
        <v>1147.9608145396737</v>
      </c>
      <c r="U8" s="1192">
        <v>1</v>
      </c>
      <c r="V8" s="1196" t="s">
        <v>528</v>
      </c>
      <c r="W8" s="1192">
        <v>6.3</v>
      </c>
      <c r="X8" s="1192" t="s">
        <v>47</v>
      </c>
      <c r="Y8" s="1192">
        <v>35</v>
      </c>
      <c r="Z8" s="1192">
        <v>6.3</v>
      </c>
      <c r="AA8" s="1195">
        <v>7.97</v>
      </c>
      <c r="AB8" s="7" t="s">
        <v>54</v>
      </c>
      <c r="AC8" s="7"/>
      <c r="AD8" s="1195">
        <f>AA8/100*Y8*Y8/W8</f>
        <v>15.497222222222222</v>
      </c>
      <c r="AE8" s="9">
        <f>SQRT(POWER(O8,2)+POWER(P8+AD8+G8,2))</f>
        <v>32.269897776838455</v>
      </c>
      <c r="AF8" s="9">
        <f>SQRT(POWER(O8,2)+POWER(P8+AD8+H8,2))</f>
        <v>33.701032288014943</v>
      </c>
      <c r="AG8" s="1812">
        <f>AE8*POWER(6.3/35.3,2)</f>
        <v>1.0278489055868505</v>
      </c>
      <c r="AH8" s="1812">
        <f>AF8*POWER(6.3/35.3,2)</f>
        <v>1.0734328752428102</v>
      </c>
      <c r="AI8" s="10">
        <f t="shared" si="3"/>
        <v>662.76265840373458</v>
      </c>
      <c r="AJ8" s="10">
        <f t="shared" si="4"/>
        <v>548.94460923023814</v>
      </c>
      <c r="AK8" s="1199">
        <f>6300/(1.73*AG8)</f>
        <v>3542.9511840854116</v>
      </c>
      <c r="AL8" s="1199">
        <f>6300/(2*AH8)</f>
        <v>2934.5104595268435</v>
      </c>
      <c r="AM8" s="10">
        <f t="shared" si="6"/>
        <v>457.45384102519847</v>
      </c>
      <c r="AN8" s="1198">
        <f t="shared" si="7"/>
        <v>365.96307282015874</v>
      </c>
    </row>
    <row r="9" spans="1:40" ht="12.75" customHeight="1" x14ac:dyDescent="0.2">
      <c r="A9" s="1173">
        <v>9</v>
      </c>
      <c r="B9" s="1235" t="s">
        <v>534</v>
      </c>
      <c r="C9" s="7"/>
      <c r="D9" s="8" t="s">
        <v>608</v>
      </c>
      <c r="E9" s="8" t="s">
        <v>39</v>
      </c>
      <c r="F9" s="8" t="s">
        <v>533</v>
      </c>
      <c r="G9" s="1816">
        <v>6.8490000000000002</v>
      </c>
      <c r="H9" s="1817">
        <v>8.3030000000000008</v>
      </c>
      <c r="I9" s="1236"/>
      <c r="J9" s="1195">
        <v>23.37</v>
      </c>
      <c r="K9" s="1192">
        <v>3.5000000000000003E-2</v>
      </c>
      <c r="L9" s="1192"/>
      <c r="M9" s="1192"/>
      <c r="N9" s="1192"/>
      <c r="O9" s="1194">
        <f t="shared" si="0"/>
        <v>5.8244850000000001</v>
      </c>
      <c r="P9" s="1192">
        <f>(0.4*SUM(I9:N9))+0.076*K9</f>
        <v>9.3646600000000007</v>
      </c>
      <c r="Q9" s="19">
        <f t="shared" si="1"/>
        <v>17.228099027775091</v>
      </c>
      <c r="R9" s="1195">
        <f t="shared" si="2"/>
        <v>18.602979207396462</v>
      </c>
      <c r="S9" s="10">
        <f>37000/(1.73*Q9)</f>
        <v>1241.4186383833587</v>
      </c>
      <c r="T9" s="10">
        <f>37000/(1.73*R9)</f>
        <v>1149.6697920562494</v>
      </c>
      <c r="U9" s="1192">
        <v>1</v>
      </c>
      <c r="V9" s="1196" t="s">
        <v>528</v>
      </c>
      <c r="W9" s="1192">
        <v>6.3</v>
      </c>
      <c r="X9" s="1192" t="s">
        <v>47</v>
      </c>
      <c r="Y9" s="1192">
        <v>35</v>
      </c>
      <c r="Z9" s="1192">
        <v>6.3</v>
      </c>
      <c r="AA9" s="1195">
        <v>7.94</v>
      </c>
      <c r="AB9" s="7" t="s">
        <v>54</v>
      </c>
      <c r="AC9" s="7"/>
      <c r="AD9" s="1195">
        <f>AA9/100*Y9*Y9/W9</f>
        <v>15.43888888888889</v>
      </c>
      <c r="AE9" s="9">
        <f>SQRT(POWER(O9,2)+POWER(P9+AD9+G9,2))</f>
        <v>32.183978571312878</v>
      </c>
      <c r="AF9" s="9">
        <f>SQRT(POWER(O9,2)+POWER(P9+AD9+H9,2))</f>
        <v>33.614999700247139</v>
      </c>
      <c r="AG9" s="1812">
        <f>AE9*POWER(6.3/35.3,2)</f>
        <v>1.0251122386789144</v>
      </c>
      <c r="AH9" s="1812">
        <f>AF9*POWER(6.3/35.3,2)</f>
        <v>1.0706925969254302</v>
      </c>
      <c r="AI9" s="10">
        <f t="shared" si="3"/>
        <v>664.53198723099229</v>
      </c>
      <c r="AJ9" s="10">
        <f t="shared" si="4"/>
        <v>550.34955124107842</v>
      </c>
      <c r="AK9" s="1199">
        <f>6300/(1.73*AG9)</f>
        <v>3552.4095408351218</v>
      </c>
      <c r="AL9" s="1199">
        <f>6300/(2*AH9)</f>
        <v>2942.0209022136219</v>
      </c>
      <c r="AM9" s="10">
        <f t="shared" si="6"/>
        <v>458.62462603423205</v>
      </c>
      <c r="AN9" s="1198">
        <f t="shared" si="7"/>
        <v>366.89970082738563</v>
      </c>
    </row>
    <row r="10" spans="1:40" ht="12.75" customHeight="1" x14ac:dyDescent="0.2">
      <c r="A10" s="13"/>
      <c r="B10" s="1210"/>
      <c r="C10" s="11"/>
      <c r="D10" s="1203"/>
      <c r="E10" s="1203"/>
      <c r="F10" s="1203"/>
      <c r="G10" s="1202"/>
      <c r="H10" s="1202"/>
      <c r="I10" s="1211"/>
      <c r="J10" s="1212"/>
      <c r="K10" s="1202"/>
      <c r="L10" s="1202"/>
      <c r="O10" s="1212"/>
      <c r="Q10" s="1213"/>
      <c r="R10" s="1212"/>
      <c r="V10" s="1214"/>
      <c r="W10" s="1202"/>
      <c r="X10" s="1202"/>
      <c r="Y10" s="1202"/>
      <c r="Z10" s="1202"/>
      <c r="AA10" s="1212"/>
      <c r="AB10" s="11"/>
      <c r="AD10" s="1212"/>
      <c r="AE10" s="1215"/>
      <c r="AF10" s="1215"/>
      <c r="AG10" s="1216"/>
      <c r="AH10" s="1216"/>
      <c r="AK10" s="1217"/>
      <c r="AL10" s="1217"/>
      <c r="AM10" s="12"/>
    </row>
    <row r="11" spans="1:40" ht="12.75" customHeight="1" x14ac:dyDescent="0.2">
      <c r="A11" s="13"/>
      <c r="B11" s="1210"/>
      <c r="C11" s="11"/>
      <c r="D11" s="1203"/>
      <c r="E11" s="1203"/>
      <c r="F11" s="1203"/>
      <c r="G11" s="1202"/>
      <c r="H11" s="1202"/>
      <c r="I11" s="1211"/>
      <c r="J11" s="1212"/>
      <c r="K11" s="1202"/>
      <c r="L11" s="1202"/>
      <c r="O11" s="1212"/>
      <c r="Q11" s="1213"/>
      <c r="R11" s="1212"/>
      <c r="V11" s="1214"/>
      <c r="W11" s="1202"/>
      <c r="X11" s="1202"/>
      <c r="Y11" s="1202"/>
      <c r="Z11" s="1202"/>
      <c r="AA11" s="1212"/>
      <c r="AB11" s="11"/>
      <c r="AD11" s="1212"/>
      <c r="AE11" s="1215"/>
      <c r="AF11" s="1215"/>
      <c r="AG11" s="1216"/>
      <c r="AH11" s="1216"/>
      <c r="AK11" s="1217"/>
      <c r="AL11" s="1217"/>
      <c r="AM11" s="12"/>
    </row>
    <row r="12" spans="1:40" x14ac:dyDescent="0.2">
      <c r="F12" s="1203"/>
      <c r="O12" s="1204"/>
    </row>
    <row r="13" spans="1:40" ht="15.75" x14ac:dyDescent="0.25">
      <c r="B13" s="1208" t="s">
        <v>158</v>
      </c>
      <c r="E13" s="1209"/>
    </row>
    <row r="14" spans="1:40" x14ac:dyDescent="0.2">
      <c r="B14" s="1201" t="s">
        <v>529</v>
      </c>
      <c r="F14" s="1200" t="s">
        <v>530</v>
      </c>
    </row>
    <row r="83" spans="1:1" x14ac:dyDescent="0.2">
      <c r="A83" s="13"/>
    </row>
    <row r="84" spans="1:1" x14ac:dyDescent="0.2">
      <c r="A84" s="13"/>
    </row>
    <row r="85" spans="1:1" x14ac:dyDescent="0.2">
      <c r="A85" s="13"/>
    </row>
    <row r="86" spans="1:1" x14ac:dyDescent="0.2">
      <c r="A86" s="13"/>
    </row>
  </sheetData>
  <mergeCells count="26">
    <mergeCell ref="G1:H1"/>
    <mergeCell ref="A1:A3"/>
    <mergeCell ref="B1:B3"/>
    <mergeCell ref="D1:D3"/>
    <mergeCell ref="E1:E3"/>
    <mergeCell ref="F1:F3"/>
    <mergeCell ref="AB1:AB2"/>
    <mergeCell ref="I1:N1"/>
    <mergeCell ref="O1:P2"/>
    <mergeCell ref="Q1:R1"/>
    <mergeCell ref="S1:T1"/>
    <mergeCell ref="U1:U3"/>
    <mergeCell ref="V1:V3"/>
    <mergeCell ref="W1:W2"/>
    <mergeCell ref="X1:X3"/>
    <mergeCell ref="Y1:Y2"/>
    <mergeCell ref="Z1:Z2"/>
    <mergeCell ref="AA1:AA2"/>
    <mergeCell ref="AN1:AN2"/>
    <mergeCell ref="AK1:AL1"/>
    <mergeCell ref="AC1:AC2"/>
    <mergeCell ref="AD1:AD2"/>
    <mergeCell ref="AE1:AF1"/>
    <mergeCell ref="AG1:AH1"/>
    <mergeCell ref="AI1:AJ1"/>
    <mergeCell ref="AM1:AM2"/>
  </mergeCells>
  <pageMargins left="0.74803149606299213" right="0.55118110236220474" top="0.78740157480314965" bottom="0.78740157480314965" header="0.51181102362204722" footer="0.51181102362204722"/>
  <pageSetup paperSize="9" scale="70" orientation="landscape" r:id="rId1"/>
  <headerFooter alignWithMargins="0">
    <oddFooter>&amp;L&amp;Z&amp;F&amp;D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4224-873D-4407-A0D1-A9EF67133460}">
  <sheetPr codeName="Лист13"/>
  <dimension ref="A1:BF74"/>
  <sheetViews>
    <sheetView tabSelected="1" topLeftCell="AF6" zoomScale="70" zoomScaleNormal="70" workbookViewId="0">
      <selection activeCell="BT8" sqref="BT8"/>
    </sheetView>
  </sheetViews>
  <sheetFormatPr defaultColWidth="8.85546875" defaultRowHeight="50.1" customHeight="1" x14ac:dyDescent="0.2"/>
  <cols>
    <col min="1" max="1" width="18.7109375" style="100" customWidth="1"/>
    <col min="2" max="2" width="31.140625" style="195" customWidth="1"/>
    <col min="3" max="3" width="12.28515625" style="100" customWidth="1"/>
    <col min="4" max="4" width="12.85546875" style="100" customWidth="1"/>
    <col min="5" max="6" width="10.7109375" style="100" customWidth="1"/>
    <col min="7" max="7" width="10.7109375" style="186" customWidth="1"/>
    <col min="8" max="8" width="12" style="188" customWidth="1"/>
    <col min="9" max="9" width="9.7109375" style="188" customWidth="1"/>
    <col min="10" max="10" width="10.42578125" style="189" customWidth="1"/>
    <col min="11" max="12" width="6.28515625" style="186" customWidth="1"/>
    <col min="13" max="15" width="9.7109375" style="186" customWidth="1"/>
    <col min="16" max="17" width="9.7109375" style="100" customWidth="1"/>
    <col min="18" max="20" width="10.7109375" style="100" customWidth="1"/>
    <col min="21" max="21" width="14.85546875" style="100" customWidth="1"/>
    <col min="22" max="22" width="8.42578125" style="186" customWidth="1"/>
    <col min="23" max="23" width="20.42578125" style="100" customWidth="1"/>
    <col min="24" max="26" width="9.7109375" style="100" customWidth="1"/>
    <col min="27" max="27" width="15.28515625" style="100" customWidth="1"/>
    <col min="28" max="28" width="9.7109375" style="100" customWidth="1"/>
    <col min="29" max="30" width="10.7109375" style="100" customWidth="1"/>
    <col min="31" max="32" width="13.85546875" style="100" customWidth="1"/>
    <col min="33" max="34" width="10.7109375" style="100" customWidth="1"/>
    <col min="35" max="35" width="10.7109375" style="186" customWidth="1"/>
    <col min="36" max="36" width="12" style="1258" customWidth="1"/>
    <col min="37" max="37" width="9.7109375" style="1258" customWidth="1"/>
    <col min="38" max="38" width="10.42578125" style="1259" customWidth="1"/>
    <col min="39" max="40" width="6.28515625" style="1260" customWidth="1"/>
    <col min="41" max="43" width="9.7109375" style="1260" customWidth="1"/>
    <col min="44" max="45" width="9.7109375" style="1261" customWidth="1"/>
    <col min="46" max="48" width="10.7109375" style="100" customWidth="1"/>
    <col min="49" max="49" width="4.140625" style="100" customWidth="1"/>
    <col min="50" max="50" width="8.85546875" style="100"/>
    <col min="51" max="51" width="9" style="100" bestFit="1" customWidth="1"/>
    <col min="52" max="54" width="10.5703125" style="100" bestFit="1" customWidth="1"/>
    <col min="55" max="55" width="9" style="100" bestFit="1" customWidth="1"/>
    <col min="56" max="16384" width="8.85546875" style="100"/>
  </cols>
  <sheetData>
    <row r="1" spans="1:58" ht="28.5" customHeight="1" x14ac:dyDescent="0.2">
      <c r="V1" s="1130"/>
      <c r="W1" s="1130"/>
      <c r="X1" s="1130"/>
      <c r="Y1" s="1130"/>
      <c r="Z1" s="1130"/>
      <c r="AB1" s="2272" t="s">
        <v>460</v>
      </c>
      <c r="AC1" s="2272"/>
      <c r="AD1" s="2272"/>
      <c r="AE1" s="2272"/>
      <c r="AF1" s="2272"/>
      <c r="AG1" s="2272"/>
      <c r="AH1" s="2272"/>
      <c r="AI1" s="2272"/>
    </row>
    <row r="2" spans="1:58" ht="28.5" customHeight="1" x14ac:dyDescent="0.2">
      <c r="V2" s="1131"/>
      <c r="W2" s="1131"/>
      <c r="X2" s="1131"/>
      <c r="Y2" s="1131"/>
      <c r="Z2" s="1131"/>
      <c r="AB2" s="2272" t="s">
        <v>461</v>
      </c>
      <c r="AC2" s="2272"/>
      <c r="AD2" s="2272"/>
      <c r="AE2" s="2272"/>
      <c r="AF2" s="2272"/>
      <c r="AG2" s="2272"/>
      <c r="AH2" s="2272"/>
      <c r="AI2" s="2272"/>
    </row>
    <row r="3" spans="1:58" ht="28.5" customHeight="1" x14ac:dyDescent="0.2">
      <c r="V3" s="1131"/>
      <c r="W3" s="1131"/>
      <c r="X3" s="1131"/>
      <c r="Y3" s="1131"/>
      <c r="Z3" s="1131"/>
      <c r="AB3" s="2272" t="s">
        <v>462</v>
      </c>
      <c r="AC3" s="2272"/>
      <c r="AD3" s="2272"/>
      <c r="AE3" s="2272"/>
      <c r="AF3" s="2272"/>
      <c r="AG3" s="2272"/>
      <c r="AH3" s="2272"/>
      <c r="AI3" s="2272"/>
    </row>
    <row r="4" spans="1:58" ht="21" customHeight="1" x14ac:dyDescent="0.2">
      <c r="A4" s="2273" t="s">
        <v>463</v>
      </c>
      <c r="B4" s="2273"/>
      <c r="C4" s="2273"/>
      <c r="D4" s="2273"/>
      <c r="E4" s="2273"/>
      <c r="F4" s="2273"/>
      <c r="G4" s="2273"/>
      <c r="H4" s="2273"/>
      <c r="I4" s="2273"/>
      <c r="J4" s="2273"/>
      <c r="K4" s="2273"/>
      <c r="L4" s="2273"/>
      <c r="M4" s="2273"/>
      <c r="N4" s="2273"/>
      <c r="O4" s="2273"/>
      <c r="P4" s="2273"/>
      <c r="Q4" s="2273"/>
      <c r="R4" s="2273"/>
      <c r="S4" s="2273"/>
      <c r="T4" s="2273"/>
      <c r="U4" s="2273"/>
      <c r="V4" s="2273"/>
      <c r="W4" s="2273"/>
      <c r="X4" s="2273"/>
      <c r="Y4" s="2273"/>
      <c r="Z4" s="2273"/>
      <c r="AA4" s="2273"/>
      <c r="AB4" s="2273"/>
      <c r="AC4" s="2273"/>
      <c r="AD4" s="2273"/>
      <c r="AE4" s="2273"/>
      <c r="AF4" s="2273"/>
      <c r="AG4" s="2273"/>
      <c r="AH4" s="2273"/>
      <c r="AI4" s="2273"/>
      <c r="AJ4" s="1262"/>
      <c r="AK4" s="1262"/>
      <c r="AL4" s="1262"/>
      <c r="AM4" s="1262"/>
      <c r="AN4" s="1262"/>
      <c r="AO4" s="1262"/>
      <c r="AP4" s="1262"/>
      <c r="AQ4" s="1262"/>
      <c r="AR4" s="1262"/>
      <c r="AS4" s="1262"/>
      <c r="AT4" s="1132"/>
      <c r="AU4" s="1132"/>
      <c r="AV4" s="1132"/>
      <c r="AW4" s="1132"/>
    </row>
    <row r="5" spans="1:58" ht="21" customHeight="1" x14ac:dyDescent="0.2">
      <c r="A5" s="2273"/>
      <c r="B5" s="2273"/>
      <c r="C5" s="2273"/>
      <c r="D5" s="2273"/>
      <c r="E5" s="2273"/>
      <c r="F5" s="2273"/>
      <c r="G5" s="2273"/>
      <c r="H5" s="2273"/>
      <c r="I5" s="2273"/>
      <c r="J5" s="2273"/>
      <c r="K5" s="2273"/>
      <c r="L5" s="2273"/>
      <c r="M5" s="2273"/>
      <c r="N5" s="2273"/>
      <c r="O5" s="2273"/>
      <c r="P5" s="2273"/>
      <c r="Q5" s="2273"/>
      <c r="R5" s="2273"/>
      <c r="S5" s="2273"/>
      <c r="T5" s="2273"/>
      <c r="U5" s="2273"/>
      <c r="V5" s="2273"/>
      <c r="W5" s="2273"/>
      <c r="X5" s="2273"/>
      <c r="Y5" s="2273"/>
      <c r="Z5" s="2273"/>
      <c r="AA5" s="2273"/>
      <c r="AB5" s="2273"/>
      <c r="AC5" s="2273"/>
      <c r="AD5" s="2273"/>
      <c r="AE5" s="2273"/>
      <c r="AF5" s="2273"/>
      <c r="AG5" s="2273"/>
      <c r="AH5" s="2273"/>
      <c r="AI5" s="2273"/>
      <c r="AJ5" s="1262"/>
      <c r="AK5" s="1262"/>
      <c r="AL5" s="1262"/>
      <c r="AM5" s="1262"/>
      <c r="AN5" s="1262"/>
      <c r="AO5" s="1262"/>
      <c r="AP5" s="1262"/>
      <c r="AQ5" s="1262"/>
      <c r="AR5" s="1262"/>
      <c r="AS5" s="1262"/>
      <c r="AT5" s="1133"/>
      <c r="AU5" s="1133"/>
      <c r="AV5" s="1133"/>
      <c r="AW5" s="1133"/>
    </row>
    <row r="6" spans="1:58" s="186" customFormat="1" ht="39" customHeight="1" x14ac:dyDescent="0.65">
      <c r="A6" s="2274" t="s">
        <v>552</v>
      </c>
      <c r="B6" s="2274"/>
      <c r="C6" s="2274"/>
      <c r="D6" s="2274"/>
      <c r="E6" s="2274"/>
      <c r="F6" s="2274"/>
      <c r="G6" s="2274"/>
      <c r="H6" s="2274"/>
      <c r="I6" s="2274"/>
      <c r="J6" s="2274"/>
      <c r="K6" s="2274"/>
      <c r="L6" s="2274"/>
      <c r="M6" s="2274"/>
      <c r="N6" s="2274"/>
      <c r="O6" s="2274"/>
      <c r="P6" s="2274"/>
      <c r="Q6" s="2274"/>
      <c r="R6" s="2274"/>
      <c r="S6" s="2274"/>
      <c r="T6" s="2274"/>
      <c r="U6" s="2274"/>
      <c r="V6" s="2274"/>
      <c r="W6" s="2274"/>
      <c r="X6" s="2274"/>
      <c r="Y6" s="2274"/>
      <c r="Z6" s="2274"/>
      <c r="AA6" s="2274"/>
      <c r="AB6" s="2274"/>
      <c r="AC6" s="2274"/>
      <c r="AD6" s="2274"/>
      <c r="AE6" s="2274"/>
      <c r="AF6" s="2274"/>
      <c r="AG6" s="2274"/>
      <c r="AH6" s="2274"/>
      <c r="AI6" s="2274"/>
      <c r="AJ6" s="1263"/>
      <c r="AK6" s="1263"/>
      <c r="AL6" s="1263"/>
      <c r="AM6" s="1263"/>
      <c r="AN6" s="1263"/>
      <c r="AO6" s="1263"/>
      <c r="AP6" s="1263"/>
      <c r="AQ6" s="1263"/>
      <c r="AR6" s="1263"/>
      <c r="AS6" s="1263"/>
      <c r="AT6" s="1134"/>
      <c r="AU6" s="1134"/>
      <c r="AV6" s="1135"/>
      <c r="AW6" s="1135"/>
      <c r="AX6" s="1136"/>
      <c r="AY6" s="1136"/>
      <c r="AZ6" s="1136"/>
      <c r="BA6" s="1136"/>
      <c r="BB6" s="1136"/>
      <c r="BC6" s="1136"/>
      <c r="BD6" s="1136"/>
      <c r="BE6" s="1136"/>
      <c r="BF6" s="1136"/>
    </row>
    <row r="7" spans="1:58" s="186" customFormat="1" ht="96" customHeight="1" x14ac:dyDescent="0.2">
      <c r="A7" s="2275" t="s">
        <v>5</v>
      </c>
      <c r="B7" s="2275" t="s">
        <v>1</v>
      </c>
      <c r="C7" s="2275" t="s">
        <v>464</v>
      </c>
      <c r="D7" s="2275"/>
      <c r="E7" s="2276" t="s">
        <v>465</v>
      </c>
      <c r="F7" s="2276"/>
      <c r="G7" s="2277" t="s">
        <v>466</v>
      </c>
      <c r="H7" s="2276" t="s">
        <v>467</v>
      </c>
      <c r="I7" s="2276"/>
      <c r="J7" s="2276"/>
      <c r="K7" s="2276"/>
      <c r="L7" s="2276"/>
      <c r="M7" s="2277" t="s">
        <v>468</v>
      </c>
      <c r="N7" s="2276" t="s">
        <v>469</v>
      </c>
      <c r="O7" s="2276"/>
      <c r="P7" s="2276" t="s">
        <v>470</v>
      </c>
      <c r="Q7" s="2276"/>
      <c r="R7" s="2276" t="s">
        <v>471</v>
      </c>
      <c r="S7" s="2276"/>
      <c r="T7" s="2278" t="s">
        <v>472</v>
      </c>
      <c r="U7" s="2278"/>
      <c r="V7" s="2277" t="s">
        <v>466</v>
      </c>
      <c r="W7" s="2276" t="s">
        <v>473</v>
      </c>
      <c r="X7" s="2281" t="s">
        <v>12</v>
      </c>
      <c r="Y7" s="2276" t="s">
        <v>13</v>
      </c>
      <c r="Z7" s="2281" t="s">
        <v>474</v>
      </c>
      <c r="AA7" s="2286" t="s">
        <v>475</v>
      </c>
      <c r="AB7" s="2281" t="s">
        <v>476</v>
      </c>
      <c r="AC7" s="2276" t="s">
        <v>477</v>
      </c>
      <c r="AD7" s="2276"/>
      <c r="AE7" s="2276" t="s">
        <v>478</v>
      </c>
      <c r="AF7" s="2276"/>
      <c r="AG7" s="2276" t="s">
        <v>479</v>
      </c>
      <c r="AH7" s="2276"/>
      <c r="AI7" s="2277" t="s">
        <v>466</v>
      </c>
      <c r="AJ7" s="2298" t="s">
        <v>542</v>
      </c>
      <c r="AK7" s="2298"/>
      <c r="AL7" s="2298"/>
      <c r="AM7" s="2298"/>
      <c r="AN7" s="2298"/>
      <c r="AO7" s="2299" t="s">
        <v>468</v>
      </c>
      <c r="AP7" s="2298" t="s">
        <v>541</v>
      </c>
      <c r="AQ7" s="2298"/>
      <c r="AR7" s="2298" t="s">
        <v>540</v>
      </c>
      <c r="AS7" s="2298"/>
      <c r="AT7" s="1134"/>
      <c r="AU7" s="1134"/>
      <c r="AV7" s="1135"/>
      <c r="AW7" s="1135"/>
      <c r="AX7" s="1136"/>
      <c r="AY7" s="1136"/>
      <c r="AZ7" s="1136"/>
      <c r="BA7" s="1136"/>
      <c r="BB7" s="1136"/>
      <c r="BC7" s="1136"/>
      <c r="BD7" s="1136"/>
      <c r="BE7" s="1136"/>
      <c r="BF7" s="1136"/>
    </row>
    <row r="8" spans="1:58" s="186" customFormat="1" ht="102" customHeight="1" x14ac:dyDescent="0.2">
      <c r="A8" s="2275"/>
      <c r="B8" s="2275"/>
      <c r="C8" s="1175" t="s">
        <v>480</v>
      </c>
      <c r="D8" s="1175" t="s">
        <v>481</v>
      </c>
      <c r="E8" s="2276"/>
      <c r="F8" s="2276"/>
      <c r="G8" s="2277"/>
      <c r="H8" s="1137" t="s">
        <v>482</v>
      </c>
      <c r="I8" s="1138" t="s">
        <v>25</v>
      </c>
      <c r="J8" s="1177" t="s">
        <v>26</v>
      </c>
      <c r="K8" s="1177" t="s">
        <v>27</v>
      </c>
      <c r="L8" s="1177" t="s">
        <v>28</v>
      </c>
      <c r="M8" s="2277"/>
      <c r="N8" s="2276"/>
      <c r="O8" s="2276"/>
      <c r="P8" s="1175" t="s">
        <v>483</v>
      </c>
      <c r="Q8" s="1175" t="s">
        <v>484</v>
      </c>
      <c r="R8" s="2276"/>
      <c r="S8" s="2276"/>
      <c r="T8" s="2278"/>
      <c r="U8" s="2278"/>
      <c r="V8" s="2277"/>
      <c r="W8" s="2276"/>
      <c r="X8" s="2281"/>
      <c r="Y8" s="2276"/>
      <c r="Z8" s="2281"/>
      <c r="AA8" s="2286"/>
      <c r="AB8" s="2281"/>
      <c r="AC8" s="1175" t="s">
        <v>483</v>
      </c>
      <c r="AD8" s="1175" t="s">
        <v>484</v>
      </c>
      <c r="AE8" s="1175" t="s">
        <v>483</v>
      </c>
      <c r="AF8" s="1175" t="s">
        <v>484</v>
      </c>
      <c r="AG8" s="2276"/>
      <c r="AH8" s="2276"/>
      <c r="AI8" s="2277"/>
      <c r="AJ8" s="1264" t="s">
        <v>482</v>
      </c>
      <c r="AK8" s="1265" t="s">
        <v>25</v>
      </c>
      <c r="AL8" s="1266" t="s">
        <v>26</v>
      </c>
      <c r="AM8" s="1266" t="s">
        <v>27</v>
      </c>
      <c r="AN8" s="1266" t="s">
        <v>28</v>
      </c>
      <c r="AO8" s="2299"/>
      <c r="AP8" s="2298"/>
      <c r="AQ8" s="2298"/>
      <c r="AR8" s="1267" t="s">
        <v>483</v>
      </c>
      <c r="AS8" s="1267" t="s">
        <v>484</v>
      </c>
      <c r="AT8" s="1134"/>
      <c r="AU8" s="1134"/>
      <c r="AV8" s="1135"/>
      <c r="AW8" s="1135"/>
      <c r="AX8" s="1136"/>
      <c r="AY8" s="1136"/>
      <c r="AZ8" s="1136"/>
      <c r="BA8" s="1136"/>
      <c r="BB8" s="1136"/>
      <c r="BC8" s="1136"/>
      <c r="BD8" s="1136"/>
      <c r="BE8" s="1136"/>
      <c r="BF8" s="1136"/>
    </row>
    <row r="9" spans="1:58" s="186" customFormat="1" ht="30" customHeight="1" x14ac:dyDescent="0.2">
      <c r="A9" s="2275"/>
      <c r="B9" s="2275"/>
      <c r="C9" s="1175" t="s">
        <v>30</v>
      </c>
      <c r="D9" s="1175" t="s">
        <v>30</v>
      </c>
      <c r="E9" s="1175" t="s">
        <v>485</v>
      </c>
      <c r="F9" s="1175" t="s">
        <v>486</v>
      </c>
      <c r="G9" s="2277"/>
      <c r="H9" s="1139" t="s">
        <v>31</v>
      </c>
      <c r="I9" s="1140" t="s">
        <v>31</v>
      </c>
      <c r="J9" s="1176" t="s">
        <v>31</v>
      </c>
      <c r="K9" s="1176" t="s">
        <v>31</v>
      </c>
      <c r="L9" s="1176" t="s">
        <v>31</v>
      </c>
      <c r="M9" s="1176" t="s">
        <v>31</v>
      </c>
      <c r="N9" s="1176" t="s">
        <v>30</v>
      </c>
      <c r="O9" s="1176" t="s">
        <v>30</v>
      </c>
      <c r="P9" s="1176" t="s">
        <v>30</v>
      </c>
      <c r="Q9" s="1176" t="s">
        <v>30</v>
      </c>
      <c r="R9" s="1175" t="s">
        <v>485</v>
      </c>
      <c r="S9" s="1175" t="s">
        <v>486</v>
      </c>
      <c r="T9" s="1176" t="s">
        <v>30</v>
      </c>
      <c r="U9" s="1141" t="s">
        <v>487</v>
      </c>
      <c r="V9" s="2277"/>
      <c r="W9" s="2276"/>
      <c r="X9" s="1179" t="s">
        <v>32</v>
      </c>
      <c r="Y9" s="2276"/>
      <c r="Z9" s="1179" t="s">
        <v>33</v>
      </c>
      <c r="AA9" s="1178" t="s">
        <v>34</v>
      </c>
      <c r="AB9" s="1179" t="s">
        <v>30</v>
      </c>
      <c r="AC9" s="1176" t="s">
        <v>30</v>
      </c>
      <c r="AD9" s="1176" t="s">
        <v>30</v>
      </c>
      <c r="AE9" s="1176" t="s">
        <v>30</v>
      </c>
      <c r="AF9" s="1176" t="s">
        <v>30</v>
      </c>
      <c r="AG9" s="1175" t="s">
        <v>485</v>
      </c>
      <c r="AH9" s="1175" t="s">
        <v>486</v>
      </c>
      <c r="AI9" s="2277"/>
      <c r="AJ9" s="1268" t="s">
        <v>31</v>
      </c>
      <c r="AK9" s="1269" t="s">
        <v>31</v>
      </c>
      <c r="AL9" s="1270" t="s">
        <v>31</v>
      </c>
      <c r="AM9" s="1270" t="s">
        <v>31</v>
      </c>
      <c r="AN9" s="1270" t="s">
        <v>31</v>
      </c>
      <c r="AO9" s="1270" t="s">
        <v>31</v>
      </c>
      <c r="AP9" s="1270" t="s">
        <v>30</v>
      </c>
      <c r="AQ9" s="1270" t="s">
        <v>30</v>
      </c>
      <c r="AR9" s="1270" t="s">
        <v>30</v>
      </c>
      <c r="AS9" s="1270" t="s">
        <v>30</v>
      </c>
      <c r="AT9" s="1134"/>
      <c r="AU9" s="1134"/>
      <c r="AV9" s="1135"/>
      <c r="AW9" s="1135"/>
      <c r="AX9" s="1136"/>
      <c r="AY9" s="1136"/>
      <c r="AZ9" s="1136"/>
      <c r="BA9" s="1136"/>
      <c r="BB9" s="1136"/>
      <c r="BC9" s="1136"/>
      <c r="BD9" s="1136"/>
      <c r="BE9" s="1136"/>
      <c r="BF9" s="1136"/>
    </row>
    <row r="10" spans="1:58" s="186" customFormat="1" ht="59.25" customHeight="1" x14ac:dyDescent="0.2">
      <c r="A10" s="2279" t="s">
        <v>488</v>
      </c>
      <c r="B10" s="2280" t="s">
        <v>514</v>
      </c>
      <c r="C10" s="1142">
        <v>26.571999999999999</v>
      </c>
      <c r="D10" s="1142">
        <v>41.134</v>
      </c>
      <c r="E10" s="1143">
        <f>115000/(SQRT(3)*C10)</f>
        <v>2498.6933974411777</v>
      </c>
      <c r="F10" s="1143">
        <f>115000/(2*D10)</f>
        <v>1397.8703748723683</v>
      </c>
      <c r="G10" s="1144" t="s">
        <v>489</v>
      </c>
      <c r="H10" s="1145"/>
      <c r="I10" s="1182">
        <v>50</v>
      </c>
      <c r="J10" s="1182"/>
      <c r="K10" s="1182"/>
      <c r="L10" s="1182"/>
      <c r="M10" s="1146">
        <f>SUM(H10:L10)</f>
        <v>50</v>
      </c>
      <c r="N10" s="1182">
        <f>0.249*I10</f>
        <v>12.45</v>
      </c>
      <c r="O10" s="1182">
        <f>0.4*SUM(H10:L10)</f>
        <v>20</v>
      </c>
      <c r="P10" s="1181">
        <f>SQRT(POWER(N10,2)+POWER(O10+C10,2))</f>
        <v>48.207402792517257</v>
      </c>
      <c r="Q10" s="1182">
        <f>SQRT(POWER(N10,2)+POWER(O10+D10,2))</f>
        <v>62.388848811306019</v>
      </c>
      <c r="R10" s="1147">
        <f>115000/(SQRT(3)*P10)</f>
        <v>1377.2839255118058</v>
      </c>
      <c r="S10" s="1147">
        <f>115000/(2*Q10)</f>
        <v>921.6390604338244</v>
      </c>
      <c r="T10" s="1182">
        <f>SQRT(POWER(N10,2)+POWER(O10,2))</f>
        <v>23.558491038264737</v>
      </c>
      <c r="U10" s="1148">
        <f>SQRT(3)*T10*R10</f>
        <v>56199.386659780183</v>
      </c>
      <c r="V10" s="1149" t="s">
        <v>490</v>
      </c>
      <c r="W10" s="1150" t="s">
        <v>491</v>
      </c>
      <c r="X10" s="1143">
        <v>63</v>
      </c>
      <c r="Y10" s="1143">
        <v>0</v>
      </c>
      <c r="Z10" s="1143">
        <v>110</v>
      </c>
      <c r="AA10" s="1182">
        <v>10.51</v>
      </c>
      <c r="AB10" s="1182">
        <f>AA10/100*Z10*Z10/X10</f>
        <v>20.185873015873018</v>
      </c>
      <c r="AC10" s="1182">
        <f>SQRT(POWER(N10,2)+POWER(O10+AB10+C10,2))</f>
        <v>67.908880933228659</v>
      </c>
      <c r="AD10" s="1182">
        <f>SQRT(POWER(N10,2)+POWER(O10+AB10+D10,2))</f>
        <v>82.267394800842652</v>
      </c>
      <c r="AE10" s="1151">
        <f>AC10*POWER(35/110,2)</f>
        <v>6.8750726564632316</v>
      </c>
      <c r="AF10" s="1151">
        <f>AD10*POWER(35/110,2)</f>
        <v>8.328723853804318</v>
      </c>
      <c r="AG10" s="1143"/>
      <c r="AH10" s="1143"/>
      <c r="AI10" s="1149"/>
      <c r="AJ10" s="1271"/>
      <c r="AK10" s="1272"/>
      <c r="AL10" s="1272"/>
      <c r="AM10" s="1272"/>
      <c r="AN10" s="1272"/>
      <c r="AO10" s="1272">
        <f>SUM(AJ10:AN10)</f>
        <v>0</v>
      </c>
      <c r="AP10" s="1272">
        <f>0.249*AK10</f>
        <v>0</v>
      </c>
      <c r="AQ10" s="1272">
        <f>0.4*SUM(AJ10:AN10)</f>
        <v>0</v>
      </c>
      <c r="AR10" s="1273">
        <f>SQRT(POWER(AP10,2)+POWER(AQ10+AE10,2))</f>
        <v>6.8750726564632316</v>
      </c>
      <c r="AS10" s="1272">
        <f>SQRT(POWER(AP10,2)+POWER(AQ10+AF10,2))</f>
        <v>8.328723853804318</v>
      </c>
      <c r="AT10" s="1134"/>
      <c r="AU10" s="1134"/>
      <c r="AV10" s="1135"/>
      <c r="AW10" s="1135"/>
      <c r="AX10" s="1136"/>
      <c r="AY10" s="1136"/>
      <c r="AZ10" s="1136"/>
      <c r="BA10" s="1136"/>
      <c r="BB10" s="1136"/>
      <c r="BC10" s="1136"/>
      <c r="BD10" s="1136"/>
      <c r="BE10" s="1136"/>
      <c r="BF10" s="1136"/>
    </row>
    <row r="11" spans="1:58" s="186" customFormat="1" ht="59.25" customHeight="1" x14ac:dyDescent="0.2">
      <c r="A11" s="2279"/>
      <c r="B11" s="2280"/>
      <c r="C11" s="1142">
        <v>26.571999999999999</v>
      </c>
      <c r="D11" s="1142">
        <v>41.134</v>
      </c>
      <c r="E11" s="1143">
        <f>115000/(SQRT(3)*C11)</f>
        <v>2498.6933974411777</v>
      </c>
      <c r="F11" s="1143">
        <f>115000/(2*D11)</f>
        <v>1397.8703748723683</v>
      </c>
      <c r="G11" s="1144" t="s">
        <v>489</v>
      </c>
      <c r="H11" s="1145"/>
      <c r="I11" s="1182">
        <v>50</v>
      </c>
      <c r="J11" s="1182"/>
      <c r="K11" s="1182"/>
      <c r="L11" s="1182"/>
      <c r="M11" s="1146">
        <f>SUM(H11:L11)</f>
        <v>50</v>
      </c>
      <c r="N11" s="1182">
        <f>0.314*H11+0.249*I11+0.195*J11+0.159*K11+0.06*L11</f>
        <v>12.45</v>
      </c>
      <c r="O11" s="1182">
        <f>0.4*SUM(H11:L11)</f>
        <v>20</v>
      </c>
      <c r="P11" s="1181">
        <f>SQRT(POWER(N11,2)+POWER(O11+C11,2))</f>
        <v>48.207402792517257</v>
      </c>
      <c r="Q11" s="1182">
        <f>SQRT(POWER(N11,2)+POWER(O11+D11,2))</f>
        <v>62.388848811306019</v>
      </c>
      <c r="R11" s="1147">
        <f>115000/(SQRT(3)*P11)</f>
        <v>1377.2839255118058</v>
      </c>
      <c r="S11" s="1147">
        <f>115000/(2*Q11)</f>
        <v>921.6390604338244</v>
      </c>
      <c r="T11" s="1182">
        <f>SQRT(POWER(N11,2)+POWER(O11,2))</f>
        <v>23.558491038264737</v>
      </c>
      <c r="U11" s="1148">
        <f>SQRT(3)*T11*R11</f>
        <v>56199.386659780183</v>
      </c>
      <c r="V11" s="1149" t="s">
        <v>490</v>
      </c>
      <c r="W11" s="1150" t="s">
        <v>491</v>
      </c>
      <c r="X11" s="1143">
        <v>63</v>
      </c>
      <c r="Y11" s="1143">
        <v>0</v>
      </c>
      <c r="Z11" s="1143">
        <v>110</v>
      </c>
      <c r="AA11" s="1182">
        <v>10.375</v>
      </c>
      <c r="AB11" s="1182">
        <f>AA11/100*Z11*Z11/X11</f>
        <v>19.926587301587301</v>
      </c>
      <c r="AC11" s="1182">
        <f>SQRT(POWER(N11,2)+POWER(O11+AB11+C11,2))</f>
        <v>67.654006630108967</v>
      </c>
      <c r="AD11" s="1182">
        <f>SQRT(POWER(N11,2)+POWER(O11+AB11+D11,2))</f>
        <v>82.011104819275886</v>
      </c>
      <c r="AE11" s="1151">
        <f>AC11*POWER(35/110,2)</f>
        <v>6.8492692662713619</v>
      </c>
      <c r="AF11" s="1151">
        <f>AD11*POWER(35/110,2)</f>
        <v>8.3027771407944595</v>
      </c>
      <c r="AG11" s="1143"/>
      <c r="AH11" s="1143"/>
      <c r="AI11" s="1149"/>
      <c r="AJ11" s="1271"/>
      <c r="AK11" s="1272"/>
      <c r="AL11" s="1272"/>
      <c r="AM11" s="1272"/>
      <c r="AN11" s="1272"/>
      <c r="AO11" s="1272">
        <f>SUM(AJ11:AN11)</f>
        <v>0</v>
      </c>
      <c r="AP11" s="1272">
        <f>0.314*AJ11+0.249*AK11+0.195*AL11+0.159*AM11+0.06*AN11</f>
        <v>0</v>
      </c>
      <c r="AQ11" s="1272">
        <f>0.4*SUM(AJ11:AN11)</f>
        <v>0</v>
      </c>
      <c r="AR11" s="1273">
        <f>SQRT(POWER(AP11,2)+POWER(AQ11+AE11,2))</f>
        <v>6.8492692662713619</v>
      </c>
      <c r="AS11" s="1272">
        <f>SQRT(POWER(AP11,2)+POWER(AQ11+AF11,2))</f>
        <v>8.3027771407944595</v>
      </c>
      <c r="AT11" s="1134"/>
      <c r="AU11" s="1134"/>
      <c r="AV11" s="1135"/>
      <c r="AW11" s="1135"/>
      <c r="AX11" s="1136"/>
      <c r="AY11" s="1136"/>
      <c r="AZ11" s="1136"/>
      <c r="BA11" s="1136"/>
      <c r="BB11" s="1136"/>
      <c r="BC11" s="1136"/>
      <c r="BD11" s="1136"/>
      <c r="BE11" s="1136"/>
      <c r="BF11" s="1136"/>
    </row>
    <row r="12" spans="1:58" s="186" customFormat="1" ht="92.25" customHeight="1" x14ac:dyDescent="0.2">
      <c r="A12" s="1180"/>
      <c r="B12" s="1152"/>
      <c r="C12" s="1153"/>
      <c r="D12" s="1153"/>
      <c r="E12" s="1143"/>
      <c r="F12" s="1143"/>
      <c r="G12" s="1144"/>
      <c r="H12" s="1145"/>
      <c r="I12" s="1182"/>
      <c r="J12" s="1182"/>
      <c r="K12" s="1182"/>
      <c r="L12" s="1182"/>
      <c r="M12" s="1146"/>
      <c r="N12" s="1154"/>
      <c r="O12" s="1154"/>
      <c r="P12" s="1155"/>
      <c r="Q12" s="1155"/>
      <c r="R12" s="1155"/>
      <c r="S12" s="1155"/>
      <c r="T12" s="1182"/>
      <c r="U12" s="1156"/>
      <c r="V12" s="1149"/>
      <c r="W12" s="1150"/>
      <c r="X12" s="1143"/>
      <c r="Y12" s="1143"/>
      <c r="Z12" s="1143"/>
      <c r="AA12" s="1182"/>
      <c r="AB12" s="1182"/>
      <c r="AC12" s="1155"/>
      <c r="AD12" s="1155"/>
      <c r="AE12" s="2289" t="s">
        <v>492</v>
      </c>
      <c r="AF12" s="2289"/>
      <c r="AG12" s="2289" t="s">
        <v>493</v>
      </c>
      <c r="AH12" s="2289"/>
      <c r="AI12" s="1149"/>
      <c r="AJ12" s="1271"/>
      <c r="AK12" s="1272"/>
      <c r="AL12" s="1272"/>
      <c r="AM12" s="1272"/>
      <c r="AN12" s="1272"/>
      <c r="AO12" s="1272"/>
      <c r="AP12" s="1274"/>
      <c r="AQ12" s="1274"/>
      <c r="AR12" s="1275"/>
      <c r="AS12" s="1275"/>
      <c r="AT12" s="1134"/>
      <c r="AU12" s="1134"/>
      <c r="AV12" s="1135"/>
      <c r="AW12" s="1135"/>
      <c r="AX12" s="1136"/>
      <c r="AY12" s="1136"/>
      <c r="AZ12" s="1136"/>
      <c r="BA12" s="1136"/>
      <c r="BB12" s="1136"/>
      <c r="BC12" s="1136"/>
      <c r="BD12" s="1136"/>
      <c r="BE12" s="1136"/>
      <c r="BF12" s="1136"/>
    </row>
    <row r="13" spans="1:58" s="186" customFormat="1" ht="57.75" customHeight="1" x14ac:dyDescent="0.2">
      <c r="A13" s="2279" t="s">
        <v>488</v>
      </c>
      <c r="B13" s="2280" t="s">
        <v>515</v>
      </c>
      <c r="C13" s="1142">
        <v>26.571999999999999</v>
      </c>
      <c r="D13" s="1142">
        <v>41.134</v>
      </c>
      <c r="E13" s="1143">
        <f>115000/(SQRT(3)*C13)</f>
        <v>2498.6933974411777</v>
      </c>
      <c r="F13" s="1143">
        <f>115000/(2*D13)</f>
        <v>1397.8703748723683</v>
      </c>
      <c r="G13" s="1144" t="s">
        <v>489</v>
      </c>
      <c r="H13" s="1145"/>
      <c r="I13" s="1182">
        <v>50</v>
      </c>
      <c r="J13" s="1182"/>
      <c r="K13" s="1182"/>
      <c r="L13" s="1182"/>
      <c r="M13" s="1146">
        <f>SUM(H13:L13)</f>
        <v>50</v>
      </c>
      <c r="N13" s="1182">
        <f>0.314*H13+0.249*I13+0.195*J13+0.159*K13+0.06*L13</f>
        <v>12.45</v>
      </c>
      <c r="O13" s="1182">
        <f>0.4*SUM(H13:L13)</f>
        <v>20</v>
      </c>
      <c r="P13" s="1181">
        <f>SQRT(POWER(N13,2)+POWER(O13+C13,2))</f>
        <v>48.207402792517257</v>
      </c>
      <c r="Q13" s="1182">
        <f>SQRT(POWER(N13,2)+POWER(O13+D13,2))</f>
        <v>62.388848811306019</v>
      </c>
      <c r="R13" s="1147">
        <f>115000/(SQRT(3)*P13)</f>
        <v>1377.2839255118058</v>
      </c>
      <c r="S13" s="1147">
        <f>115000/(SQRT(3)*Q13)</f>
        <v>1064.2171192742846</v>
      </c>
      <c r="T13" s="1182">
        <f>SQRT(POWER(N13,2)+POWER(O13,2))</f>
        <v>23.558491038264737</v>
      </c>
      <c r="U13" s="1148">
        <f>SQRT(3)*T13*R13</f>
        <v>56199.386659780183</v>
      </c>
      <c r="V13" s="1149" t="s">
        <v>490</v>
      </c>
      <c r="W13" s="1150" t="s">
        <v>491</v>
      </c>
      <c r="X13" s="1143">
        <v>63</v>
      </c>
      <c r="Y13" s="1143">
        <v>0</v>
      </c>
      <c r="Z13" s="1143">
        <v>110</v>
      </c>
      <c r="AA13" s="1182">
        <v>19.626999999999999</v>
      </c>
      <c r="AB13" s="1182">
        <f>AA13/100*Z13*Z13/X13</f>
        <v>37.696301587301591</v>
      </c>
      <c r="AC13" s="1182">
        <f>SQRT(POWER(N13,2)+POWER(O13+AB13+C13,2))</f>
        <v>85.183033242591307</v>
      </c>
      <c r="AD13" s="1182">
        <f>SQRT(POWER(N13,2)+POWER(O13+AB13+D13,2))</f>
        <v>99.611400009421558</v>
      </c>
      <c r="AE13" s="1157">
        <f>AC13*POWER(6.3/110,2)</f>
        <v>0.2794144288759049</v>
      </c>
      <c r="AF13" s="1157">
        <f>AD13*POWER(6.3/110,2)</f>
        <v>0.32674185672511918</v>
      </c>
      <c r="AG13" s="1143">
        <f>6300/(SQRT(3)*AE13)</f>
        <v>13017.605105533272</v>
      </c>
      <c r="AH13" s="1143">
        <f>6300/(SQRT(3)*AF13)</f>
        <v>11132.050029802669</v>
      </c>
      <c r="AI13" s="1149" t="s">
        <v>494</v>
      </c>
      <c r="AJ13" s="1271"/>
      <c r="AK13" s="1272"/>
      <c r="AL13" s="1272"/>
      <c r="AM13" s="1272"/>
      <c r="AN13" s="1272"/>
      <c r="AO13" s="1272">
        <f>SUM(AJ13:AN13)</f>
        <v>0</v>
      </c>
      <c r="AP13" s="1272">
        <f>0.314*AJ13+0.249*AK13+0.195*AL13+0.159*AM13+0.06*AN13</f>
        <v>0</v>
      </c>
      <c r="AQ13" s="1272">
        <f>0.4*SUM(AJ13:AN13)</f>
        <v>0</v>
      </c>
      <c r="AR13" s="1273">
        <f>SQRT(POWER(AP13,2)+POWER(AQ13+AE13,2))</f>
        <v>0.2794144288759049</v>
      </c>
      <c r="AS13" s="1272">
        <f>SQRT(POWER(AP13,2)+POWER(AQ13+AF13,2))</f>
        <v>0.32674185672511918</v>
      </c>
      <c r="AT13" s="1134"/>
      <c r="AU13" s="1134"/>
      <c r="AV13" s="1135"/>
      <c r="AW13" s="1135"/>
      <c r="AX13" s="1136"/>
      <c r="AY13" s="1136"/>
      <c r="AZ13" s="1136"/>
      <c r="BA13" s="1136"/>
      <c r="BB13" s="1136"/>
      <c r="BC13" s="1136"/>
      <c r="BD13" s="1136"/>
      <c r="BE13" s="1136"/>
      <c r="BF13" s="1136"/>
    </row>
    <row r="14" spans="1:58" s="186" customFormat="1" ht="57.75" customHeight="1" x14ac:dyDescent="0.2">
      <c r="A14" s="2279"/>
      <c r="B14" s="2280"/>
      <c r="C14" s="1142">
        <v>26.571999999999999</v>
      </c>
      <c r="D14" s="1142">
        <v>41.134</v>
      </c>
      <c r="E14" s="1143">
        <f>115000/(SQRT(3)*C14)</f>
        <v>2498.6933974411777</v>
      </c>
      <c r="F14" s="1143">
        <f>115000/(2*D14)</f>
        <v>1397.8703748723683</v>
      </c>
      <c r="G14" s="1144" t="s">
        <v>489</v>
      </c>
      <c r="H14" s="1145"/>
      <c r="I14" s="1182">
        <v>50</v>
      </c>
      <c r="J14" s="1182"/>
      <c r="K14" s="1182"/>
      <c r="L14" s="1182"/>
      <c r="M14" s="1146">
        <f>SUM(H14:L14)</f>
        <v>50</v>
      </c>
      <c r="N14" s="1182">
        <f>0.314*H14+0.249*I14+0.195*J14+0.159*K14+0.06*L14</f>
        <v>12.45</v>
      </c>
      <c r="O14" s="1182">
        <f>0.4*SUM(H14:L14)</f>
        <v>20</v>
      </c>
      <c r="P14" s="1181">
        <f>SQRT(POWER(N14,2)+POWER(O14+C14,2))</f>
        <v>48.207402792517257</v>
      </c>
      <c r="Q14" s="1182">
        <f>SQRT(POWER(N14,2)+POWER(O14+D14,2))</f>
        <v>62.388848811306019</v>
      </c>
      <c r="R14" s="1147">
        <f>115000/(SQRT(3)*P14)</f>
        <v>1377.2839255118058</v>
      </c>
      <c r="S14" s="1147">
        <f>115000/(SQRT(3)*Q14)</f>
        <v>1064.2171192742846</v>
      </c>
      <c r="T14" s="1182">
        <f>SQRT(POWER(N14,2)+POWER(O14,2))</f>
        <v>23.558491038264737</v>
      </c>
      <c r="U14" s="1148">
        <f>SQRT(3)*T14*R14</f>
        <v>56199.386659780183</v>
      </c>
      <c r="V14" s="1149" t="s">
        <v>490</v>
      </c>
      <c r="W14" s="1150" t="s">
        <v>491</v>
      </c>
      <c r="X14" s="1143">
        <v>63</v>
      </c>
      <c r="Y14" s="1143">
        <v>0</v>
      </c>
      <c r="Z14" s="1143">
        <v>110</v>
      </c>
      <c r="AA14" s="1182">
        <v>19.471</v>
      </c>
      <c r="AB14" s="1182">
        <f>AA14/100*Z14*Z14/X14</f>
        <v>37.396682539682537</v>
      </c>
      <c r="AC14" s="1182">
        <f>SQRT(POWER(N14,2)+POWER(O14+AB14+C14,2))</f>
        <v>84.886642927200185</v>
      </c>
      <c r="AD14" s="1182">
        <f>SQRT(POWER(N14,2)+POWER(O14+AB14+D14,2))</f>
        <v>99.314137471639469</v>
      </c>
      <c r="AE14" s="1157">
        <f>AC14*POWER(6.3/110,2)</f>
        <v>0.27844221965128724</v>
      </c>
      <c r="AF14" s="1157">
        <f>AD14*POWER(6.3/110,2)</f>
        <v>0.32576678646689017</v>
      </c>
      <c r="AG14" s="1143">
        <f>6300/(SQRT(3)*AE14)</f>
        <v>13063.057392840416</v>
      </c>
      <c r="AH14" s="1143">
        <f>6300/(SQRT(3)*AF14)</f>
        <v>11165.369973234905</v>
      </c>
      <c r="AI14" s="1149" t="s">
        <v>494</v>
      </c>
      <c r="AJ14" s="1271"/>
      <c r="AK14" s="1272"/>
      <c r="AL14" s="1272"/>
      <c r="AM14" s="1272"/>
      <c r="AN14" s="1272"/>
      <c r="AO14" s="1272">
        <f>SUM(AJ14:AN14)</f>
        <v>0</v>
      </c>
      <c r="AP14" s="1272">
        <f>0.314*AJ14+0.249*AK14+0.195*AL14+0.159*AM14+0.06*AN14</f>
        <v>0</v>
      </c>
      <c r="AQ14" s="1272">
        <f>0.4*SUM(AJ14:AN14)</f>
        <v>0</v>
      </c>
      <c r="AR14" s="1273">
        <f>SQRT(POWER(AP14,2)+POWER(AQ14+AE14,2))</f>
        <v>0.27844221965128724</v>
      </c>
      <c r="AS14" s="1272">
        <f>SQRT(POWER(AP14,2)+POWER(AQ14+AF14,2))</f>
        <v>0.32576678646689017</v>
      </c>
      <c r="AT14" s="1134"/>
      <c r="AU14" s="1134"/>
      <c r="AV14" s="1135"/>
      <c r="AW14" s="1135"/>
      <c r="AX14" s="1136"/>
      <c r="AY14" s="1136"/>
      <c r="AZ14" s="1136"/>
      <c r="BA14" s="1136"/>
      <c r="BB14" s="1136"/>
      <c r="BC14" s="1136"/>
      <c r="BD14" s="1136"/>
      <c r="BE14" s="1136"/>
      <c r="BF14" s="1136"/>
    </row>
    <row r="15" spans="1:58" s="1234" customFormat="1" ht="99" customHeight="1" x14ac:dyDescent="0.2">
      <c r="A15" s="1223"/>
      <c r="B15" s="1224"/>
      <c r="C15" s="2290" t="s">
        <v>495</v>
      </c>
      <c r="D15" s="2290"/>
      <c r="E15" s="1225"/>
      <c r="F15" s="1225"/>
      <c r="G15" s="1226"/>
      <c r="H15" s="1227"/>
      <c r="I15" s="1228"/>
      <c r="J15" s="1228"/>
      <c r="K15" s="1228"/>
      <c r="L15" s="1228"/>
      <c r="M15" s="1228"/>
      <c r="N15" s="2282" t="s">
        <v>8</v>
      </c>
      <c r="O15" s="2282"/>
      <c r="P15" s="2283" t="s">
        <v>496</v>
      </c>
      <c r="Q15" s="2283"/>
      <c r="R15" s="2283" t="s">
        <v>471</v>
      </c>
      <c r="S15" s="2283"/>
      <c r="T15" s="2284" t="s">
        <v>497</v>
      </c>
      <c r="U15" s="2285"/>
      <c r="V15" s="1229"/>
      <c r="W15" s="1230"/>
      <c r="X15" s="1225"/>
      <c r="Y15" s="1225"/>
      <c r="Z15" s="1225"/>
      <c r="AA15" s="1228"/>
      <c r="AB15" s="1228"/>
      <c r="AC15" s="2283" t="s">
        <v>498</v>
      </c>
      <c r="AD15" s="2283"/>
      <c r="AE15" s="2283" t="s">
        <v>499</v>
      </c>
      <c r="AF15" s="2283"/>
      <c r="AG15" s="2283" t="s">
        <v>500</v>
      </c>
      <c r="AH15" s="2283"/>
      <c r="AI15" s="1229"/>
      <c r="AJ15" s="1271"/>
      <c r="AK15" s="1272"/>
      <c r="AL15" s="1272"/>
      <c r="AM15" s="1272"/>
      <c r="AN15" s="1272"/>
      <c r="AO15" s="1272"/>
      <c r="AP15" s="2300" t="s">
        <v>8</v>
      </c>
      <c r="AQ15" s="2300"/>
      <c r="AR15" s="2301" t="s">
        <v>496</v>
      </c>
      <c r="AS15" s="2301"/>
      <c r="AT15" s="1231"/>
      <c r="AU15" s="1231"/>
      <c r="AV15" s="1232"/>
      <c r="AW15" s="1232"/>
      <c r="AX15" s="1233"/>
      <c r="AY15" s="1233"/>
      <c r="AZ15" s="1233"/>
      <c r="BA15" s="1233"/>
      <c r="BB15" s="1233"/>
      <c r="BC15" s="1233"/>
      <c r="BD15" s="1233"/>
      <c r="BE15" s="1233"/>
      <c r="BF15" s="1233"/>
    </row>
    <row r="16" spans="1:58" s="186" customFormat="1" ht="43.5" hidden="1" customHeight="1" x14ac:dyDescent="0.2">
      <c r="A16" s="2293" t="s">
        <v>535</v>
      </c>
      <c r="B16" s="2295" t="s">
        <v>536</v>
      </c>
      <c r="C16" s="1158">
        <f>AE10</f>
        <v>6.8750726564632316</v>
      </c>
      <c r="D16" s="1159">
        <f>AF10</f>
        <v>8.328723853804318</v>
      </c>
      <c r="E16" s="1143">
        <f>37000/(SQRT(3)*C16)</f>
        <v>3107.1613388600122</v>
      </c>
      <c r="F16" s="1143">
        <f>37000/(2*D16)</f>
        <v>2221.2286449561825</v>
      </c>
      <c r="G16" s="1149" t="s">
        <v>501</v>
      </c>
      <c r="H16" s="1160">
        <v>4.1000000000000002E-2</v>
      </c>
      <c r="I16" s="1182">
        <v>23.37</v>
      </c>
      <c r="J16" s="1182"/>
      <c r="K16" s="1182"/>
      <c r="L16" s="1182"/>
      <c r="M16" s="1146">
        <f>SUM(H16:L16)</f>
        <v>23.411000000000001</v>
      </c>
      <c r="N16" s="1182">
        <f>0.153*H16+0.249*I16</f>
        <v>5.8254030000000006</v>
      </c>
      <c r="O16" s="1182">
        <f t="shared" ref="O16:O21" si="0">0.209*H16+0.4*I16</f>
        <v>9.3565690000000004</v>
      </c>
      <c r="P16" s="1181">
        <f t="shared" ref="P16:P21" si="1">SQRT(POWER(N16,2)+POWER(O16+C16,2))</f>
        <v>17.245333020160597</v>
      </c>
      <c r="Q16" s="1182">
        <f t="shared" ref="Q16:Q21" si="2">SQRT(POWER(N16,2)+POWER(O16+D16,2))</f>
        <v>18.620013518717734</v>
      </c>
      <c r="R16" s="1147">
        <f>37000/(SQRT(3)*P16)</f>
        <v>1238.709622774059</v>
      </c>
      <c r="S16" s="1147">
        <f>37000/(SQRT(3)*Q16)</f>
        <v>1147.2580263457965</v>
      </c>
      <c r="T16" s="1182">
        <f>SQRT(POWER(N16,2)+POWER(O16,2))</f>
        <v>11.021828503663539</v>
      </c>
      <c r="U16" s="1148">
        <f>SQRT(3)*T16*R16</f>
        <v>23647.421256452679</v>
      </c>
      <c r="V16" s="1149" t="s">
        <v>502</v>
      </c>
      <c r="W16" s="1150" t="s">
        <v>41</v>
      </c>
      <c r="X16" s="1143">
        <v>6.3</v>
      </c>
      <c r="Y16" s="1143">
        <v>11</v>
      </c>
      <c r="Z16" s="1143">
        <v>35</v>
      </c>
      <c r="AA16" s="1182">
        <v>7.97</v>
      </c>
      <c r="AB16" s="1182">
        <f>AA16/100*Z16*Z16/X16</f>
        <v>15.497222222222222</v>
      </c>
      <c r="AC16" s="1182">
        <f>SQRT(POWER(N16,2)+POWER(O16+AB16+C16,2))</f>
        <v>32.259202146745032</v>
      </c>
      <c r="AD16" s="1182">
        <f>SQRT(POWER(N16,2)+POWER(O16+AB16+D16,2))</f>
        <v>33.689978137172155</v>
      </c>
      <c r="AE16" s="1157">
        <f t="shared" ref="AE16:AF19" si="3">AC16*POWER(6.3/35.3,2)</f>
        <v>1.0275082323141271</v>
      </c>
      <c r="AF16" s="1157">
        <f t="shared" si="3"/>
        <v>1.073080782499148</v>
      </c>
      <c r="AG16" s="1143">
        <f>6300/(SQRT(3)*AE16)</f>
        <v>3539.9294930248839</v>
      </c>
      <c r="AH16" s="1143">
        <f>6300/(2*AF16)</f>
        <v>2935.4733132614842</v>
      </c>
      <c r="AI16" s="1149" t="s">
        <v>503</v>
      </c>
      <c r="AJ16" s="1276"/>
      <c r="AK16" s="1272"/>
      <c r="AL16" s="1272"/>
      <c r="AM16" s="1272"/>
      <c r="AN16" s="1272"/>
      <c r="AO16" s="1272">
        <f>SUM(AJ16:AN16)</f>
        <v>0</v>
      </c>
      <c r="AP16" s="1272">
        <f>0.153*AJ16+0.249*AK16</f>
        <v>0</v>
      </c>
      <c r="AQ16" s="1272">
        <f t="shared" ref="AQ16:AQ21" si="4">0.209*AJ16+0.4*AK16</f>
        <v>0</v>
      </c>
      <c r="AR16" s="1273">
        <f t="shared" ref="AR16:AR21" si="5">SQRT(POWER(AP16,2)+POWER(AQ16+AE16,2))</f>
        <v>1.0275082323141271</v>
      </c>
      <c r="AS16" s="1272">
        <f t="shared" ref="AS16:AS21" si="6">SQRT(POWER(AP16,2)+POWER(AQ16+AF16,2))</f>
        <v>1.073080782499148</v>
      </c>
      <c r="AT16" s="1134"/>
      <c r="AU16" s="1134"/>
      <c r="AV16" s="1135"/>
      <c r="AW16" s="1135"/>
      <c r="AX16" s="1136"/>
      <c r="AY16" s="1136"/>
      <c r="AZ16" s="1136"/>
      <c r="BA16" s="1136"/>
      <c r="BB16" s="1136"/>
      <c r="BC16" s="1136"/>
      <c r="BD16" s="1136"/>
      <c r="BE16" s="1136"/>
      <c r="BF16" s="1136"/>
    </row>
    <row r="17" spans="1:58" s="186" customFormat="1" ht="43.5" hidden="1" customHeight="1" x14ac:dyDescent="0.2">
      <c r="A17" s="2297"/>
      <c r="B17" s="2296"/>
      <c r="C17" s="1158">
        <f>AE11</f>
        <v>6.8492692662713619</v>
      </c>
      <c r="D17" s="1159">
        <f>AF11</f>
        <v>8.3027771407944595</v>
      </c>
      <c r="E17" s="1143">
        <f>37000/(SQRT(3)*C17)</f>
        <v>3118.8670104139856</v>
      </c>
      <c r="F17" s="1143">
        <f>37000/(2*D17)</f>
        <v>2228.1701274508505</v>
      </c>
      <c r="G17" s="1149" t="s">
        <v>501</v>
      </c>
      <c r="H17" s="1160">
        <v>3.5000000000000003E-2</v>
      </c>
      <c r="I17" s="1182">
        <v>23.37</v>
      </c>
      <c r="J17" s="1182"/>
      <c r="K17" s="1182"/>
      <c r="L17" s="1182"/>
      <c r="M17" s="1146">
        <f t="shared" ref="M17:M27" si="7">SUM(H17:L17)</f>
        <v>23.405000000000001</v>
      </c>
      <c r="N17" s="1182">
        <f>0.153*H17+0.249*I17+0.195*J17+0.159*K17+0.06*L17</f>
        <v>5.8244850000000001</v>
      </c>
      <c r="O17" s="1182">
        <f t="shared" si="0"/>
        <v>9.3553150000000009</v>
      </c>
      <c r="P17" s="1181">
        <f t="shared" si="1"/>
        <v>17.219557972198775</v>
      </c>
      <c r="Q17" s="1182">
        <f t="shared" si="2"/>
        <v>18.593892641617892</v>
      </c>
      <c r="R17" s="1147">
        <f>37000/(SQRT(3)*P17)</f>
        <v>1240.5637818639334</v>
      </c>
      <c r="S17" s="1147">
        <f>37000/(SQRT(3)*Q17)</f>
        <v>1148.8697053247806</v>
      </c>
      <c r="T17" s="1182">
        <f t="shared" ref="T17:T27" si="8">SQRT(POWER(N17,2)+POWER(O17,2))</f>
        <v>11.020278774352763</v>
      </c>
      <c r="U17" s="1148">
        <f t="shared" ref="U17:U27" si="9">SQRT(3)*T17*R17</f>
        <v>23679.487900291693</v>
      </c>
      <c r="V17" s="1149" t="s">
        <v>502</v>
      </c>
      <c r="W17" s="1150" t="s">
        <v>41</v>
      </c>
      <c r="X17" s="1143">
        <v>6.3</v>
      </c>
      <c r="Y17" s="1143">
        <v>11</v>
      </c>
      <c r="Z17" s="1143">
        <v>35</v>
      </c>
      <c r="AA17" s="1182">
        <v>7.94</v>
      </c>
      <c r="AB17" s="1182">
        <f>AA17/100*Z17*Z17/X17</f>
        <v>15.43888888888889</v>
      </c>
      <c r="AC17" s="1182">
        <f>SQRT(POWER(N17,2)+POWER(O17+AB17+C17,2))</f>
        <v>32.175052740229852</v>
      </c>
      <c r="AD17" s="1182">
        <f>SQRT(POWER(N17,2)+POWER(O17+AB17+D17,2))</f>
        <v>33.605576602618271</v>
      </c>
      <c r="AE17" s="1157">
        <f t="shared" si="3"/>
        <v>1.0248279363928152</v>
      </c>
      <c r="AF17" s="1157">
        <f t="shared" si="3"/>
        <v>1.0703924558883544</v>
      </c>
      <c r="AG17" s="1143">
        <f>6300/(SQRT(3)*AE17)</f>
        <v>3549.1876896888839</v>
      </c>
      <c r="AH17" s="1143">
        <f>6300/(2*AF17)</f>
        <v>2942.845853099469</v>
      </c>
      <c r="AI17" s="1149" t="s">
        <v>503</v>
      </c>
      <c r="AJ17" s="1276"/>
      <c r="AK17" s="1272"/>
      <c r="AL17" s="1272"/>
      <c r="AM17" s="1272"/>
      <c r="AN17" s="1272"/>
      <c r="AO17" s="1272">
        <f t="shared" ref="AO17:AO27" si="10">SUM(AJ17:AN17)</f>
        <v>0</v>
      </c>
      <c r="AP17" s="1272">
        <f>0.153*AJ17+0.249*AK17+0.195*AL17+0.159*AM17+0.06*AN17</f>
        <v>0</v>
      </c>
      <c r="AQ17" s="1272">
        <f t="shared" si="4"/>
        <v>0</v>
      </c>
      <c r="AR17" s="1273">
        <f t="shared" si="5"/>
        <v>1.0248279363928152</v>
      </c>
      <c r="AS17" s="1272">
        <f t="shared" si="6"/>
        <v>1.0703924558883544</v>
      </c>
      <c r="AT17" s="1134"/>
      <c r="AU17" s="1134"/>
      <c r="AV17" s="1135"/>
      <c r="AW17" s="1135"/>
      <c r="AX17" s="1136"/>
      <c r="AY17" s="1136"/>
      <c r="AZ17" s="1136"/>
      <c r="BA17" s="1136"/>
      <c r="BB17" s="1136"/>
      <c r="BC17" s="1136"/>
      <c r="BD17" s="1136"/>
      <c r="BE17" s="1136"/>
      <c r="BF17" s="1136"/>
    </row>
    <row r="18" spans="1:58" s="186" customFormat="1" ht="43.5" hidden="1" customHeight="1" x14ac:dyDescent="0.2">
      <c r="A18" s="2297"/>
      <c r="B18" s="2295" t="s">
        <v>537</v>
      </c>
      <c r="C18" s="1151">
        <f t="shared" ref="C18:D21" si="11">C16</f>
        <v>6.8750726564632316</v>
      </c>
      <c r="D18" s="1151">
        <f t="shared" si="11"/>
        <v>8.328723853804318</v>
      </c>
      <c r="E18" s="1143">
        <f t="shared" ref="E18:E27" si="12">IF(SUM(C18:D18)=0,0,37000/(SQRT(3)*C18))</f>
        <v>3107.1613388600122</v>
      </c>
      <c r="F18" s="1143">
        <f t="shared" ref="F18:F27" si="13">IF(SUM(C18:D18)=0,0,37000/(2*D18))</f>
        <v>2221.2286449561825</v>
      </c>
      <c r="G18" s="1144" t="s">
        <v>501</v>
      </c>
      <c r="H18" s="1160">
        <v>4.1000000000000002E-2</v>
      </c>
      <c r="I18" s="1182">
        <v>38.93</v>
      </c>
      <c r="J18" s="1182"/>
      <c r="K18" s="1182"/>
      <c r="L18" s="1182"/>
      <c r="M18" s="1146">
        <f t="shared" si="7"/>
        <v>38.970999999999997</v>
      </c>
      <c r="N18" s="1182">
        <f>0.153*H18+0.249*I18+0.195*J18+0.159*K18+0.06*L18</f>
        <v>9.6998429999999995</v>
      </c>
      <c r="O18" s="1182">
        <f t="shared" si="0"/>
        <v>15.580569000000001</v>
      </c>
      <c r="P18" s="1181">
        <f t="shared" si="1"/>
        <v>24.461046511303145</v>
      </c>
      <c r="Q18" s="1182">
        <f t="shared" si="2"/>
        <v>25.801961921404875</v>
      </c>
      <c r="R18" s="1147">
        <f t="shared" ref="R18:R26" si="14">37000/(SQRT(3)*P18)</f>
        <v>873.30523451419208</v>
      </c>
      <c r="S18" s="1147">
        <f>37000/(SQRT(3)*Q18)</f>
        <v>827.91998628192039</v>
      </c>
      <c r="T18" s="1182">
        <f t="shared" si="8"/>
        <v>18.353230903260876</v>
      </c>
      <c r="U18" s="1148">
        <f t="shared" si="9"/>
        <v>27761.262916811953</v>
      </c>
      <c r="V18" s="1149" t="s">
        <v>504</v>
      </c>
      <c r="W18" s="1161" t="s">
        <v>212</v>
      </c>
      <c r="X18" s="1143">
        <v>16</v>
      </c>
      <c r="Y18" s="1143">
        <v>11</v>
      </c>
      <c r="Z18" s="1143">
        <v>35</v>
      </c>
      <c r="AA18" s="1182">
        <v>10.321</v>
      </c>
      <c r="AB18" s="1182">
        <f>AA18/100*Z18*Z18/X18</f>
        <v>7.9020156249999998</v>
      </c>
      <c r="AC18" s="1182">
        <f>SQRT(POWER(N18,2)+POWER(O18+AB18+C18,2))</f>
        <v>31.869645587038253</v>
      </c>
      <c r="AD18" s="1182">
        <f>SQRT(POWER(N18,2)+POWER(O18+AB18+D18,2))</f>
        <v>33.257274412649885</v>
      </c>
      <c r="AE18" s="1157">
        <f t="shared" si="3"/>
        <v>1.0151002201683255</v>
      </c>
      <c r="AF18" s="1157">
        <f t="shared" si="3"/>
        <v>1.0592984627419162</v>
      </c>
      <c r="AG18" s="1143">
        <f>6300/(SQRT(3)*AE18)</f>
        <v>3583.1995931313058</v>
      </c>
      <c r="AH18" s="1143">
        <f>6300/(2*AF18)</f>
        <v>2973.6661675562677</v>
      </c>
      <c r="AI18" s="1149" t="s">
        <v>505</v>
      </c>
      <c r="AJ18" s="1276"/>
      <c r="AK18" s="1272"/>
      <c r="AL18" s="1272"/>
      <c r="AM18" s="1272"/>
      <c r="AN18" s="1272"/>
      <c r="AO18" s="1272">
        <f t="shared" si="10"/>
        <v>0</v>
      </c>
      <c r="AP18" s="1272">
        <f>0.153*AJ18+0.249*AK18+0.195*AL18+0.159*AM18+0.06*AN18</f>
        <v>0</v>
      </c>
      <c r="AQ18" s="1272">
        <f t="shared" si="4"/>
        <v>0</v>
      </c>
      <c r="AR18" s="1273">
        <f t="shared" si="5"/>
        <v>1.0151002201683255</v>
      </c>
      <c r="AS18" s="1272">
        <f t="shared" si="6"/>
        <v>1.0592984627419162</v>
      </c>
      <c r="AT18" s="1134"/>
      <c r="AU18" s="1134"/>
      <c r="AV18" s="1135"/>
      <c r="AW18" s="1135"/>
      <c r="AX18" s="1136"/>
      <c r="AY18" s="1136">
        <v>0</v>
      </c>
      <c r="AZ18" s="1136">
        <v>3107</v>
      </c>
      <c r="BA18" s="1136">
        <v>0</v>
      </c>
      <c r="BB18" s="1136">
        <v>0</v>
      </c>
      <c r="BC18" s="1136"/>
      <c r="BD18" s="1136"/>
      <c r="BE18" s="1136"/>
      <c r="BF18" s="1136"/>
    </row>
    <row r="19" spans="1:58" s="186" customFormat="1" ht="43.5" hidden="1" customHeight="1" x14ac:dyDescent="0.2">
      <c r="A19" s="2294"/>
      <c r="B19" s="2296"/>
      <c r="C19" s="1151">
        <f t="shared" si="11"/>
        <v>6.8492692662713619</v>
      </c>
      <c r="D19" s="1151">
        <f t="shared" si="11"/>
        <v>8.3027771407944595</v>
      </c>
      <c r="E19" s="1143">
        <f t="shared" si="12"/>
        <v>3118.8670104139856</v>
      </c>
      <c r="F19" s="1143">
        <f t="shared" si="13"/>
        <v>2228.1701274508505</v>
      </c>
      <c r="G19" s="1144" t="s">
        <v>501</v>
      </c>
      <c r="H19" s="1160">
        <v>3.5000000000000003E-2</v>
      </c>
      <c r="I19" s="1182">
        <v>38.93</v>
      </c>
      <c r="J19" s="1182"/>
      <c r="K19" s="1182"/>
      <c r="L19" s="1182"/>
      <c r="M19" s="1146">
        <f t="shared" si="7"/>
        <v>38.964999999999996</v>
      </c>
      <c r="N19" s="1182">
        <f>0.153*H19+0.249*I19+0.195*J19+0.159*K19+0.06*L19</f>
        <v>9.6989249999999991</v>
      </c>
      <c r="O19" s="1182">
        <f t="shared" si="0"/>
        <v>15.579315000000001</v>
      </c>
      <c r="P19" s="1181">
        <f t="shared" si="1"/>
        <v>24.435845357688372</v>
      </c>
      <c r="Q19" s="1182">
        <f t="shared" si="2"/>
        <v>25.776413078181022</v>
      </c>
      <c r="R19" s="1147">
        <f t="shared" si="14"/>
        <v>874.20589086740699</v>
      </c>
      <c r="S19" s="1147">
        <f>37000/(SQRT(3)*Q19)</f>
        <v>828.74059688694342</v>
      </c>
      <c r="T19" s="1182">
        <f t="shared" si="8"/>
        <v>18.35168117707067</v>
      </c>
      <c r="U19" s="1148">
        <f t="shared" si="9"/>
        <v>27787.547089627238</v>
      </c>
      <c r="V19" s="1149" t="s">
        <v>504</v>
      </c>
      <c r="W19" s="1161" t="s">
        <v>212</v>
      </c>
      <c r="X19" s="1143">
        <v>16</v>
      </c>
      <c r="Y19" s="1143">
        <v>11</v>
      </c>
      <c r="Z19" s="1143">
        <v>35</v>
      </c>
      <c r="AA19" s="1182">
        <v>10.304</v>
      </c>
      <c r="AB19" s="1182">
        <f>AA19/100*Z19*Z19/X19</f>
        <v>7.8890000000000002</v>
      </c>
      <c r="AC19" s="1182">
        <f>SQRT(POWER(N19,2)+POWER(O19+AB19+C19,2))</f>
        <v>31.831196362972122</v>
      </c>
      <c r="AD19" s="1182">
        <f>SQRT(POWER(N19,2)+POWER(O19+AB19+D19,2))</f>
        <v>33.218540635832824</v>
      </c>
      <c r="AE19" s="1157">
        <f t="shared" si="3"/>
        <v>1.0138755496363536</v>
      </c>
      <c r="AF19" s="1157">
        <f t="shared" si="3"/>
        <v>1.0580647287404643</v>
      </c>
      <c r="AG19" s="1143">
        <f>6300/(SQRT(3)*AE19)</f>
        <v>3587.5277761646726</v>
      </c>
      <c r="AH19" s="1143">
        <f>6300/(2*AF19)</f>
        <v>2977.1335481051392</v>
      </c>
      <c r="AI19" s="1149" t="s">
        <v>505</v>
      </c>
      <c r="AJ19" s="1276"/>
      <c r="AK19" s="1272"/>
      <c r="AL19" s="1272"/>
      <c r="AM19" s="1272"/>
      <c r="AN19" s="1272"/>
      <c r="AO19" s="1272">
        <f t="shared" si="10"/>
        <v>0</v>
      </c>
      <c r="AP19" s="1272">
        <f>0.153*AJ19+0.249*AK19+0.195*AL19+0.159*AM19+0.06*AN19</f>
        <v>0</v>
      </c>
      <c r="AQ19" s="1272">
        <f t="shared" si="4"/>
        <v>0</v>
      </c>
      <c r="AR19" s="1273">
        <f t="shared" si="5"/>
        <v>1.0138755496363536</v>
      </c>
      <c r="AS19" s="1272">
        <f t="shared" si="6"/>
        <v>1.0580647287404643</v>
      </c>
      <c r="AT19" s="1134"/>
      <c r="AU19" s="1134"/>
      <c r="AV19" s="1135"/>
      <c r="AW19" s="1135"/>
      <c r="AX19" s="1136"/>
      <c r="AY19" s="1136">
        <v>4.25</v>
      </c>
      <c r="AZ19" s="1136">
        <v>2478</v>
      </c>
      <c r="BA19" s="1136"/>
      <c r="BB19" s="1136">
        <v>2478</v>
      </c>
      <c r="BC19" s="1136"/>
      <c r="BD19" s="1136"/>
      <c r="BE19" s="1136"/>
      <c r="BF19" s="1136"/>
    </row>
    <row r="20" spans="1:58" s="186" customFormat="1" ht="75.75" hidden="1" customHeight="1" x14ac:dyDescent="0.2">
      <c r="A20" s="2293" t="s">
        <v>535</v>
      </c>
      <c r="B20" s="2291" t="s">
        <v>506</v>
      </c>
      <c r="C20" s="1151">
        <f t="shared" si="11"/>
        <v>6.8750726564632316</v>
      </c>
      <c r="D20" s="1151">
        <f t="shared" si="11"/>
        <v>8.328723853804318</v>
      </c>
      <c r="E20" s="1143">
        <f t="shared" si="12"/>
        <v>3107.1613388600122</v>
      </c>
      <c r="F20" s="1143">
        <f t="shared" si="13"/>
        <v>2221.2286449561825</v>
      </c>
      <c r="G20" s="1144"/>
      <c r="H20" s="1160">
        <v>0.42499999999999999</v>
      </c>
      <c r="I20" s="1182">
        <v>43.23</v>
      </c>
      <c r="J20" s="1182"/>
      <c r="K20" s="1182"/>
      <c r="L20" s="1182"/>
      <c r="M20" s="1146">
        <f t="shared" si="7"/>
        <v>43.654999999999994</v>
      </c>
      <c r="N20" s="1182">
        <f>0.153*H20+0.249*I20+0.195*J20+0.159*K20+0.06*L20</f>
        <v>10.829295</v>
      </c>
      <c r="O20" s="1182">
        <f t="shared" si="0"/>
        <v>17.380824999999998</v>
      </c>
      <c r="P20" s="1181">
        <f t="shared" si="1"/>
        <v>26.563550239338177</v>
      </c>
      <c r="Q20" s="1182">
        <f t="shared" si="2"/>
        <v>27.89721370429627</v>
      </c>
      <c r="R20" s="1162">
        <f t="shared" si="14"/>
        <v>804.18316706706821</v>
      </c>
      <c r="S20" s="1162">
        <f>37000/(SQRT(3)*Q20)</f>
        <v>765.73811945693831</v>
      </c>
      <c r="T20" s="1182">
        <f t="shared" si="8"/>
        <v>20.478444957507147</v>
      </c>
      <c r="U20" s="1148">
        <f t="shared" si="9"/>
        <v>28524.141411853776</v>
      </c>
      <c r="V20" s="1149" t="s">
        <v>507</v>
      </c>
      <c r="W20" s="1143"/>
      <c r="X20" s="1143"/>
      <c r="Y20" s="1143"/>
      <c r="Z20" s="1143"/>
      <c r="AA20" s="1182"/>
      <c r="AB20" s="1182"/>
      <c r="AC20" s="1182"/>
      <c r="AD20" s="1182"/>
      <c r="AE20" s="1182"/>
      <c r="AF20" s="1182"/>
      <c r="AG20" s="1143"/>
      <c r="AH20" s="1143"/>
      <c r="AI20" s="1149"/>
      <c r="AJ20" s="1276"/>
      <c r="AK20" s="1272"/>
      <c r="AL20" s="1272"/>
      <c r="AM20" s="1272"/>
      <c r="AN20" s="1272"/>
      <c r="AO20" s="1272">
        <f t="shared" si="10"/>
        <v>0</v>
      </c>
      <c r="AP20" s="1272">
        <f>0.153*AJ20+0.249*AK20+0.195*AL20+0.159*AM20+0.06*AN20</f>
        <v>0</v>
      </c>
      <c r="AQ20" s="1272">
        <f t="shared" si="4"/>
        <v>0</v>
      </c>
      <c r="AR20" s="1273">
        <f t="shared" si="5"/>
        <v>0</v>
      </c>
      <c r="AS20" s="1272">
        <f t="shared" si="6"/>
        <v>0</v>
      </c>
      <c r="AT20" s="1134"/>
      <c r="AU20" s="1134"/>
      <c r="AV20" s="1135"/>
      <c r="AW20" s="1135"/>
      <c r="AX20" s="1136"/>
      <c r="AY20" s="1136">
        <v>9.94</v>
      </c>
      <c r="AZ20" s="1136">
        <v>1478</v>
      </c>
      <c r="BA20" s="1136">
        <v>3179.7868683396359</v>
      </c>
      <c r="BB20" s="1136">
        <v>1900</v>
      </c>
      <c r="BC20" s="1136"/>
      <c r="BD20" s="1136"/>
      <c r="BE20" s="1136"/>
      <c r="BF20" s="1136"/>
    </row>
    <row r="21" spans="1:58" s="186" customFormat="1" ht="75.75" hidden="1" customHeight="1" x14ac:dyDescent="0.2">
      <c r="A21" s="2294"/>
      <c r="B21" s="2292"/>
      <c r="C21" s="1151">
        <f t="shared" si="11"/>
        <v>6.8492692662713619</v>
      </c>
      <c r="D21" s="1151">
        <f t="shared" si="11"/>
        <v>8.3027771407944595</v>
      </c>
      <c r="E21" s="1143">
        <f t="shared" si="12"/>
        <v>3118.8670104139856</v>
      </c>
      <c r="F21" s="1143">
        <f t="shared" si="13"/>
        <v>2228.1701274508505</v>
      </c>
      <c r="G21" s="1144"/>
      <c r="H21" s="1160">
        <v>0.41899999999999998</v>
      </c>
      <c r="I21" s="1182">
        <v>43.23</v>
      </c>
      <c r="J21" s="1182"/>
      <c r="K21" s="1182"/>
      <c r="L21" s="1182"/>
      <c r="M21" s="1146">
        <f t="shared" si="7"/>
        <v>43.648999999999994</v>
      </c>
      <c r="N21" s="1182">
        <f>0.153*H21+0.249*I21+0.195*J21+0.159*K21+0.06*L21</f>
        <v>10.828377</v>
      </c>
      <c r="O21" s="1182">
        <f t="shared" si="0"/>
        <v>17.379570999999999</v>
      </c>
      <c r="P21" s="1181">
        <f t="shared" si="1"/>
        <v>26.538471114640753</v>
      </c>
      <c r="Q21" s="1182">
        <f t="shared" si="2"/>
        <v>27.871791375494645</v>
      </c>
      <c r="R21" s="1162">
        <f t="shared" si="14"/>
        <v>804.94312832630283</v>
      </c>
      <c r="S21" s="1162">
        <f>37000/(SQRT(3)*Q21)</f>
        <v>766.43656205025832</v>
      </c>
      <c r="T21" s="1182">
        <f t="shared" si="8"/>
        <v>20.476895189412136</v>
      </c>
      <c r="U21" s="1148">
        <f t="shared" si="9"/>
        <v>28548.936324755767</v>
      </c>
      <c r="V21" s="1149" t="s">
        <v>507</v>
      </c>
      <c r="W21" s="1143"/>
      <c r="X21" s="1143"/>
      <c r="Y21" s="1143"/>
      <c r="Z21" s="1143"/>
      <c r="AA21" s="1182"/>
      <c r="AB21" s="1182"/>
      <c r="AC21" s="1182"/>
      <c r="AD21" s="1182"/>
      <c r="AE21" s="1182"/>
      <c r="AF21" s="1182"/>
      <c r="AG21" s="1143"/>
      <c r="AH21" s="1143"/>
      <c r="AI21" s="1149"/>
      <c r="AJ21" s="1276"/>
      <c r="AK21" s="1272"/>
      <c r="AL21" s="1272"/>
      <c r="AM21" s="1272"/>
      <c r="AN21" s="1272"/>
      <c r="AO21" s="1272">
        <f t="shared" si="10"/>
        <v>0</v>
      </c>
      <c r="AP21" s="1272">
        <f>0.153*AJ21+0.249*AK21+0.195*AL21+0.159*AM21+0.06*AN21</f>
        <v>0</v>
      </c>
      <c r="AQ21" s="1272">
        <f t="shared" si="4"/>
        <v>0</v>
      </c>
      <c r="AR21" s="1273">
        <f t="shared" si="5"/>
        <v>0</v>
      </c>
      <c r="AS21" s="1272">
        <f t="shared" si="6"/>
        <v>0</v>
      </c>
      <c r="AT21" s="1134"/>
      <c r="AU21" s="1134"/>
      <c r="AV21" s="1135"/>
      <c r="AW21" s="1135"/>
      <c r="AX21" s="1136"/>
      <c r="AY21" s="1136">
        <v>23.41</v>
      </c>
      <c r="AZ21" s="1136">
        <v>1149</v>
      </c>
      <c r="BA21" s="1136">
        <v>3179.7868683396359</v>
      </c>
      <c r="BB21" s="1136">
        <v>1900</v>
      </c>
      <c r="BC21" s="1136"/>
      <c r="BD21" s="1136"/>
      <c r="BE21" s="1136"/>
      <c r="BF21" s="1136"/>
    </row>
    <row r="22" spans="1:58" s="186" customFormat="1" ht="41.25" customHeight="1" x14ac:dyDescent="0.2">
      <c r="A22" s="2287" t="s">
        <v>519</v>
      </c>
      <c r="B22" s="2280" t="s">
        <v>516</v>
      </c>
      <c r="C22" s="1151">
        <f>C18</f>
        <v>6.8750726564632316</v>
      </c>
      <c r="D22" s="1151">
        <f>D18</f>
        <v>8.328723853804318</v>
      </c>
      <c r="E22" s="1143">
        <f t="shared" si="12"/>
        <v>3107.1613388600122</v>
      </c>
      <c r="F22" s="1143">
        <f t="shared" si="13"/>
        <v>2221.2286449561825</v>
      </c>
      <c r="G22" s="1144"/>
      <c r="H22" s="1160">
        <v>2.5000000000000001E-2</v>
      </c>
      <c r="I22" s="1182">
        <v>9.9120000000000008</v>
      </c>
      <c r="J22" s="1182"/>
      <c r="K22" s="1182"/>
      <c r="L22" s="1182"/>
      <c r="M22" s="1146">
        <f t="shared" si="7"/>
        <v>9.9370000000000012</v>
      </c>
      <c r="N22" s="1182">
        <f t="shared" ref="N22:N27" si="15">0.314*H22+0.249*I22+0.195*J22+0.159*K22+0.06*L22</f>
        <v>2.4759380000000002</v>
      </c>
      <c r="O22" s="1182">
        <f t="shared" ref="O22:O27" si="16">0.4*SUM(H22:L22)</f>
        <v>3.9748000000000006</v>
      </c>
      <c r="P22" s="1181">
        <f t="shared" ref="P22:P27" si="17">IF(SUM(H22:L22)=0,0,SQRT(POWER(N22,2)+POWER(O22+C22,2)))</f>
        <v>11.128791742202408</v>
      </c>
      <c r="Q22" s="1182">
        <f t="shared" ref="Q22:Q27" si="18">IF(SUM(H22:L22)=0,0,SQRT(POWER(N22,2)+POWER(O22+D22,2)))</f>
        <v>12.550178014712616</v>
      </c>
      <c r="R22" s="1147">
        <f t="shared" si="14"/>
        <v>1919.5219440586445</v>
      </c>
      <c r="S22" s="1147">
        <f t="shared" ref="S22:S27" si="19">IF(SUM(P22:Q22)=0,0,37000/(2*Q22))</f>
        <v>1474.0826766211912</v>
      </c>
      <c r="T22" s="1182">
        <f t="shared" si="8"/>
        <v>4.6828734789490101</v>
      </c>
      <c r="U22" s="1148">
        <f t="shared" si="9"/>
        <v>15569.194098947497</v>
      </c>
      <c r="V22" s="1149" t="s">
        <v>508</v>
      </c>
      <c r="W22" s="1161" t="s">
        <v>191</v>
      </c>
      <c r="X22" s="1143">
        <v>10</v>
      </c>
      <c r="Y22" s="1143">
        <v>11</v>
      </c>
      <c r="Z22" s="1143">
        <v>35</v>
      </c>
      <c r="AA22" s="1142">
        <v>8.2769999999999992</v>
      </c>
      <c r="AB22" s="1182">
        <f t="shared" ref="AB22:AB27" si="20">AA22/100*Z22*Z22/X22</f>
        <v>10.139324999999999</v>
      </c>
      <c r="AC22" s="1182">
        <f t="shared" ref="AC22:AC27" si="21">SQRT(POWER(N22,2)+POWER(O22+AB22+C22,2))</f>
        <v>21.134727044414973</v>
      </c>
      <c r="AD22" s="1182">
        <f t="shared" ref="AD22:AD27" si="22">SQRT(POWER(N22,2)+POWER(O22+AB22+D22,2))</f>
        <v>22.579010909571522</v>
      </c>
      <c r="AE22" s="1157">
        <f t="shared" ref="AE22:AF27" si="23">AC22*POWER(6.3/35.3,2)</f>
        <v>0.67317554622284947</v>
      </c>
      <c r="AF22" s="1157">
        <f t="shared" si="23"/>
        <v>0.71917834426156535</v>
      </c>
      <c r="AG22" s="1143">
        <f t="shared" ref="AG22:AG27" si="24">6300/(SQRT(3)*AE22)</f>
        <v>5403.2068103236488</v>
      </c>
      <c r="AH22" s="1143">
        <f t="shared" ref="AH22:AH27" si="25">6300/(2*AF22)</f>
        <v>4379.9984039207166</v>
      </c>
      <c r="AI22" s="1149" t="s">
        <v>509</v>
      </c>
      <c r="AJ22" s="1276"/>
      <c r="AK22" s="1272"/>
      <c r="AL22" s="1272"/>
      <c r="AM22" s="1272"/>
      <c r="AN22" s="1272"/>
      <c r="AO22" s="1272">
        <f t="shared" si="10"/>
        <v>0</v>
      </c>
      <c r="AP22" s="1272">
        <f t="shared" ref="AP22:AP27" si="26">0.314*AJ22+0.249*AK22+0.195*AL22+0.159*AM22+0.06*AN22</f>
        <v>0</v>
      </c>
      <c r="AQ22" s="1272">
        <f t="shared" ref="AQ22:AQ27" si="27">0.4*SUM(AJ22:AN22)</f>
        <v>0</v>
      </c>
      <c r="AR22" s="1273">
        <f t="shared" ref="AR22:AR27" si="28">IF(SUM(AJ22:AN22)=0,0,SQRT(POWER(AP22,2)+POWER(AQ22+AE22,2)))</f>
        <v>0</v>
      </c>
      <c r="AS22" s="1272">
        <f t="shared" ref="AS22:AS27" si="29">IF(SUM(AJ22:AN22)=0,0,SQRT(POWER(AP22,2)+POWER(AQ22+AF22,2)))</f>
        <v>0</v>
      </c>
      <c r="AT22" s="1134"/>
      <c r="AU22" s="1134"/>
      <c r="AV22" s="1135"/>
      <c r="AW22" s="1135"/>
      <c r="AX22" s="1136"/>
      <c r="AY22" s="1136">
        <v>25.89</v>
      </c>
      <c r="AZ22" s="1136">
        <v>936</v>
      </c>
      <c r="BA22" s="1136">
        <v>2871.3634020794193</v>
      </c>
      <c r="BB22" s="1136">
        <v>1900</v>
      </c>
      <c r="BC22" s="1136"/>
      <c r="BD22" s="1136"/>
      <c r="BE22" s="1136"/>
      <c r="BF22" s="1136"/>
    </row>
    <row r="23" spans="1:58" s="186" customFormat="1" ht="41.25" customHeight="1" x14ac:dyDescent="0.2">
      <c r="A23" s="2287"/>
      <c r="B23" s="2280"/>
      <c r="C23" s="1151">
        <f>C17</f>
        <v>6.8492692662713619</v>
      </c>
      <c r="D23" s="1151">
        <f>D17</f>
        <v>8.3027771407944595</v>
      </c>
      <c r="E23" s="1143">
        <f t="shared" si="12"/>
        <v>3118.8670104139856</v>
      </c>
      <c r="F23" s="1143">
        <f t="shared" si="13"/>
        <v>2228.1701274508505</v>
      </c>
      <c r="G23" s="1144"/>
      <c r="H23" s="1160">
        <v>1.4999999999999999E-2</v>
      </c>
      <c r="I23" s="1182">
        <v>9.9120000000000008</v>
      </c>
      <c r="J23" s="1182"/>
      <c r="K23" s="1182"/>
      <c r="L23" s="1182"/>
      <c r="M23" s="1146">
        <f t="shared" si="7"/>
        <v>9.9270000000000014</v>
      </c>
      <c r="N23" s="1182">
        <f t="shared" si="15"/>
        <v>2.4727980000000005</v>
      </c>
      <c r="O23" s="1182">
        <f t="shared" si="16"/>
        <v>3.9708000000000006</v>
      </c>
      <c r="P23" s="1181">
        <f t="shared" si="17"/>
        <v>11.099037294996089</v>
      </c>
      <c r="Q23" s="1182">
        <f t="shared" si="18"/>
        <v>12.520200708448579</v>
      </c>
      <c r="R23" s="1147">
        <f t="shared" si="14"/>
        <v>1924.6678240866011</v>
      </c>
      <c r="S23" s="1147">
        <f t="shared" si="19"/>
        <v>1477.6120951093283</v>
      </c>
      <c r="T23" s="1182">
        <f t="shared" si="8"/>
        <v>4.6778181440500664</v>
      </c>
      <c r="U23" s="1148">
        <f t="shared" si="9"/>
        <v>15594.079624174601</v>
      </c>
      <c r="V23" s="1149" t="s">
        <v>508</v>
      </c>
      <c r="W23" s="1161" t="s">
        <v>191</v>
      </c>
      <c r="X23" s="1143">
        <v>10</v>
      </c>
      <c r="Y23" s="1143">
        <v>11</v>
      </c>
      <c r="Z23" s="1143">
        <v>35</v>
      </c>
      <c r="AA23" s="1142">
        <v>8.3290000000000006</v>
      </c>
      <c r="AB23" s="1182">
        <f t="shared" si="20"/>
        <v>10.203025</v>
      </c>
      <c r="AC23" s="1182">
        <f t="shared" si="21"/>
        <v>21.16802358458002</v>
      </c>
      <c r="AD23" s="1182">
        <f t="shared" si="22"/>
        <v>22.612217355765228</v>
      </c>
      <c r="AE23" s="1157">
        <f t="shared" si="23"/>
        <v>0.67423609536388318</v>
      </c>
      <c r="AF23" s="1157">
        <f t="shared" si="23"/>
        <v>0.72023602376258711</v>
      </c>
      <c r="AG23" s="1143">
        <f t="shared" si="24"/>
        <v>5394.7077602417576</v>
      </c>
      <c r="AH23" s="1143">
        <f t="shared" si="25"/>
        <v>4373.5662978145356</v>
      </c>
      <c r="AI23" s="1149" t="s">
        <v>509</v>
      </c>
      <c r="AJ23" s="1276"/>
      <c r="AK23" s="1272"/>
      <c r="AL23" s="1272"/>
      <c r="AM23" s="1272"/>
      <c r="AN23" s="1272"/>
      <c r="AO23" s="1272">
        <f t="shared" si="10"/>
        <v>0</v>
      </c>
      <c r="AP23" s="1272">
        <f t="shared" si="26"/>
        <v>0</v>
      </c>
      <c r="AQ23" s="1272">
        <f t="shared" si="27"/>
        <v>0</v>
      </c>
      <c r="AR23" s="1273">
        <f t="shared" si="28"/>
        <v>0</v>
      </c>
      <c r="AS23" s="1272">
        <f t="shared" si="29"/>
        <v>0</v>
      </c>
      <c r="AT23" s="1134"/>
      <c r="AU23" s="1134"/>
      <c r="AV23" s="1135"/>
      <c r="AW23" s="1135"/>
      <c r="AX23" s="1136"/>
      <c r="AY23" s="1136">
        <v>38.97</v>
      </c>
      <c r="AZ23" s="1136">
        <v>828</v>
      </c>
      <c r="BA23" s="1136">
        <v>2871.3634020794193</v>
      </c>
      <c r="BB23" s="1136">
        <v>1900</v>
      </c>
      <c r="BC23" s="1136"/>
      <c r="BD23" s="1136"/>
      <c r="BE23" s="1136"/>
      <c r="BF23" s="1136"/>
    </row>
    <row r="24" spans="1:58" s="186" customFormat="1" ht="41.25" customHeight="1" x14ac:dyDescent="0.2">
      <c r="A24" s="2287"/>
      <c r="B24" s="2280" t="s">
        <v>517</v>
      </c>
      <c r="C24" s="1151">
        <f>C22</f>
        <v>6.8750726564632316</v>
      </c>
      <c r="D24" s="1151">
        <f>D22</f>
        <v>8.328723853804318</v>
      </c>
      <c r="E24" s="1143">
        <f t="shared" si="12"/>
        <v>3107.1613388600122</v>
      </c>
      <c r="F24" s="1143">
        <f t="shared" si="13"/>
        <v>2221.2286449561825</v>
      </c>
      <c r="G24" s="1144"/>
      <c r="H24" s="1160">
        <v>2.5000000000000001E-2</v>
      </c>
      <c r="I24" s="1182">
        <v>25.86</v>
      </c>
      <c r="J24" s="1182"/>
      <c r="K24" s="1182"/>
      <c r="L24" s="1182"/>
      <c r="M24" s="1146">
        <f t="shared" si="7"/>
        <v>25.884999999999998</v>
      </c>
      <c r="N24" s="1182">
        <f t="shared" si="15"/>
        <v>6.4469900000000004</v>
      </c>
      <c r="O24" s="1182">
        <f t="shared" si="16"/>
        <v>10.353999999999999</v>
      </c>
      <c r="P24" s="1181">
        <f t="shared" si="17"/>
        <v>18.395777359540666</v>
      </c>
      <c r="Q24" s="1182">
        <f t="shared" si="18"/>
        <v>19.763801523431898</v>
      </c>
      <c r="R24" s="1147">
        <f t="shared" si="14"/>
        <v>1161.2425798867982</v>
      </c>
      <c r="S24" s="1147">
        <f t="shared" si="19"/>
        <v>936.05473512099695</v>
      </c>
      <c r="T24" s="1182">
        <f t="shared" si="8"/>
        <v>12.197089655327618</v>
      </c>
      <c r="U24" s="1148">
        <f t="shared" si="9"/>
        <v>24532.386342079019</v>
      </c>
      <c r="V24" s="1149" t="s">
        <v>510</v>
      </c>
      <c r="W24" s="1161" t="s">
        <v>212</v>
      </c>
      <c r="X24" s="1143">
        <v>16</v>
      </c>
      <c r="Y24" s="1143">
        <v>11</v>
      </c>
      <c r="Z24" s="1143">
        <v>35</v>
      </c>
      <c r="AA24" s="1142">
        <v>10.244</v>
      </c>
      <c r="AB24" s="1182">
        <f t="shared" si="20"/>
        <v>7.8430625000000003</v>
      </c>
      <c r="AC24" s="1182">
        <f>SQRT(POWER(N24,2)+POWER(O24+AB24+C24,2))</f>
        <v>25.887750797704687</v>
      </c>
      <c r="AD24" s="1182">
        <f t="shared" si="22"/>
        <v>27.29800398834632</v>
      </c>
      <c r="AE24" s="1157">
        <f t="shared" si="23"/>
        <v>0.82456710924644228</v>
      </c>
      <c r="AF24" s="1157">
        <f t="shared" si="23"/>
        <v>0.86948597476704392</v>
      </c>
      <c r="AG24" s="1143">
        <f t="shared" si="24"/>
        <v>4411.1712134852369</v>
      </c>
      <c r="AH24" s="1143">
        <f t="shared" si="25"/>
        <v>3622.8301449531264</v>
      </c>
      <c r="AI24" s="1149" t="s">
        <v>511</v>
      </c>
      <c r="AJ24" s="1276"/>
      <c r="AK24" s="1272">
        <v>8.7129999999999992</v>
      </c>
      <c r="AL24" s="1272"/>
      <c r="AM24" s="1272"/>
      <c r="AN24" s="1272"/>
      <c r="AO24" s="1272">
        <f t="shared" si="10"/>
        <v>8.7129999999999992</v>
      </c>
      <c r="AP24" s="1272">
        <f>0.314*AJ24+0.246*AK24+0.195*AL24+0.159*AM24+0.06*AN24</f>
        <v>2.1433979999999999</v>
      </c>
      <c r="AQ24" s="1272">
        <f t="shared" si="27"/>
        <v>3.4851999999999999</v>
      </c>
      <c r="AR24" s="1285">
        <f t="shared" si="28"/>
        <v>4.8133405782622978</v>
      </c>
      <c r="AS24" s="1286">
        <f t="shared" si="29"/>
        <v>4.85360123261448</v>
      </c>
      <c r="AT24" s="1134"/>
      <c r="AU24" s="1134"/>
      <c r="AV24" s="1135"/>
      <c r="AW24" s="1135"/>
      <c r="AX24" s="1136"/>
      <c r="AY24" s="1136">
        <v>43.27</v>
      </c>
      <c r="AZ24" s="1136">
        <v>769</v>
      </c>
      <c r="BA24" s="1136">
        <v>2772.512958485634</v>
      </c>
      <c r="BB24" s="1136">
        <v>1900</v>
      </c>
      <c r="BC24" s="1136"/>
      <c r="BD24" s="1136"/>
      <c r="BE24" s="1136"/>
      <c r="BF24" s="1136"/>
    </row>
    <row r="25" spans="1:58" s="186" customFormat="1" ht="41.25" customHeight="1" x14ac:dyDescent="0.2">
      <c r="A25" s="2287"/>
      <c r="B25" s="2280"/>
      <c r="C25" s="1151">
        <f>C17</f>
        <v>6.8492692662713619</v>
      </c>
      <c r="D25" s="1151">
        <f>D17</f>
        <v>8.3027771407944595</v>
      </c>
      <c r="E25" s="1143">
        <f t="shared" si="12"/>
        <v>3118.8670104139856</v>
      </c>
      <c r="F25" s="1143">
        <f t="shared" si="13"/>
        <v>2228.1701274508505</v>
      </c>
      <c r="G25" s="1144"/>
      <c r="H25" s="1160">
        <v>1.4999999999999999E-2</v>
      </c>
      <c r="I25" s="1182">
        <v>25.86</v>
      </c>
      <c r="J25" s="1182"/>
      <c r="K25" s="1182"/>
      <c r="L25" s="1182"/>
      <c r="M25" s="1146">
        <f t="shared" si="7"/>
        <v>25.875</v>
      </c>
      <c r="N25" s="1182">
        <f t="shared" si="15"/>
        <v>6.4438500000000003</v>
      </c>
      <c r="O25" s="1182">
        <f t="shared" si="16"/>
        <v>10.350000000000001</v>
      </c>
      <c r="P25" s="1181">
        <f t="shared" si="17"/>
        <v>18.366765260007185</v>
      </c>
      <c r="Q25" s="1182">
        <f t="shared" si="18"/>
        <v>19.734469789853602</v>
      </c>
      <c r="R25" s="1147">
        <f t="shared" si="14"/>
        <v>1163.0768759554451</v>
      </c>
      <c r="S25" s="1147">
        <f t="shared" si="19"/>
        <v>937.44601182605379</v>
      </c>
      <c r="T25" s="1182">
        <f t="shared" si="8"/>
        <v>12.192034400480505</v>
      </c>
      <c r="U25" s="1148">
        <f t="shared" si="9"/>
        <v>24560.953789725856</v>
      </c>
      <c r="V25" s="1149" t="s">
        <v>510</v>
      </c>
      <c r="W25" s="1161" t="s">
        <v>212</v>
      </c>
      <c r="X25" s="1143">
        <v>16</v>
      </c>
      <c r="Y25" s="1143">
        <v>11</v>
      </c>
      <c r="Z25" s="1143">
        <v>35</v>
      </c>
      <c r="AA25" s="1142">
        <v>10.288</v>
      </c>
      <c r="AB25" s="1182">
        <f t="shared" si="20"/>
        <v>7.8767500000000004</v>
      </c>
      <c r="AC25" s="1182">
        <f t="shared" si="21"/>
        <v>25.890730871586317</v>
      </c>
      <c r="AD25" s="1182">
        <f t="shared" si="22"/>
        <v>27.300897661737245</v>
      </c>
      <c r="AE25" s="1157">
        <f t="shared" si="23"/>
        <v>0.82466202946276845</v>
      </c>
      <c r="AF25" s="1157">
        <f t="shared" si="23"/>
        <v>0.86957814298674374</v>
      </c>
      <c r="AG25" s="1143">
        <f t="shared" si="24"/>
        <v>4410.6634790305425</v>
      </c>
      <c r="AH25" s="1143">
        <f t="shared" si="25"/>
        <v>3622.4461543854836</v>
      </c>
      <c r="AI25" s="1149" t="s">
        <v>511</v>
      </c>
      <c r="AJ25" s="1276"/>
      <c r="AK25" s="1272">
        <v>8.7129999999999992</v>
      </c>
      <c r="AL25" s="1272"/>
      <c r="AM25" s="1272"/>
      <c r="AN25" s="1272"/>
      <c r="AO25" s="1272">
        <f t="shared" si="10"/>
        <v>8.7129999999999992</v>
      </c>
      <c r="AP25" s="1272">
        <f t="shared" si="26"/>
        <v>2.1695369999999996</v>
      </c>
      <c r="AQ25" s="1272">
        <f t="shared" si="27"/>
        <v>3.4851999999999999</v>
      </c>
      <c r="AR25" s="1285">
        <f t="shared" si="28"/>
        <v>4.8251219163223151</v>
      </c>
      <c r="AS25" s="1286">
        <f t="shared" si="29"/>
        <v>4.8652834931794127</v>
      </c>
      <c r="AT25" s="1134"/>
      <c r="AU25" s="1134"/>
      <c r="AV25" s="1135"/>
      <c r="AW25" s="1135"/>
      <c r="AX25" s="1136"/>
      <c r="AY25" s="1136"/>
      <c r="AZ25" s="1136"/>
      <c r="BA25" s="1136"/>
      <c r="BB25" s="1136"/>
      <c r="BC25" s="1136"/>
      <c r="BD25" s="1136"/>
      <c r="BE25" s="1136"/>
      <c r="BF25" s="1136"/>
    </row>
    <row r="26" spans="1:58" s="186" customFormat="1" ht="79.5" customHeight="1" x14ac:dyDescent="0.2">
      <c r="A26" s="2287" t="s">
        <v>538</v>
      </c>
      <c r="B26" s="2280" t="s">
        <v>518</v>
      </c>
      <c r="C26" s="1151">
        <f>C24</f>
        <v>6.8750726564632316</v>
      </c>
      <c r="D26" s="1151">
        <f>D24</f>
        <v>8.328723853804318</v>
      </c>
      <c r="E26" s="1143">
        <f t="shared" si="12"/>
        <v>3107.1613388600122</v>
      </c>
      <c r="F26" s="1143">
        <f t="shared" si="13"/>
        <v>2221.2286449561825</v>
      </c>
      <c r="G26" s="1144"/>
      <c r="H26" s="1160">
        <v>0.04</v>
      </c>
      <c r="I26" s="1182">
        <v>4.21</v>
      </c>
      <c r="J26" s="1182"/>
      <c r="K26" s="1182"/>
      <c r="L26" s="1182"/>
      <c r="M26" s="1146">
        <f t="shared" si="7"/>
        <v>4.25</v>
      </c>
      <c r="N26" s="1182">
        <f t="shared" si="15"/>
        <v>1.0608499999999998</v>
      </c>
      <c r="O26" s="1182">
        <f t="shared" si="16"/>
        <v>1.7000000000000002</v>
      </c>
      <c r="P26" s="1181">
        <f t="shared" si="17"/>
        <v>8.6404440734329953</v>
      </c>
      <c r="Q26" s="1182">
        <f t="shared" si="18"/>
        <v>10.084676735441933</v>
      </c>
      <c r="R26" s="1147">
        <f t="shared" si="14"/>
        <v>2472.3219985531005</v>
      </c>
      <c r="S26" s="1147">
        <f t="shared" si="19"/>
        <v>1834.466337922659</v>
      </c>
      <c r="T26" s="1182">
        <f t="shared" si="8"/>
        <v>2.0038469808096626</v>
      </c>
      <c r="U26" s="1148">
        <f t="shared" si="9"/>
        <v>8580.848120749366</v>
      </c>
      <c r="V26" s="1149" t="s">
        <v>512</v>
      </c>
      <c r="W26" s="1161" t="s">
        <v>212</v>
      </c>
      <c r="X26" s="1143">
        <v>16</v>
      </c>
      <c r="Y26" s="1143">
        <v>11</v>
      </c>
      <c r="Z26" s="1143">
        <v>35</v>
      </c>
      <c r="AA26" s="1142">
        <v>10.034000000000001</v>
      </c>
      <c r="AB26" s="1182">
        <f t="shared" si="20"/>
        <v>7.6822812500000008</v>
      </c>
      <c r="AC26" s="1182">
        <f t="shared" si="21"/>
        <v>16.291929252316784</v>
      </c>
      <c r="AD26" s="1182">
        <f t="shared" si="22"/>
        <v>17.742747941327536</v>
      </c>
      <c r="AE26" s="1157">
        <f t="shared" si="23"/>
        <v>0.51892453356054002</v>
      </c>
      <c r="AF26" s="1157">
        <f t="shared" si="23"/>
        <v>0.56513547640322137</v>
      </c>
      <c r="AG26" s="1143">
        <f t="shared" si="24"/>
        <v>7009.3172718924807</v>
      </c>
      <c r="AH26" s="1143">
        <f t="shared" si="25"/>
        <v>5573.8847259209942</v>
      </c>
      <c r="AI26" s="1149" t="s">
        <v>513</v>
      </c>
      <c r="AJ26" s="1276"/>
      <c r="AK26" s="1272"/>
      <c r="AL26" s="1272"/>
      <c r="AM26" s="1272"/>
      <c r="AN26" s="1272"/>
      <c r="AO26" s="1272">
        <f t="shared" si="10"/>
        <v>0</v>
      </c>
      <c r="AP26" s="1272">
        <f t="shared" si="26"/>
        <v>0</v>
      </c>
      <c r="AQ26" s="1272">
        <f t="shared" si="27"/>
        <v>0</v>
      </c>
      <c r="AR26" s="1273">
        <f t="shared" si="28"/>
        <v>0</v>
      </c>
      <c r="AS26" s="1272">
        <f t="shared" si="29"/>
        <v>0</v>
      </c>
      <c r="AT26" s="1134"/>
      <c r="AU26" s="1134"/>
      <c r="AV26" s="1135"/>
      <c r="AW26" s="1135"/>
      <c r="AX26" s="1136"/>
      <c r="AY26" s="1136"/>
      <c r="AZ26" s="1136"/>
      <c r="BA26" s="1136"/>
      <c r="BB26" s="1136"/>
      <c r="BC26" s="1136"/>
      <c r="BD26" s="1136"/>
      <c r="BE26" s="1136"/>
      <c r="BF26" s="1136"/>
    </row>
    <row r="27" spans="1:58" s="186" customFormat="1" ht="79.5" customHeight="1" x14ac:dyDescent="0.2">
      <c r="A27" s="2287"/>
      <c r="B27" s="2280"/>
      <c r="C27" s="1151">
        <f>C17</f>
        <v>6.8492692662713619</v>
      </c>
      <c r="D27" s="1151">
        <f>D17</f>
        <v>8.3027771407944595</v>
      </c>
      <c r="E27" s="1143">
        <f t="shared" si="12"/>
        <v>3118.8670104139856</v>
      </c>
      <c r="F27" s="1143">
        <f t="shared" si="13"/>
        <v>2228.1701274508505</v>
      </c>
      <c r="G27" s="1144"/>
      <c r="H27" s="1160">
        <v>0.05</v>
      </c>
      <c r="I27" s="1182">
        <v>4.21</v>
      </c>
      <c r="J27" s="1182"/>
      <c r="K27" s="1182"/>
      <c r="L27" s="1182"/>
      <c r="M27" s="1146">
        <f t="shared" si="7"/>
        <v>4.26</v>
      </c>
      <c r="N27" s="1182">
        <f t="shared" si="15"/>
        <v>1.06399</v>
      </c>
      <c r="O27" s="1182">
        <f t="shared" si="16"/>
        <v>1.704</v>
      </c>
      <c r="P27" s="1181">
        <f t="shared" si="17"/>
        <v>8.6191931096502437</v>
      </c>
      <c r="Q27" s="1182">
        <f t="shared" si="18"/>
        <v>10.063183565136161</v>
      </c>
      <c r="R27" s="1147">
        <f>37000/(SQRT(3)*P27)</f>
        <v>2478.4176068753841</v>
      </c>
      <c r="S27" s="1147">
        <f t="shared" si="19"/>
        <v>1838.384431751115</v>
      </c>
      <c r="T27" s="1182">
        <f t="shared" si="8"/>
        <v>2.0089028647747007</v>
      </c>
      <c r="U27" s="1148">
        <f t="shared" si="9"/>
        <v>8623.708165146345</v>
      </c>
      <c r="V27" s="1149" t="s">
        <v>512</v>
      </c>
      <c r="W27" s="1161" t="s">
        <v>212</v>
      </c>
      <c r="X27" s="1143">
        <v>16</v>
      </c>
      <c r="Y27" s="1143">
        <v>11</v>
      </c>
      <c r="Z27" s="1143">
        <v>35</v>
      </c>
      <c r="AA27" s="1142">
        <v>10.034000000000001</v>
      </c>
      <c r="AB27" s="1182">
        <f t="shared" si="20"/>
        <v>7.6822812500000008</v>
      </c>
      <c r="AC27" s="1182">
        <f t="shared" si="21"/>
        <v>16.270377232458358</v>
      </c>
      <c r="AD27" s="1182">
        <f t="shared" si="22"/>
        <v>17.721028792737624</v>
      </c>
      <c r="AE27" s="1157">
        <f t="shared" si="23"/>
        <v>0.51823806655720883</v>
      </c>
      <c r="AF27" s="1157">
        <f t="shared" si="23"/>
        <v>0.5644436860770542</v>
      </c>
      <c r="AG27" s="1143">
        <f t="shared" si="24"/>
        <v>7018.6019333898475</v>
      </c>
      <c r="AH27" s="1143">
        <f t="shared" si="25"/>
        <v>5580.7161594681784</v>
      </c>
      <c r="AI27" s="1149" t="s">
        <v>513</v>
      </c>
      <c r="AJ27" s="1276"/>
      <c r="AK27" s="1272"/>
      <c r="AL27" s="1272"/>
      <c r="AM27" s="1272"/>
      <c r="AN27" s="1272"/>
      <c r="AO27" s="1272">
        <f t="shared" si="10"/>
        <v>0</v>
      </c>
      <c r="AP27" s="1272">
        <f t="shared" si="26"/>
        <v>0</v>
      </c>
      <c r="AQ27" s="1272">
        <f t="shared" si="27"/>
        <v>0</v>
      </c>
      <c r="AR27" s="1273">
        <f t="shared" si="28"/>
        <v>0</v>
      </c>
      <c r="AS27" s="1272">
        <f t="shared" si="29"/>
        <v>0</v>
      </c>
      <c r="AT27" s="1134"/>
      <c r="AU27" s="1134"/>
      <c r="AV27" s="1135"/>
      <c r="AW27" s="1135"/>
      <c r="AX27" s="1136"/>
      <c r="AY27" s="1136"/>
      <c r="AZ27" s="1136"/>
      <c r="BA27" s="1136"/>
      <c r="BB27" s="1136"/>
      <c r="BC27" s="1136"/>
      <c r="BD27" s="1136"/>
      <c r="BE27" s="1136"/>
      <c r="BF27" s="1136"/>
    </row>
    <row r="28" spans="1:58" s="186" customFormat="1" ht="49.5" customHeight="1" x14ac:dyDescent="0.2">
      <c r="A28" s="1165"/>
      <c r="B28" s="1166"/>
      <c r="C28" s="1163"/>
      <c r="D28" s="1163"/>
      <c r="E28" s="1136"/>
      <c r="F28" s="1136"/>
      <c r="G28" s="1218"/>
      <c r="H28" s="1219"/>
      <c r="I28" s="1167"/>
      <c r="J28" s="1167"/>
      <c r="K28" s="1167"/>
      <c r="L28" s="1167"/>
      <c r="M28" s="1167"/>
      <c r="N28" s="1167"/>
      <c r="O28" s="1167"/>
      <c r="P28" s="1220"/>
      <c r="Q28" s="1167"/>
      <c r="R28" s="1164"/>
      <c r="S28" s="1164"/>
      <c r="T28" s="1167"/>
      <c r="U28" s="1164"/>
      <c r="V28" s="1221"/>
      <c r="W28" s="1222"/>
      <c r="X28" s="1136"/>
      <c r="Y28" s="1136"/>
      <c r="Z28" s="1136"/>
      <c r="AA28" s="1167"/>
      <c r="AB28" s="1167"/>
      <c r="AC28" s="1167"/>
      <c r="AD28" s="1167"/>
      <c r="AE28" s="1164"/>
      <c r="AF28" s="1164"/>
      <c r="AG28" s="1136"/>
      <c r="AH28" s="1136"/>
      <c r="AI28" s="1221"/>
      <c r="AJ28" s="1277"/>
      <c r="AK28" s="1278"/>
      <c r="AL28" s="1278"/>
      <c r="AM28" s="1278"/>
      <c r="AN28" s="1278"/>
      <c r="AO28" s="1278"/>
      <c r="AP28" s="1278"/>
      <c r="AQ28" s="1278"/>
      <c r="AR28" s="1279"/>
      <c r="AS28" s="1278"/>
      <c r="AT28" s="1134"/>
      <c r="AU28" s="1134"/>
      <c r="AV28" s="1135"/>
      <c r="AW28" s="1135"/>
      <c r="AX28" s="1136"/>
      <c r="AY28" s="1136"/>
    </row>
    <row r="29" spans="1:58" s="186" customFormat="1" ht="50.1" customHeight="1" x14ac:dyDescent="0.2">
      <c r="A29" s="1165"/>
      <c r="B29" s="1166"/>
      <c r="C29" s="1163"/>
      <c r="D29" s="1163"/>
      <c r="E29" s="1136"/>
      <c r="F29" s="2288"/>
      <c r="G29" s="2288"/>
      <c r="H29" s="2288"/>
      <c r="I29" s="2288"/>
      <c r="J29" s="2288"/>
      <c r="K29" s="2288"/>
      <c r="L29" s="2288"/>
      <c r="M29" s="2288"/>
      <c r="N29" s="2288"/>
      <c r="O29" s="2288"/>
      <c r="P29" s="2288"/>
      <c r="Q29" s="2288"/>
      <c r="R29" s="2288"/>
      <c r="S29" s="2288"/>
      <c r="T29" s="2288"/>
      <c r="U29" s="2288"/>
      <c r="V29" s="2288"/>
      <c r="W29" s="2288"/>
      <c r="X29" s="2288"/>
      <c r="Y29" s="2288"/>
      <c r="Z29" s="2288"/>
      <c r="AA29" s="2288"/>
      <c r="AB29" s="2288"/>
      <c r="AC29" s="1167"/>
      <c r="AD29" s="1167"/>
      <c r="AE29" s="1164"/>
      <c r="AF29" s="1164"/>
      <c r="AG29" s="1136"/>
      <c r="AH29" s="1164"/>
      <c r="AI29" s="1164"/>
      <c r="AJ29" s="1280"/>
      <c r="AK29" s="1280"/>
      <c r="AL29" s="1280"/>
      <c r="AM29" s="1280"/>
      <c r="AN29" s="1280"/>
      <c r="AO29" s="1280"/>
      <c r="AP29" s="1280"/>
      <c r="AQ29" s="1280"/>
      <c r="AR29" s="1280"/>
      <c r="AS29" s="1280"/>
      <c r="AT29" s="1134"/>
      <c r="AU29" s="1134"/>
      <c r="AV29" s="1135"/>
      <c r="AW29" s="1135"/>
      <c r="AX29" s="1136"/>
      <c r="AY29" s="1136"/>
    </row>
    <row r="33" spans="3:44" ht="50.1" customHeight="1" x14ac:dyDescent="0.2">
      <c r="G33" s="100"/>
      <c r="H33" s="100"/>
      <c r="I33" s="100"/>
      <c r="J33" s="100"/>
      <c r="K33" s="100"/>
      <c r="L33" s="100"/>
      <c r="M33" s="100"/>
      <c r="N33" s="100"/>
      <c r="O33" s="100"/>
      <c r="V33" s="100"/>
      <c r="AI33" s="100"/>
      <c r="AJ33" s="1261"/>
      <c r="AK33" s="1261"/>
      <c r="AL33" s="1261"/>
      <c r="AM33" s="1261"/>
      <c r="AN33" s="1261"/>
      <c r="AO33" s="1261"/>
      <c r="AP33" s="1261"/>
      <c r="AQ33" s="1261"/>
    </row>
    <row r="35" spans="3:44" ht="50.1" customHeight="1" x14ac:dyDescent="0.2">
      <c r="H35" s="100"/>
      <c r="I35" s="100"/>
      <c r="J35" s="100"/>
      <c r="K35" s="100"/>
      <c r="L35" s="100"/>
      <c r="M35" s="100"/>
      <c r="N35" s="100"/>
      <c r="O35" s="100"/>
      <c r="P35" s="186"/>
      <c r="V35" s="100"/>
      <c r="AI35" s="100"/>
      <c r="AJ35" s="1261"/>
      <c r="AK35" s="1261"/>
      <c r="AL35" s="1261"/>
      <c r="AM35" s="1261"/>
      <c r="AN35" s="1261"/>
      <c r="AO35" s="1261"/>
      <c r="AP35" s="1261"/>
      <c r="AQ35" s="1261"/>
      <c r="AR35" s="1260"/>
    </row>
    <row r="36" spans="3:44" ht="50.1" customHeight="1" x14ac:dyDescent="0.2">
      <c r="E36" s="1168"/>
      <c r="F36" s="1168"/>
      <c r="G36" s="1168"/>
      <c r="H36" s="1168"/>
      <c r="I36" s="1168"/>
      <c r="J36" s="1168"/>
      <c r="K36" s="1168"/>
      <c r="L36" s="1168"/>
      <c r="M36" s="1168"/>
      <c r="N36" s="1168"/>
      <c r="O36" s="1169"/>
      <c r="P36" s="186"/>
      <c r="V36" s="100"/>
      <c r="AG36" s="1168"/>
      <c r="AH36" s="1168"/>
      <c r="AI36" s="100"/>
      <c r="AJ36" s="1281"/>
      <c r="AK36" s="1281"/>
      <c r="AL36" s="1281"/>
      <c r="AM36" s="1281"/>
      <c r="AN36" s="1281"/>
      <c r="AO36" s="1281"/>
      <c r="AP36" s="1281"/>
      <c r="AQ36" s="1282"/>
      <c r="AR36" s="1260"/>
    </row>
    <row r="37" spans="3:44" ht="50.1" customHeight="1" x14ac:dyDescent="0.2">
      <c r="C37" s="188"/>
      <c r="E37" s="1168"/>
      <c r="F37" s="1168"/>
      <c r="G37" s="1168"/>
      <c r="H37" s="1168"/>
      <c r="I37" s="1168"/>
      <c r="J37" s="1168"/>
      <c r="K37" s="1168"/>
      <c r="L37" s="1168"/>
      <c r="M37" s="1168"/>
      <c r="N37" s="1168"/>
      <c r="O37" s="1169"/>
      <c r="P37" s="186"/>
      <c r="V37" s="100"/>
      <c r="AG37" s="1168"/>
      <c r="AH37" s="1168"/>
      <c r="AI37" s="100"/>
      <c r="AJ37" s="1281"/>
      <c r="AK37" s="1281"/>
      <c r="AL37" s="1281"/>
      <c r="AM37" s="1281"/>
      <c r="AN37" s="1281"/>
      <c r="AO37" s="1281"/>
      <c r="AP37" s="1281"/>
      <c r="AQ37" s="1282"/>
      <c r="AR37" s="1260"/>
    </row>
    <row r="38" spans="3:44" ht="50.1" customHeight="1" x14ac:dyDescent="0.2">
      <c r="C38" s="188"/>
      <c r="H38" s="100"/>
      <c r="I38" s="100"/>
      <c r="J38" s="100"/>
      <c r="K38" s="100"/>
      <c r="L38" s="100"/>
      <c r="M38" s="100"/>
      <c r="N38" s="100"/>
      <c r="O38" s="100"/>
      <c r="P38" s="186"/>
      <c r="V38" s="100"/>
      <c r="AI38" s="100"/>
      <c r="AJ38" s="1261"/>
      <c r="AK38" s="1261"/>
      <c r="AL38" s="1261"/>
      <c r="AM38" s="1261"/>
      <c r="AN38" s="1261"/>
      <c r="AO38" s="1261"/>
      <c r="AP38" s="1261"/>
      <c r="AQ38" s="1261"/>
      <c r="AR38" s="1260"/>
    </row>
    <row r="39" spans="3:44" ht="50.1" customHeight="1" x14ac:dyDescent="0.2">
      <c r="C39" s="188"/>
      <c r="H39" s="100"/>
      <c r="I39" s="100"/>
      <c r="J39" s="100"/>
      <c r="K39" s="100"/>
      <c r="L39" s="100"/>
      <c r="M39" s="100"/>
      <c r="N39" s="100"/>
      <c r="O39" s="100"/>
      <c r="P39" s="186"/>
      <c r="V39" s="100"/>
      <c r="AI39" s="100"/>
      <c r="AJ39" s="1261"/>
      <c r="AK39" s="1261"/>
      <c r="AL39" s="1261"/>
      <c r="AM39" s="1261"/>
      <c r="AN39" s="1261"/>
      <c r="AO39" s="1261"/>
      <c r="AP39" s="1261"/>
      <c r="AQ39" s="1261"/>
      <c r="AR39" s="1260"/>
    </row>
    <row r="40" spans="3:44" ht="50.1" customHeight="1" x14ac:dyDescent="0.2">
      <c r="C40" s="188"/>
      <c r="H40" s="100"/>
      <c r="I40" s="100"/>
      <c r="J40" s="100"/>
      <c r="K40" s="100"/>
      <c r="L40" s="100"/>
      <c r="M40" s="100"/>
      <c r="N40" s="100"/>
      <c r="O40" s="100"/>
      <c r="P40" s="186"/>
      <c r="V40" s="100"/>
      <c r="AI40" s="100"/>
      <c r="AJ40" s="1261"/>
      <c r="AK40" s="1261"/>
      <c r="AL40" s="1261"/>
      <c r="AM40" s="1261"/>
      <c r="AN40" s="1261"/>
      <c r="AO40" s="1261"/>
      <c r="AP40" s="1261"/>
      <c r="AQ40" s="1261"/>
      <c r="AR40" s="1260"/>
    </row>
    <row r="41" spans="3:44" ht="50.1" customHeight="1" x14ac:dyDescent="0.2">
      <c r="C41" s="188"/>
      <c r="H41" s="100"/>
      <c r="I41" s="100"/>
      <c r="J41" s="100"/>
      <c r="K41" s="100"/>
      <c r="L41" s="100"/>
      <c r="M41" s="100"/>
      <c r="N41" s="100"/>
      <c r="O41" s="100"/>
      <c r="P41" s="186"/>
      <c r="V41" s="100"/>
      <c r="AI41" s="100"/>
      <c r="AJ41" s="1261"/>
      <c r="AK41" s="1261"/>
      <c r="AL41" s="1261"/>
      <c r="AM41" s="1261"/>
      <c r="AN41" s="1261"/>
      <c r="AO41" s="1261"/>
      <c r="AP41" s="1261"/>
      <c r="AQ41" s="1261"/>
      <c r="AR41" s="1260"/>
    </row>
    <row r="42" spans="3:44" ht="50.1" customHeight="1" x14ac:dyDescent="0.2">
      <c r="C42" s="188"/>
      <c r="H42" s="100"/>
      <c r="I42" s="100"/>
      <c r="J42" s="100"/>
      <c r="K42" s="100"/>
      <c r="L42" s="100"/>
      <c r="M42" s="100"/>
      <c r="N42" s="100"/>
      <c r="O42" s="100"/>
      <c r="P42" s="186"/>
      <c r="V42" s="100"/>
      <c r="AI42" s="100"/>
      <c r="AJ42" s="1261"/>
      <c r="AK42" s="1261"/>
      <c r="AL42" s="1261"/>
      <c r="AM42" s="1261"/>
      <c r="AN42" s="1261"/>
      <c r="AO42" s="1261"/>
      <c r="AP42" s="1261"/>
      <c r="AQ42" s="1261"/>
      <c r="AR42" s="1260"/>
    </row>
    <row r="43" spans="3:44" ht="50.1" customHeight="1" x14ac:dyDescent="0.2">
      <c r="C43" s="188"/>
      <c r="H43" s="100"/>
      <c r="I43" s="100"/>
      <c r="J43" s="100"/>
      <c r="K43" s="100"/>
      <c r="L43" s="100"/>
      <c r="M43" s="100"/>
      <c r="N43" s="100"/>
      <c r="O43" s="100"/>
      <c r="P43" s="186"/>
      <c r="V43" s="100"/>
      <c r="AI43" s="100"/>
      <c r="AJ43" s="1261"/>
      <c r="AK43" s="1261"/>
      <c r="AL43" s="1261"/>
      <c r="AM43" s="1261"/>
      <c r="AN43" s="1261"/>
      <c r="AO43" s="1261"/>
      <c r="AP43" s="1261"/>
      <c r="AQ43" s="1261"/>
      <c r="AR43" s="1260"/>
    </row>
    <row r="44" spans="3:44" ht="50.1" customHeight="1" x14ac:dyDescent="0.2">
      <c r="C44" s="188"/>
      <c r="H44" s="100"/>
      <c r="I44" s="100"/>
      <c r="J44" s="100"/>
      <c r="K44" s="100"/>
      <c r="L44" s="100"/>
      <c r="M44" s="100"/>
      <c r="N44" s="100"/>
      <c r="O44" s="100"/>
      <c r="P44" s="186"/>
      <c r="V44" s="100"/>
      <c r="AI44" s="100"/>
      <c r="AJ44" s="1261"/>
      <c r="AK44" s="1261"/>
      <c r="AL44" s="1261"/>
      <c r="AM44" s="1261"/>
      <c r="AN44" s="1261"/>
      <c r="AO44" s="1261"/>
      <c r="AP44" s="1261"/>
      <c r="AQ44" s="1261"/>
      <c r="AR44" s="1260"/>
    </row>
    <row r="45" spans="3:44" ht="50.1" customHeight="1" x14ac:dyDescent="0.2">
      <c r="C45" s="188"/>
      <c r="H45" s="100"/>
      <c r="I45" s="100"/>
      <c r="J45" s="100"/>
      <c r="K45" s="100"/>
      <c r="L45" s="100"/>
      <c r="M45" s="100"/>
      <c r="N45" s="100"/>
      <c r="O45" s="100"/>
      <c r="P45" s="186"/>
      <c r="V45" s="100"/>
      <c r="AI45" s="100"/>
      <c r="AJ45" s="1261"/>
      <c r="AK45" s="1261"/>
      <c r="AL45" s="1261"/>
      <c r="AM45" s="1261"/>
      <c r="AN45" s="1261"/>
      <c r="AO45" s="1261"/>
      <c r="AP45" s="1261"/>
      <c r="AQ45" s="1261"/>
      <c r="AR45" s="1260"/>
    </row>
    <row r="46" spans="3:44" ht="50.1" customHeight="1" x14ac:dyDescent="0.2">
      <c r="O46" s="1167"/>
      <c r="W46" s="1170"/>
      <c r="AQ46" s="1278"/>
    </row>
    <row r="47" spans="3:44" ht="50.1" customHeight="1" x14ac:dyDescent="0.2">
      <c r="O47" s="1171"/>
      <c r="AQ47" s="1283"/>
    </row>
    <row r="73" spans="7:43" ht="50.1" customHeight="1" x14ac:dyDescent="0.2">
      <c r="G73" s="503"/>
      <c r="H73" s="503"/>
      <c r="I73" s="503"/>
      <c r="J73" s="503"/>
      <c r="K73" s="503"/>
      <c r="L73" s="503"/>
      <c r="M73" s="503"/>
      <c r="N73" s="503"/>
      <c r="O73" s="503"/>
      <c r="W73" s="503"/>
      <c r="AJ73" s="1284"/>
      <c r="AK73" s="1284"/>
      <c r="AL73" s="1284"/>
      <c r="AM73" s="1284"/>
      <c r="AN73" s="1284"/>
      <c r="AO73" s="1284"/>
      <c r="AP73" s="1284"/>
      <c r="AQ73" s="1284"/>
    </row>
    <row r="74" spans="7:43" ht="50.1" customHeight="1" x14ac:dyDescent="0.2">
      <c r="H74" s="186"/>
      <c r="I74" s="186"/>
      <c r="J74" s="186"/>
      <c r="W74" s="186"/>
      <c r="AJ74" s="1260"/>
      <c r="AK74" s="1260"/>
      <c r="AL74" s="1260"/>
    </row>
  </sheetData>
  <mergeCells count="58">
    <mergeCell ref="AJ7:AN7"/>
    <mergeCell ref="AO7:AO8"/>
    <mergeCell ref="AP7:AQ8"/>
    <mergeCell ref="AP15:AQ15"/>
    <mergeCell ref="AR7:AS7"/>
    <mergeCell ref="AR15:AS15"/>
    <mergeCell ref="AE12:AF12"/>
    <mergeCell ref="AG12:AH12"/>
    <mergeCell ref="A13:A14"/>
    <mergeCell ref="B13:B14"/>
    <mergeCell ref="C15:D15"/>
    <mergeCell ref="A26:A27"/>
    <mergeCell ref="B26:B27"/>
    <mergeCell ref="F29:AB29"/>
    <mergeCell ref="AE15:AF15"/>
    <mergeCell ref="AG15:AH15"/>
    <mergeCell ref="B20:B21"/>
    <mergeCell ref="A20:A21"/>
    <mergeCell ref="B18:B19"/>
    <mergeCell ref="B16:B17"/>
    <mergeCell ref="A16:A19"/>
    <mergeCell ref="A22:A25"/>
    <mergeCell ref="B22:B23"/>
    <mergeCell ref="B24:B25"/>
    <mergeCell ref="N15:O15"/>
    <mergeCell ref="P15:Q15"/>
    <mergeCell ref="R15:S15"/>
    <mergeCell ref="T15:U15"/>
    <mergeCell ref="AC15:AD15"/>
    <mergeCell ref="T7:U8"/>
    <mergeCell ref="AE7:AF7"/>
    <mergeCell ref="AG7:AH8"/>
    <mergeCell ref="AI7:AI9"/>
    <mergeCell ref="A10:A11"/>
    <mergeCell ref="B10:B11"/>
    <mergeCell ref="V7:V9"/>
    <mergeCell ref="W7:W9"/>
    <mergeCell ref="X7:X8"/>
    <mergeCell ref="Y7:Y9"/>
    <mergeCell ref="Z7:Z8"/>
    <mergeCell ref="AB7:AB8"/>
    <mergeCell ref="AC7:AD7"/>
    <mergeCell ref="AA7:AA8"/>
    <mergeCell ref="H7:L7"/>
    <mergeCell ref="M7:M8"/>
    <mergeCell ref="N7:O8"/>
    <mergeCell ref="P7:Q7"/>
    <mergeCell ref="R7:S8"/>
    <mergeCell ref="A7:A9"/>
    <mergeCell ref="B7:B9"/>
    <mergeCell ref="C7:D7"/>
    <mergeCell ref="E7:F8"/>
    <mergeCell ref="G7:G9"/>
    <mergeCell ref="AB1:AI1"/>
    <mergeCell ref="AB2:AI2"/>
    <mergeCell ref="AB3:AI3"/>
    <mergeCell ref="A4:AI5"/>
    <mergeCell ref="A6:AI6"/>
  </mergeCells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BFB22-BDBC-4E26-BE1A-B0AD724A37B9}">
  <sheetPr codeName="Лист14"/>
  <dimension ref="A1:AP161"/>
  <sheetViews>
    <sheetView zoomScale="85" zoomScaleNormal="85" workbookViewId="0">
      <pane xSplit="2" ySplit="4" topLeftCell="C14" activePane="bottomRight" state="frozen"/>
      <selection pane="topRight" activeCell="C1" sqref="C1"/>
      <selection pane="bottomLeft" activeCell="A5" sqref="A5"/>
      <selection pane="bottomRight" activeCell="AB20" sqref="AB20:AB21"/>
    </sheetView>
  </sheetViews>
  <sheetFormatPr defaultRowHeight="12.75" x14ac:dyDescent="0.2"/>
  <cols>
    <col min="1" max="1" width="2.85546875" style="100" customWidth="1"/>
    <col min="2" max="2" width="15" style="185" customWidth="1"/>
    <col min="3" max="3" width="3.5703125" style="185" customWidth="1"/>
    <col min="4" max="4" width="8" style="186" customWidth="1"/>
    <col min="5" max="5" width="3.140625" style="186" customWidth="1"/>
    <col min="6" max="6" width="18.42578125" style="100" customWidth="1"/>
    <col min="7" max="8" width="7" style="100" customWidth="1"/>
    <col min="9" max="10" width="5.5703125" style="188" customWidth="1"/>
    <col min="11" max="11" width="5.5703125" style="189" customWidth="1"/>
    <col min="12" max="16" width="5.5703125" style="186" customWidth="1"/>
    <col min="17" max="17" width="7.42578125" style="186" customWidth="1"/>
    <col min="18" max="19" width="6.7109375" style="100" customWidth="1"/>
    <col min="20" max="21" width="6.7109375" style="190" customWidth="1"/>
    <col min="22" max="22" width="3.5703125" style="186" customWidth="1"/>
    <col min="23" max="23" width="15.85546875" style="100" customWidth="1"/>
    <col min="24" max="24" width="5.7109375" style="100" customWidth="1"/>
    <col min="25" max="25" width="7.42578125" style="100" customWidth="1"/>
    <col min="26" max="28" width="5.85546875" style="100" customWidth="1"/>
    <col min="29" max="29" width="11.42578125" style="100" customWidth="1"/>
    <col min="30" max="30" width="6.140625" style="186" customWidth="1"/>
    <col min="31" max="31" width="6.140625" style="100" customWidth="1"/>
    <col min="32" max="32" width="7.85546875" style="100" customWidth="1"/>
    <col min="33" max="33" width="6.7109375" style="100" customWidth="1"/>
    <col min="34" max="34" width="11" style="100" customWidth="1"/>
    <col min="35" max="35" width="8.85546875" style="100" customWidth="1"/>
    <col min="36" max="37" width="6.7109375" style="190" customWidth="1"/>
    <col min="38" max="38" width="6.7109375" style="191" customWidth="1"/>
    <col min="39" max="39" width="6.7109375" style="190" customWidth="1"/>
    <col min="40" max="40" width="10.42578125" style="190" customWidth="1"/>
    <col min="41" max="41" width="8.7109375" style="190" customWidth="1"/>
    <col min="42" max="16384" width="9.140625" style="100"/>
  </cols>
  <sheetData>
    <row r="1" spans="1:42" ht="36.75" customHeight="1" thickBot="1" x14ac:dyDescent="0.25">
      <c r="A1" s="2302" t="s">
        <v>356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302"/>
      <c r="X1" s="2302"/>
      <c r="Y1" s="2302"/>
      <c r="Z1" s="2302"/>
      <c r="AA1" s="2302"/>
      <c r="AB1" s="2302"/>
      <c r="AC1" s="2302"/>
      <c r="AD1" s="2302"/>
      <c r="AE1" s="2302"/>
      <c r="AF1" s="2302"/>
      <c r="AG1" s="2302"/>
      <c r="AH1" s="2302"/>
      <c r="AI1" s="2302"/>
      <c r="AJ1" s="2302"/>
      <c r="AK1" s="2302"/>
      <c r="AL1" s="2302"/>
      <c r="AM1" s="2302"/>
      <c r="AN1" s="2302"/>
      <c r="AO1" s="2302"/>
    </row>
    <row r="2" spans="1:42" s="101" customFormat="1" ht="69.75" customHeight="1" x14ac:dyDescent="0.2">
      <c r="A2" s="2303" t="s">
        <v>0</v>
      </c>
      <c r="B2" s="2306" t="s">
        <v>384</v>
      </c>
      <c r="C2" s="2309" t="s">
        <v>2</v>
      </c>
      <c r="D2" s="2306" t="s">
        <v>318</v>
      </c>
      <c r="E2" s="2312" t="s">
        <v>4</v>
      </c>
      <c r="F2" s="2315" t="s">
        <v>5</v>
      </c>
      <c r="G2" s="2318" t="s">
        <v>389</v>
      </c>
      <c r="H2" s="2319"/>
      <c r="I2" s="2536" t="s">
        <v>7</v>
      </c>
      <c r="J2" s="2323"/>
      <c r="K2" s="2323"/>
      <c r="L2" s="2323"/>
      <c r="M2" s="2323"/>
      <c r="N2" s="2323"/>
      <c r="O2" s="2537"/>
      <c r="P2" s="2323" t="s">
        <v>8</v>
      </c>
      <c r="Q2" s="2324"/>
      <c r="R2" s="2327" t="s">
        <v>385</v>
      </c>
      <c r="S2" s="2327"/>
      <c r="T2" s="2328" t="s">
        <v>388</v>
      </c>
      <c r="U2" s="2329"/>
      <c r="V2" s="2330" t="s">
        <v>9</v>
      </c>
      <c r="W2" s="2333" t="s">
        <v>10</v>
      </c>
      <c r="X2" s="2341" t="s">
        <v>12</v>
      </c>
      <c r="Y2" s="2338" t="s">
        <v>13</v>
      </c>
      <c r="Z2" s="2341" t="s">
        <v>335</v>
      </c>
      <c r="AA2" s="2341" t="s">
        <v>336</v>
      </c>
      <c r="AB2" s="2460" t="s">
        <v>16</v>
      </c>
      <c r="AC2" s="2341" t="s">
        <v>17</v>
      </c>
      <c r="AD2" s="2341" t="s">
        <v>18</v>
      </c>
      <c r="AE2" s="2345" t="s">
        <v>19</v>
      </c>
      <c r="AF2" s="2321" t="s">
        <v>386</v>
      </c>
      <c r="AG2" s="2321"/>
      <c r="AH2" s="2347" t="s">
        <v>387</v>
      </c>
      <c r="AI2" s="2348"/>
      <c r="AJ2" s="2349" t="s">
        <v>382</v>
      </c>
      <c r="AK2" s="2350"/>
      <c r="AL2" s="2351" t="s">
        <v>20</v>
      </c>
      <c r="AM2" s="2351" t="s">
        <v>21</v>
      </c>
      <c r="AN2" s="2349" t="s">
        <v>383</v>
      </c>
      <c r="AO2" s="2353"/>
    </row>
    <row r="3" spans="1:42" s="101" customFormat="1" ht="36" customHeight="1" x14ac:dyDescent="0.2">
      <c r="A3" s="2304"/>
      <c r="B3" s="2307"/>
      <c r="C3" s="2310"/>
      <c r="D3" s="2307"/>
      <c r="E3" s="2313"/>
      <c r="F3" s="2316"/>
      <c r="G3" s="102" t="s">
        <v>220</v>
      </c>
      <c r="H3" s="103" t="s">
        <v>29</v>
      </c>
      <c r="I3" s="400" t="s">
        <v>24</v>
      </c>
      <c r="J3" s="401" t="s">
        <v>25</v>
      </c>
      <c r="K3" s="402" t="s">
        <v>26</v>
      </c>
      <c r="L3" s="402" t="s">
        <v>27</v>
      </c>
      <c r="M3" s="685" t="s">
        <v>229</v>
      </c>
      <c r="N3" s="402" t="s">
        <v>556</v>
      </c>
      <c r="O3" s="403" t="s">
        <v>557</v>
      </c>
      <c r="P3" s="2325"/>
      <c r="Q3" s="2326"/>
      <c r="R3" s="104" t="s">
        <v>216</v>
      </c>
      <c r="S3" s="104" t="s">
        <v>217</v>
      </c>
      <c r="T3" s="105" t="s">
        <v>218</v>
      </c>
      <c r="U3" s="110" t="s">
        <v>219</v>
      </c>
      <c r="V3" s="2331"/>
      <c r="W3" s="2334"/>
      <c r="X3" s="2342"/>
      <c r="Y3" s="2339"/>
      <c r="Z3" s="2342"/>
      <c r="AA3" s="2342"/>
      <c r="AB3" s="2461"/>
      <c r="AC3" s="2342"/>
      <c r="AD3" s="2342"/>
      <c r="AE3" s="2346"/>
      <c r="AF3" s="1021" t="s">
        <v>216</v>
      </c>
      <c r="AG3" s="106" t="s">
        <v>217</v>
      </c>
      <c r="AH3" s="107" t="s">
        <v>216</v>
      </c>
      <c r="AI3" s="108" t="s">
        <v>217</v>
      </c>
      <c r="AJ3" s="109" t="s">
        <v>218</v>
      </c>
      <c r="AK3" s="110" t="s">
        <v>219</v>
      </c>
      <c r="AL3" s="2352"/>
      <c r="AM3" s="2352"/>
      <c r="AN3" s="105" t="s">
        <v>218</v>
      </c>
      <c r="AO3" s="111" t="s">
        <v>219</v>
      </c>
    </row>
    <row r="4" spans="1:42" s="101" customFormat="1" ht="13.5" thickBot="1" x14ac:dyDescent="0.25">
      <c r="A4" s="2305"/>
      <c r="B4" s="2308"/>
      <c r="C4" s="2311"/>
      <c r="D4" s="2308"/>
      <c r="E4" s="2314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6" t="s">
        <v>31</v>
      </c>
      <c r="M4" s="122" t="s">
        <v>31</v>
      </c>
      <c r="N4" s="122" t="s">
        <v>31</v>
      </c>
      <c r="O4" s="117" t="s">
        <v>31</v>
      </c>
      <c r="P4" s="118" t="s">
        <v>30</v>
      </c>
      <c r="Q4" s="116" t="s">
        <v>30</v>
      </c>
      <c r="R4" s="116" t="s">
        <v>30</v>
      </c>
      <c r="S4" s="116" t="s">
        <v>30</v>
      </c>
      <c r="T4" s="119" t="s">
        <v>35</v>
      </c>
      <c r="U4" s="1017" t="s">
        <v>35</v>
      </c>
      <c r="V4" s="2332"/>
      <c r="W4" s="2335"/>
      <c r="X4" s="120" t="s">
        <v>32</v>
      </c>
      <c r="Y4" s="2340"/>
      <c r="Z4" s="120" t="s">
        <v>33</v>
      </c>
      <c r="AA4" s="120" t="s">
        <v>33</v>
      </c>
      <c r="AB4" s="121" t="s">
        <v>34</v>
      </c>
      <c r="AC4" s="120" t="s">
        <v>35</v>
      </c>
      <c r="AD4" s="120" t="s">
        <v>34</v>
      </c>
      <c r="AE4" s="1025" t="s">
        <v>30</v>
      </c>
      <c r="AF4" s="118" t="s">
        <v>30</v>
      </c>
      <c r="AG4" s="122" t="s">
        <v>30</v>
      </c>
      <c r="AH4" s="123" t="s">
        <v>30</v>
      </c>
      <c r="AI4" s="124" t="s">
        <v>30</v>
      </c>
      <c r="AJ4" s="125" t="s">
        <v>35</v>
      </c>
      <c r="AK4" s="119" t="s">
        <v>35</v>
      </c>
      <c r="AL4" s="119" t="s">
        <v>35</v>
      </c>
      <c r="AM4" s="119" t="s">
        <v>35</v>
      </c>
      <c r="AN4" s="119" t="s">
        <v>35</v>
      </c>
      <c r="AO4" s="126" t="s">
        <v>35</v>
      </c>
    </row>
    <row r="5" spans="1:42" ht="12.75" customHeight="1" x14ac:dyDescent="0.2">
      <c r="A5" s="144">
        <v>11</v>
      </c>
      <c r="B5" s="2306" t="s">
        <v>174</v>
      </c>
      <c r="C5" s="2482" t="s">
        <v>341</v>
      </c>
      <c r="D5" s="673" t="s">
        <v>319</v>
      </c>
      <c r="E5" s="145" t="s">
        <v>39</v>
      </c>
      <c r="F5" s="146" t="s">
        <v>175</v>
      </c>
      <c r="G5" s="152">
        <v>3.9569999999999999</v>
      </c>
      <c r="H5" s="162">
        <v>7.4859999999999998</v>
      </c>
      <c r="I5" s="147">
        <v>9.93</v>
      </c>
      <c r="J5" s="148">
        <v>2.4</v>
      </c>
      <c r="K5" s="149"/>
      <c r="L5" s="149"/>
      <c r="M5" s="687"/>
      <c r="N5" s="149"/>
      <c r="O5" s="1333"/>
      <c r="P5" s="967">
        <f t="shared" ref="P5:P16" si="0">0.314*I5+0.249*J5+0.195*K5+0.159*L5+0.0795*M5</f>
        <v>3.7156199999999999</v>
      </c>
      <c r="Q5" s="129">
        <f t="shared" ref="Q5:Q16" si="1">0.4*SUM(I5:M5)</f>
        <v>4.9320000000000004</v>
      </c>
      <c r="R5" s="153">
        <f t="shared" ref="R5:R16" si="2">SQRT(POWER(P5,2)+POWER(Q5+G5,2))</f>
        <v>9.6343216151631559</v>
      </c>
      <c r="S5" s="154">
        <f t="shared" ref="S5:S16" si="3">SQRT(POWER(P5,2)+POWER(Q5+H5,2))</f>
        <v>12.961965745379825</v>
      </c>
      <c r="T5" s="155">
        <f t="shared" ref="T5:T16" si="4">37000/1.73/SQRT(POWER((G5+Q5),2)+P5*P5)</f>
        <v>2219.9054683137674</v>
      </c>
      <c r="U5" s="361">
        <f t="shared" ref="U5:U16" si="5">37000/2/SQRT(P5*P5+POWER((H5+Q5),2))</f>
        <v>1427.2526531397568</v>
      </c>
      <c r="V5" s="1027">
        <v>1</v>
      </c>
      <c r="W5" s="152" t="s">
        <v>308</v>
      </c>
      <c r="X5" s="152">
        <v>10</v>
      </c>
      <c r="Y5" s="152">
        <v>11</v>
      </c>
      <c r="Z5" s="152">
        <v>35</v>
      </c>
      <c r="AA5" s="152">
        <v>6.3</v>
      </c>
      <c r="AB5" s="154">
        <v>8.02</v>
      </c>
      <c r="AC5" s="152"/>
      <c r="AD5" s="152">
        <v>12</v>
      </c>
      <c r="AE5" s="274">
        <f t="shared" ref="AE5:AE16" si="6">AB5/100*Z5*Z5/X5</f>
        <v>9.8245000000000005</v>
      </c>
      <c r="AF5" s="151">
        <f t="shared" ref="AF5:AF16" si="7">SQRT(POWER(P5,2)+POWER(Q5+AE5+G5,2))</f>
        <v>19.078807987775338</v>
      </c>
      <c r="AG5" s="156">
        <f t="shared" ref="AG5:AG16" si="8">SQRT(POWER(P5,2)+POWER(Q5+AE5+H5,2))</f>
        <v>22.550712588173351</v>
      </c>
      <c r="AH5" s="157">
        <f t="shared" ref="AH5:AH16" si="9">SQRT(POWER((AE5+Q5+G5),2)+POWER(P5,2))*POWER(6.3/35,2)</f>
        <v>0.61815337880392096</v>
      </c>
      <c r="AI5" s="158">
        <f t="shared" ref="AI5:AI16" si="10">SQRT(POWER((H5+Q5+AE5),2)+POWER(P5,2))*POWER(6.3/35,2)</f>
        <v>0.73064308785681653</v>
      </c>
      <c r="AJ5" s="159">
        <f t="shared" ref="AJ5:AJ16" si="11">37000/1.73/SQRT(POWER((G5+Q5+AE5),2)+P5*P5)</f>
        <v>1120.9968280354844</v>
      </c>
      <c r="AK5" s="155">
        <f t="shared" ref="AK5:AK16" si="12">37000/2/SQRT(POWER((H5+Q5+AE5),2)+P5*P5)</f>
        <v>820.37318899191973</v>
      </c>
      <c r="AL5" s="155">
        <f t="shared" ref="AL5:AL16" si="13">AK5/1.2</f>
        <v>683.64432415993315</v>
      </c>
      <c r="AM5" s="155">
        <f t="shared" ref="AM5:AM16" si="14">AK5/1.5</f>
        <v>546.91545932794645</v>
      </c>
      <c r="AN5" s="155">
        <f>6300/(1.73*AH5)</f>
        <v>5891.1244716579522</v>
      </c>
      <c r="AO5" s="160">
        <f t="shared" ref="AO5:AO16" si="15">6300/(2*AI5)</f>
        <v>4311.2705127202989</v>
      </c>
      <c r="AP5" s="968"/>
    </row>
    <row r="6" spans="1:42" ht="12.75" customHeight="1" x14ac:dyDescent="0.2">
      <c r="A6" s="144">
        <v>11</v>
      </c>
      <c r="B6" s="2359"/>
      <c r="C6" s="2363"/>
      <c r="D6" s="673" t="s">
        <v>320</v>
      </c>
      <c r="E6" s="145" t="s">
        <v>39</v>
      </c>
      <c r="F6" s="146" t="s">
        <v>175</v>
      </c>
      <c r="G6" s="152">
        <v>3.9569999999999999</v>
      </c>
      <c r="H6" s="162">
        <v>7.4859999999999998</v>
      </c>
      <c r="I6" s="147">
        <v>9.93</v>
      </c>
      <c r="J6" s="148">
        <v>2.4</v>
      </c>
      <c r="K6" s="149"/>
      <c r="L6" s="149"/>
      <c r="M6" s="687"/>
      <c r="N6" s="149"/>
      <c r="O6" s="1333"/>
      <c r="P6" s="967">
        <f t="shared" si="0"/>
        <v>3.7156199999999999</v>
      </c>
      <c r="Q6" s="129">
        <f t="shared" si="1"/>
        <v>4.9320000000000004</v>
      </c>
      <c r="R6" s="153">
        <f t="shared" si="2"/>
        <v>9.6343216151631559</v>
      </c>
      <c r="S6" s="154">
        <f t="shared" si="3"/>
        <v>12.961965745379825</v>
      </c>
      <c r="T6" s="155">
        <f t="shared" si="4"/>
        <v>2219.9054683137674</v>
      </c>
      <c r="U6" s="361">
        <f t="shared" si="5"/>
        <v>1427.2526531397568</v>
      </c>
      <c r="V6" s="1027">
        <v>2</v>
      </c>
      <c r="W6" s="152" t="s">
        <v>308</v>
      </c>
      <c r="X6" s="152">
        <v>10</v>
      </c>
      <c r="Y6" s="152">
        <v>11</v>
      </c>
      <c r="Z6" s="152">
        <v>35</v>
      </c>
      <c r="AA6" s="152">
        <v>6.3</v>
      </c>
      <c r="AB6" s="154">
        <v>8.02</v>
      </c>
      <c r="AC6" s="152"/>
      <c r="AD6" s="152">
        <v>12</v>
      </c>
      <c r="AE6" s="274">
        <f t="shared" si="6"/>
        <v>9.8245000000000005</v>
      </c>
      <c r="AF6" s="151">
        <f t="shared" si="7"/>
        <v>19.078807987775338</v>
      </c>
      <c r="AG6" s="156">
        <f t="shared" si="8"/>
        <v>22.550712588173351</v>
      </c>
      <c r="AH6" s="157">
        <f t="shared" si="9"/>
        <v>0.61815337880392096</v>
      </c>
      <c r="AI6" s="158">
        <f t="shared" si="10"/>
        <v>0.73064308785681653</v>
      </c>
      <c r="AJ6" s="159">
        <f t="shared" si="11"/>
        <v>1120.9968280354844</v>
      </c>
      <c r="AK6" s="155">
        <f t="shared" si="12"/>
        <v>820.37318899191973</v>
      </c>
      <c r="AL6" s="155">
        <f t="shared" si="13"/>
        <v>683.64432415993315</v>
      </c>
      <c r="AM6" s="155">
        <f t="shared" si="14"/>
        <v>546.91545932794645</v>
      </c>
      <c r="AN6" s="155">
        <f t="shared" ref="AN6:AN16" si="16">6300/(1.73*AH6)</f>
        <v>5891.1244716579522</v>
      </c>
      <c r="AO6" s="160">
        <f t="shared" si="15"/>
        <v>4311.2705127202989</v>
      </c>
      <c r="AP6" s="968"/>
    </row>
    <row r="7" spans="1:42" ht="12.75" customHeight="1" x14ac:dyDescent="0.2">
      <c r="A7" s="161">
        <v>11</v>
      </c>
      <c r="B7" s="2358" t="s">
        <v>176</v>
      </c>
      <c r="C7" s="2362" t="s">
        <v>342</v>
      </c>
      <c r="D7" s="673" t="s">
        <v>319</v>
      </c>
      <c r="E7" s="145" t="s">
        <v>39</v>
      </c>
      <c r="F7" s="146" t="s">
        <v>175</v>
      </c>
      <c r="G7" s="152">
        <v>3.9569999999999999</v>
      </c>
      <c r="H7" s="162">
        <v>7.4859999999999998</v>
      </c>
      <c r="I7" s="147">
        <v>9.86</v>
      </c>
      <c r="J7" s="148">
        <v>6.56</v>
      </c>
      <c r="K7" s="149"/>
      <c r="L7" s="149"/>
      <c r="M7" s="687"/>
      <c r="N7" s="149"/>
      <c r="O7" s="1333"/>
      <c r="P7" s="967">
        <f t="shared" si="0"/>
        <v>4.7294799999999997</v>
      </c>
      <c r="Q7" s="129">
        <f t="shared" si="1"/>
        <v>6.5679999999999996</v>
      </c>
      <c r="R7" s="153">
        <f t="shared" si="2"/>
        <v>11.538787027690562</v>
      </c>
      <c r="S7" s="154">
        <f t="shared" si="3"/>
        <v>14.828448909794981</v>
      </c>
      <c r="T7" s="155">
        <f t="shared" si="4"/>
        <v>1853.5122613554979</v>
      </c>
      <c r="U7" s="361">
        <f t="shared" si="5"/>
        <v>1247.6018302750306</v>
      </c>
      <c r="V7" s="1027">
        <v>1</v>
      </c>
      <c r="W7" s="152" t="s">
        <v>50</v>
      </c>
      <c r="X7" s="152">
        <v>6.3</v>
      </c>
      <c r="Y7" s="152">
        <v>11</v>
      </c>
      <c r="Z7" s="152">
        <v>35</v>
      </c>
      <c r="AA7" s="152">
        <v>6.3</v>
      </c>
      <c r="AB7" s="154">
        <v>7.5</v>
      </c>
      <c r="AC7" s="152"/>
      <c r="AD7" s="152">
        <v>10</v>
      </c>
      <c r="AE7" s="274">
        <f t="shared" si="6"/>
        <v>14.583333333333334</v>
      </c>
      <c r="AF7" s="151">
        <f t="shared" si="7"/>
        <v>25.549880309860118</v>
      </c>
      <c r="AG7" s="156">
        <f t="shared" si="8"/>
        <v>29.025244900169998</v>
      </c>
      <c r="AH7" s="157">
        <f t="shared" si="9"/>
        <v>0.82781612203946775</v>
      </c>
      <c r="AI7" s="158">
        <f t="shared" si="10"/>
        <v>0.94041793476550772</v>
      </c>
      <c r="AJ7" s="159">
        <f t="shared" si="11"/>
        <v>837.0795861904885</v>
      </c>
      <c r="AK7" s="155">
        <f t="shared" si="12"/>
        <v>637.37618971448023</v>
      </c>
      <c r="AL7" s="155">
        <f t="shared" si="13"/>
        <v>531.1468247620669</v>
      </c>
      <c r="AM7" s="155">
        <f t="shared" si="14"/>
        <v>424.91745980965351</v>
      </c>
      <c r="AN7" s="155">
        <f t="shared" si="16"/>
        <v>4399.0668943944602</v>
      </c>
      <c r="AO7" s="160">
        <f t="shared" si="15"/>
        <v>3349.5745705715931</v>
      </c>
      <c r="AP7" s="968"/>
    </row>
    <row r="8" spans="1:42" ht="12.75" customHeight="1" x14ac:dyDescent="0.2">
      <c r="A8" s="161">
        <v>11</v>
      </c>
      <c r="B8" s="2359"/>
      <c r="C8" s="2363"/>
      <c r="D8" s="673" t="s">
        <v>320</v>
      </c>
      <c r="E8" s="145" t="s">
        <v>39</v>
      </c>
      <c r="F8" s="146" t="s">
        <v>175</v>
      </c>
      <c r="G8" s="152">
        <v>3.9569999999999999</v>
      </c>
      <c r="H8" s="162">
        <v>7.4859999999999998</v>
      </c>
      <c r="I8" s="147">
        <v>9.86</v>
      </c>
      <c r="J8" s="148">
        <v>6.56</v>
      </c>
      <c r="K8" s="149"/>
      <c r="L8" s="149"/>
      <c r="M8" s="687"/>
      <c r="N8" s="149"/>
      <c r="O8" s="1333"/>
      <c r="P8" s="967">
        <f t="shared" si="0"/>
        <v>4.7294799999999997</v>
      </c>
      <c r="Q8" s="129">
        <f t="shared" si="1"/>
        <v>6.5679999999999996</v>
      </c>
      <c r="R8" s="153">
        <f t="shared" si="2"/>
        <v>11.538787027690562</v>
      </c>
      <c r="S8" s="154">
        <f t="shared" si="3"/>
        <v>14.828448909794981</v>
      </c>
      <c r="T8" s="155">
        <f t="shared" si="4"/>
        <v>1853.5122613554979</v>
      </c>
      <c r="U8" s="361">
        <f t="shared" si="5"/>
        <v>1247.6018302750306</v>
      </c>
      <c r="V8" s="1027">
        <v>2</v>
      </c>
      <c r="W8" s="152" t="s">
        <v>50</v>
      </c>
      <c r="X8" s="152">
        <v>6.3</v>
      </c>
      <c r="Y8" s="152">
        <v>11</v>
      </c>
      <c r="Z8" s="152">
        <v>35</v>
      </c>
      <c r="AA8" s="152">
        <v>6.3</v>
      </c>
      <c r="AB8" s="154">
        <v>7.5</v>
      </c>
      <c r="AC8" s="152"/>
      <c r="AD8" s="152">
        <v>10</v>
      </c>
      <c r="AE8" s="274">
        <f t="shared" si="6"/>
        <v>14.583333333333334</v>
      </c>
      <c r="AF8" s="151">
        <f t="shared" si="7"/>
        <v>25.549880309860118</v>
      </c>
      <c r="AG8" s="156">
        <f t="shared" si="8"/>
        <v>29.025244900169998</v>
      </c>
      <c r="AH8" s="157">
        <f t="shared" si="9"/>
        <v>0.82781612203946775</v>
      </c>
      <c r="AI8" s="158">
        <f t="shared" si="10"/>
        <v>0.94041793476550772</v>
      </c>
      <c r="AJ8" s="159">
        <f t="shared" si="11"/>
        <v>837.0795861904885</v>
      </c>
      <c r="AK8" s="155">
        <f t="shared" si="12"/>
        <v>637.37618971448023</v>
      </c>
      <c r="AL8" s="155">
        <f t="shared" si="13"/>
        <v>531.1468247620669</v>
      </c>
      <c r="AM8" s="155">
        <f t="shared" si="14"/>
        <v>424.91745980965351</v>
      </c>
      <c r="AN8" s="155">
        <f t="shared" si="16"/>
        <v>4399.0668943944602</v>
      </c>
      <c r="AO8" s="160">
        <f t="shared" si="15"/>
        <v>3349.5745705715931</v>
      </c>
      <c r="AP8" s="968"/>
    </row>
    <row r="9" spans="1:42" ht="12.75" customHeight="1" x14ac:dyDescent="0.2">
      <c r="A9" s="161">
        <v>11</v>
      </c>
      <c r="B9" s="2358" t="s">
        <v>177</v>
      </c>
      <c r="C9" s="2362" t="s">
        <v>341</v>
      </c>
      <c r="D9" s="673" t="s">
        <v>333</v>
      </c>
      <c r="E9" s="145" t="s">
        <v>39</v>
      </c>
      <c r="F9" s="146" t="s">
        <v>186</v>
      </c>
      <c r="G9" s="152">
        <v>5.9080000000000004</v>
      </c>
      <c r="H9" s="162">
        <v>10.920999999999999</v>
      </c>
      <c r="I9" s="147"/>
      <c r="J9" s="148">
        <v>37.82</v>
      </c>
      <c r="K9" s="149"/>
      <c r="L9" s="149">
        <v>1.04</v>
      </c>
      <c r="M9" s="687"/>
      <c r="N9" s="149"/>
      <c r="O9" s="1333"/>
      <c r="P9" s="967">
        <f t="shared" si="0"/>
        <v>9.5825399999999998</v>
      </c>
      <c r="Q9" s="129">
        <f t="shared" si="1"/>
        <v>15.544</v>
      </c>
      <c r="R9" s="153">
        <f t="shared" si="2"/>
        <v>23.494964925523938</v>
      </c>
      <c r="S9" s="154">
        <f t="shared" si="3"/>
        <v>28.146426022704908</v>
      </c>
      <c r="T9" s="155">
        <f t="shared" si="4"/>
        <v>910.29219685107842</v>
      </c>
      <c r="U9" s="361">
        <f t="shared" si="5"/>
        <v>657.2770548231091</v>
      </c>
      <c r="V9" s="1027">
        <v>1</v>
      </c>
      <c r="W9" s="152" t="s">
        <v>196</v>
      </c>
      <c r="X9" s="152">
        <v>10</v>
      </c>
      <c r="Y9" s="152">
        <v>11</v>
      </c>
      <c r="Z9" s="152">
        <v>35</v>
      </c>
      <c r="AA9" s="152">
        <v>6.3</v>
      </c>
      <c r="AB9" s="154">
        <v>8.3000000000000007</v>
      </c>
      <c r="AC9" s="152"/>
      <c r="AD9" s="152">
        <v>3</v>
      </c>
      <c r="AE9" s="274">
        <f t="shared" si="6"/>
        <v>10.1675</v>
      </c>
      <c r="AF9" s="151">
        <f t="shared" si="7"/>
        <v>33.039640632149741</v>
      </c>
      <c r="AG9" s="156">
        <f t="shared" si="8"/>
        <v>37.865091167216278</v>
      </c>
      <c r="AH9" s="157">
        <f t="shared" si="9"/>
        <v>1.0704843564816515</v>
      </c>
      <c r="AI9" s="158">
        <f t="shared" si="10"/>
        <v>1.2268289538178074</v>
      </c>
      <c r="AJ9" s="159">
        <f t="shared" si="11"/>
        <v>647.32190870693023</v>
      </c>
      <c r="AK9" s="155">
        <f t="shared" si="12"/>
        <v>488.57666599301263</v>
      </c>
      <c r="AL9" s="155">
        <f t="shared" si="13"/>
        <v>407.14722166084385</v>
      </c>
      <c r="AM9" s="155">
        <f t="shared" si="14"/>
        <v>325.71777732867508</v>
      </c>
      <c r="AN9" s="155">
        <f t="shared" si="16"/>
        <v>3401.8418625739582</v>
      </c>
      <c r="AO9" s="160">
        <f t="shared" si="15"/>
        <v>2567.595091554871</v>
      </c>
    </row>
    <row r="10" spans="1:42" ht="12.75" customHeight="1" thickBot="1" x14ac:dyDescent="0.25">
      <c r="A10" s="144">
        <v>11</v>
      </c>
      <c r="B10" s="2308"/>
      <c r="C10" s="2364"/>
      <c r="D10" s="830" t="s">
        <v>334</v>
      </c>
      <c r="E10" s="281" t="s">
        <v>39</v>
      </c>
      <c r="F10" s="654" t="s">
        <v>186</v>
      </c>
      <c r="G10" s="276">
        <v>5.9080000000000004</v>
      </c>
      <c r="H10" s="282">
        <v>10.920999999999999</v>
      </c>
      <c r="I10" s="410"/>
      <c r="J10" s="623">
        <v>37.82</v>
      </c>
      <c r="K10" s="624"/>
      <c r="L10" s="624">
        <v>1.04</v>
      </c>
      <c r="M10" s="944"/>
      <c r="N10" s="624"/>
      <c r="O10" s="1334"/>
      <c r="P10" s="969">
        <f t="shared" si="0"/>
        <v>9.5825399999999998</v>
      </c>
      <c r="Q10" s="970">
        <f t="shared" si="1"/>
        <v>15.544</v>
      </c>
      <c r="R10" s="287">
        <f t="shared" si="2"/>
        <v>23.494964925523938</v>
      </c>
      <c r="S10" s="288">
        <f t="shared" si="3"/>
        <v>28.146426022704908</v>
      </c>
      <c r="T10" s="292">
        <f t="shared" si="4"/>
        <v>910.29219685107842</v>
      </c>
      <c r="U10" s="867">
        <f t="shared" si="5"/>
        <v>657.2770548231091</v>
      </c>
      <c r="V10" s="1047">
        <v>2</v>
      </c>
      <c r="W10" s="276" t="s">
        <v>196</v>
      </c>
      <c r="X10" s="276">
        <v>10</v>
      </c>
      <c r="Y10" s="276">
        <v>11</v>
      </c>
      <c r="Z10" s="276">
        <v>35</v>
      </c>
      <c r="AA10" s="276">
        <v>6.3</v>
      </c>
      <c r="AB10" s="288">
        <v>8.3000000000000007</v>
      </c>
      <c r="AC10" s="276"/>
      <c r="AD10" s="276">
        <v>3</v>
      </c>
      <c r="AE10" s="290">
        <f t="shared" si="6"/>
        <v>10.1675</v>
      </c>
      <c r="AF10" s="538">
        <f t="shared" si="7"/>
        <v>33.039640632149741</v>
      </c>
      <c r="AG10" s="411">
        <f t="shared" si="8"/>
        <v>37.865091167216278</v>
      </c>
      <c r="AH10" s="181">
        <f t="shared" si="9"/>
        <v>1.0704843564816515</v>
      </c>
      <c r="AI10" s="182">
        <f t="shared" si="10"/>
        <v>1.2268289538178074</v>
      </c>
      <c r="AJ10" s="291">
        <f t="shared" si="11"/>
        <v>647.32190870693023</v>
      </c>
      <c r="AK10" s="292">
        <f t="shared" si="12"/>
        <v>488.57666599301263</v>
      </c>
      <c r="AL10" s="292">
        <f t="shared" si="13"/>
        <v>407.14722166084385</v>
      </c>
      <c r="AM10" s="292">
        <f t="shared" si="14"/>
        <v>325.71777732867508</v>
      </c>
      <c r="AN10" s="292">
        <f t="shared" si="16"/>
        <v>3401.8418625739582</v>
      </c>
      <c r="AO10" s="318">
        <f t="shared" si="15"/>
        <v>2567.595091554871</v>
      </c>
    </row>
    <row r="11" spans="1:42" ht="56.25" x14ac:dyDescent="0.2">
      <c r="A11" s="257">
        <v>11</v>
      </c>
      <c r="B11" s="2478" t="s">
        <v>174</v>
      </c>
      <c r="C11" s="2484" t="s">
        <v>341</v>
      </c>
      <c r="D11" s="647" t="s">
        <v>319</v>
      </c>
      <c r="E11" s="548" t="s">
        <v>35</v>
      </c>
      <c r="F11" s="549" t="s">
        <v>323</v>
      </c>
      <c r="G11" s="232">
        <v>11.75</v>
      </c>
      <c r="H11" s="233">
        <v>11.88</v>
      </c>
      <c r="I11" s="234">
        <v>9.93</v>
      </c>
      <c r="J11" s="235">
        <v>2.4</v>
      </c>
      <c r="K11" s="236"/>
      <c r="L11" s="236"/>
      <c r="M11" s="688"/>
      <c r="N11" s="236"/>
      <c r="O11" s="1335"/>
      <c r="P11" s="632">
        <f t="shared" si="0"/>
        <v>3.7156199999999999</v>
      </c>
      <c r="Q11" s="232">
        <f>0.4*SUM(I11:M11)</f>
        <v>4.9320000000000004</v>
      </c>
      <c r="R11" s="252">
        <f t="shared" si="2"/>
        <v>17.090785704127242</v>
      </c>
      <c r="S11" s="238">
        <f t="shared" si="3"/>
        <v>17.217699497447388</v>
      </c>
      <c r="T11" s="253">
        <f t="shared" si="4"/>
        <v>1251.3926280071148</v>
      </c>
      <c r="U11" s="870">
        <f t="shared" si="5"/>
        <v>1074.4757162675955</v>
      </c>
      <c r="V11" s="1048">
        <v>1</v>
      </c>
      <c r="W11" s="232" t="s">
        <v>308</v>
      </c>
      <c r="X11" s="232">
        <v>10</v>
      </c>
      <c r="Y11" s="232">
        <v>11</v>
      </c>
      <c r="Z11" s="232">
        <v>35</v>
      </c>
      <c r="AA11" s="232">
        <v>6.3</v>
      </c>
      <c r="AB11" s="238">
        <v>8.02</v>
      </c>
      <c r="AC11" s="232"/>
      <c r="AD11" s="232">
        <v>12</v>
      </c>
      <c r="AE11" s="300">
        <f t="shared" si="6"/>
        <v>9.8245000000000005</v>
      </c>
      <c r="AF11" s="879">
        <f t="shared" si="7"/>
        <v>26.765656618779225</v>
      </c>
      <c r="AG11" s="300">
        <f t="shared" si="8"/>
        <v>26.894403957596833</v>
      </c>
      <c r="AH11" s="139">
        <f t="shared" si="9"/>
        <v>0.86720727444844681</v>
      </c>
      <c r="AI11" s="140">
        <f t="shared" si="10"/>
        <v>0.87137868822613729</v>
      </c>
      <c r="AJ11" s="265">
        <f t="shared" si="11"/>
        <v>799.05692363954745</v>
      </c>
      <c r="AK11" s="253">
        <f t="shared" si="12"/>
        <v>687.87544164087433</v>
      </c>
      <c r="AL11" s="253">
        <f>AK11/1.2</f>
        <v>573.22953470072866</v>
      </c>
      <c r="AM11" s="253">
        <f>AK11/1.5</f>
        <v>458.58362776058289</v>
      </c>
      <c r="AN11" s="253">
        <f>6300/(1.73*AH11)</f>
        <v>4199.2480972048297</v>
      </c>
      <c r="AO11" s="266">
        <f t="shared" si="15"/>
        <v>3614.9610296442347</v>
      </c>
      <c r="AP11" s="968"/>
    </row>
    <row r="12" spans="1:42" ht="56.25" x14ac:dyDescent="0.2">
      <c r="A12" s="256">
        <v>11</v>
      </c>
      <c r="B12" s="2366"/>
      <c r="C12" s="2372"/>
      <c r="D12" s="675" t="s">
        <v>320</v>
      </c>
      <c r="E12" s="550" t="s">
        <v>35</v>
      </c>
      <c r="F12" s="551" t="s">
        <v>323</v>
      </c>
      <c r="G12" s="211">
        <v>11.75</v>
      </c>
      <c r="H12" s="212">
        <v>11.88</v>
      </c>
      <c r="I12" s="213">
        <v>9.93</v>
      </c>
      <c r="J12" s="214">
        <v>2.4</v>
      </c>
      <c r="K12" s="215"/>
      <c r="L12" s="215"/>
      <c r="M12" s="689"/>
      <c r="N12" s="215"/>
      <c r="O12" s="1336"/>
      <c r="P12" s="1332">
        <f t="shared" si="0"/>
        <v>3.7156199999999999</v>
      </c>
      <c r="Q12" s="198">
        <f>0.4*SUM(I12:M12)</f>
        <v>4.9320000000000004</v>
      </c>
      <c r="R12" s="218">
        <f t="shared" si="2"/>
        <v>17.090785704127242</v>
      </c>
      <c r="S12" s="219">
        <f t="shared" si="3"/>
        <v>17.217699497447388</v>
      </c>
      <c r="T12" s="220">
        <f t="shared" si="4"/>
        <v>1251.3926280071148</v>
      </c>
      <c r="U12" s="871">
        <f t="shared" si="5"/>
        <v>1074.4757162675955</v>
      </c>
      <c r="V12" s="1031">
        <v>2</v>
      </c>
      <c r="W12" s="211" t="s">
        <v>308</v>
      </c>
      <c r="X12" s="211">
        <v>10</v>
      </c>
      <c r="Y12" s="211">
        <v>11</v>
      </c>
      <c r="Z12" s="211">
        <v>35</v>
      </c>
      <c r="AA12" s="211">
        <v>6.3</v>
      </c>
      <c r="AB12" s="219">
        <v>8.02</v>
      </c>
      <c r="AC12" s="211"/>
      <c r="AD12" s="211">
        <v>12</v>
      </c>
      <c r="AE12" s="307">
        <f t="shared" si="6"/>
        <v>9.8245000000000005</v>
      </c>
      <c r="AF12" s="217">
        <f t="shared" si="7"/>
        <v>26.765656618779225</v>
      </c>
      <c r="AG12" s="307">
        <f t="shared" si="8"/>
        <v>26.894403957596833</v>
      </c>
      <c r="AH12" s="157">
        <f t="shared" si="9"/>
        <v>0.86720727444844681</v>
      </c>
      <c r="AI12" s="158">
        <f t="shared" si="10"/>
        <v>0.87137868822613729</v>
      </c>
      <c r="AJ12" s="261">
        <f t="shared" si="11"/>
        <v>799.05692363954745</v>
      </c>
      <c r="AK12" s="220">
        <f t="shared" si="12"/>
        <v>687.87544164087433</v>
      </c>
      <c r="AL12" s="220">
        <f>AK12/1.2</f>
        <v>573.22953470072866</v>
      </c>
      <c r="AM12" s="220">
        <f>AK12/1.5</f>
        <v>458.58362776058289</v>
      </c>
      <c r="AN12" s="220">
        <f>6300/(1.73*AH12)</f>
        <v>4199.2480972048297</v>
      </c>
      <c r="AO12" s="262">
        <f t="shared" si="15"/>
        <v>3614.9610296442347</v>
      </c>
      <c r="AP12" s="968"/>
    </row>
    <row r="13" spans="1:42" ht="56.25" x14ac:dyDescent="0.2">
      <c r="A13" s="255">
        <v>11</v>
      </c>
      <c r="B13" s="2369" t="s">
        <v>176</v>
      </c>
      <c r="C13" s="2371" t="s">
        <v>342</v>
      </c>
      <c r="D13" s="675" t="s">
        <v>319</v>
      </c>
      <c r="E13" s="550" t="s">
        <v>35</v>
      </c>
      <c r="F13" s="552" t="s">
        <v>323</v>
      </c>
      <c r="G13" s="211">
        <v>11.75</v>
      </c>
      <c r="H13" s="212">
        <v>11.88</v>
      </c>
      <c r="I13" s="213">
        <v>9.86</v>
      </c>
      <c r="J13" s="214">
        <v>6.56</v>
      </c>
      <c r="K13" s="215"/>
      <c r="L13" s="215"/>
      <c r="M13" s="689"/>
      <c r="N13" s="215"/>
      <c r="O13" s="1336"/>
      <c r="P13" s="1332">
        <f t="shared" si="0"/>
        <v>4.7294799999999997</v>
      </c>
      <c r="Q13" s="198">
        <f>0.4*SUM(I13:M13)</f>
        <v>6.5679999999999996</v>
      </c>
      <c r="R13" s="218">
        <f t="shared" si="2"/>
        <v>18.918697235021227</v>
      </c>
      <c r="S13" s="219">
        <f t="shared" si="3"/>
        <v>19.044597267214659</v>
      </c>
      <c r="T13" s="220">
        <f t="shared" si="4"/>
        <v>1130.4839319170078</v>
      </c>
      <c r="U13" s="871">
        <f t="shared" si="5"/>
        <v>971.40410691948921</v>
      </c>
      <c r="V13" s="1031">
        <v>1</v>
      </c>
      <c r="W13" s="211" t="s">
        <v>50</v>
      </c>
      <c r="X13" s="211">
        <v>6.3</v>
      </c>
      <c r="Y13" s="211">
        <v>11</v>
      </c>
      <c r="Z13" s="211">
        <v>35</v>
      </c>
      <c r="AA13" s="211">
        <v>6.3</v>
      </c>
      <c r="AB13" s="219">
        <v>7.5</v>
      </c>
      <c r="AC13" s="211"/>
      <c r="AD13" s="211">
        <v>10</v>
      </c>
      <c r="AE13" s="307">
        <f t="shared" si="6"/>
        <v>14.583333333333334</v>
      </c>
      <c r="AF13" s="217">
        <f t="shared" si="7"/>
        <v>33.23952039638224</v>
      </c>
      <c r="AG13" s="307">
        <f t="shared" si="8"/>
        <v>33.368202871119351</v>
      </c>
      <c r="AH13" s="157">
        <f t="shared" si="9"/>
        <v>1.0769604608427845</v>
      </c>
      <c r="AI13" s="158">
        <f t="shared" si="10"/>
        <v>1.0811297730242668</v>
      </c>
      <c r="AJ13" s="261">
        <f t="shared" si="11"/>
        <v>643.42935704096362</v>
      </c>
      <c r="AK13" s="220">
        <f t="shared" si="12"/>
        <v>554.42002889559296</v>
      </c>
      <c r="AL13" s="220">
        <f>AK13/1.2</f>
        <v>462.01669074632747</v>
      </c>
      <c r="AM13" s="220">
        <f>AK13/1.5</f>
        <v>369.61335259706198</v>
      </c>
      <c r="AN13" s="220">
        <f>6300/(1.73*AH13)</f>
        <v>3381.385509975034</v>
      </c>
      <c r="AO13" s="262">
        <f t="shared" si="15"/>
        <v>2913.6187704723361</v>
      </c>
      <c r="AP13" s="968"/>
    </row>
    <row r="14" spans="1:42" ht="56.25" x14ac:dyDescent="0.2">
      <c r="A14" s="255">
        <v>11</v>
      </c>
      <c r="B14" s="2366"/>
      <c r="C14" s="2372"/>
      <c r="D14" s="675" t="s">
        <v>320</v>
      </c>
      <c r="E14" s="550" t="s">
        <v>35</v>
      </c>
      <c r="F14" s="551" t="s">
        <v>323</v>
      </c>
      <c r="G14" s="211">
        <v>11.75</v>
      </c>
      <c r="H14" s="212">
        <v>11.88</v>
      </c>
      <c r="I14" s="213">
        <v>9.86</v>
      </c>
      <c r="J14" s="214">
        <v>6.56</v>
      </c>
      <c r="K14" s="215"/>
      <c r="L14" s="215"/>
      <c r="M14" s="689"/>
      <c r="N14" s="215"/>
      <c r="O14" s="1336"/>
      <c r="P14" s="1332">
        <f t="shared" si="0"/>
        <v>4.7294799999999997</v>
      </c>
      <c r="Q14" s="198">
        <f>0.4*SUM(I14:M14)</f>
        <v>6.5679999999999996</v>
      </c>
      <c r="R14" s="218">
        <f t="shared" si="2"/>
        <v>18.918697235021227</v>
      </c>
      <c r="S14" s="219">
        <f t="shared" si="3"/>
        <v>19.044597267214659</v>
      </c>
      <c r="T14" s="220">
        <f t="shared" si="4"/>
        <v>1130.4839319170078</v>
      </c>
      <c r="U14" s="871">
        <f t="shared" si="5"/>
        <v>971.40410691948921</v>
      </c>
      <c r="V14" s="1031">
        <v>2</v>
      </c>
      <c r="W14" s="211" t="s">
        <v>50</v>
      </c>
      <c r="X14" s="211">
        <v>6.3</v>
      </c>
      <c r="Y14" s="211">
        <v>11</v>
      </c>
      <c r="Z14" s="211">
        <v>35</v>
      </c>
      <c r="AA14" s="211">
        <v>6.3</v>
      </c>
      <c r="AB14" s="219">
        <v>7.5</v>
      </c>
      <c r="AC14" s="211"/>
      <c r="AD14" s="211">
        <v>10</v>
      </c>
      <c r="AE14" s="307">
        <f t="shared" si="6"/>
        <v>14.583333333333334</v>
      </c>
      <c r="AF14" s="217">
        <f>SQRT(POWER(P14,2)+POWER(Q14+AE14+G14,2))</f>
        <v>33.23952039638224</v>
      </c>
      <c r="AG14" s="307">
        <f t="shared" si="8"/>
        <v>33.368202871119351</v>
      </c>
      <c r="AH14" s="157">
        <f t="shared" si="9"/>
        <v>1.0769604608427845</v>
      </c>
      <c r="AI14" s="158">
        <f t="shared" si="10"/>
        <v>1.0811297730242668</v>
      </c>
      <c r="AJ14" s="261">
        <f t="shared" si="11"/>
        <v>643.42935704096362</v>
      </c>
      <c r="AK14" s="220">
        <f t="shared" si="12"/>
        <v>554.42002889559296</v>
      </c>
      <c r="AL14" s="220">
        <f>AK14/1.2</f>
        <v>462.01669074632747</v>
      </c>
      <c r="AM14" s="220">
        <f>AK14/1.5</f>
        <v>369.61335259706198</v>
      </c>
      <c r="AN14" s="220">
        <f>6300/(1.73*AH14)</f>
        <v>3381.385509975034</v>
      </c>
      <c r="AO14" s="262">
        <f t="shared" si="15"/>
        <v>2913.6187704723361</v>
      </c>
      <c r="AP14" s="968"/>
    </row>
    <row r="15" spans="1:42" s="972" customFormat="1" ht="12.75" customHeight="1" x14ac:dyDescent="0.2">
      <c r="A15" s="553">
        <v>11</v>
      </c>
      <c r="B15" s="2719" t="s">
        <v>177</v>
      </c>
      <c r="C15" s="2723" t="s">
        <v>341</v>
      </c>
      <c r="D15" s="675" t="s">
        <v>321</v>
      </c>
      <c r="E15" s="550" t="s">
        <v>35</v>
      </c>
      <c r="F15" s="554" t="s">
        <v>106</v>
      </c>
      <c r="G15" s="557">
        <v>7.4859999999999998</v>
      </c>
      <c r="H15" s="971">
        <v>10.455</v>
      </c>
      <c r="I15" s="200"/>
      <c r="J15" s="201">
        <v>43</v>
      </c>
      <c r="K15" s="202"/>
      <c r="L15" s="202"/>
      <c r="M15" s="691"/>
      <c r="N15" s="202"/>
      <c r="O15" s="1337"/>
      <c r="P15" s="204">
        <f t="shared" si="0"/>
        <v>10.707000000000001</v>
      </c>
      <c r="Q15" s="206">
        <f t="shared" si="1"/>
        <v>17.2</v>
      </c>
      <c r="R15" s="555">
        <f t="shared" si="2"/>
        <v>26.907962483250195</v>
      </c>
      <c r="S15" s="558">
        <f t="shared" si="3"/>
        <v>29.655334663429446</v>
      </c>
      <c r="T15" s="556">
        <f t="shared" si="4"/>
        <v>794.83101889663635</v>
      </c>
      <c r="U15" s="1078">
        <f t="shared" si="5"/>
        <v>623.83379617745288</v>
      </c>
      <c r="V15" s="1080">
        <v>1</v>
      </c>
      <c r="W15" s="557" t="s">
        <v>196</v>
      </c>
      <c r="X15" s="198">
        <v>10</v>
      </c>
      <c r="Y15" s="211">
        <v>11</v>
      </c>
      <c r="Z15" s="557">
        <v>35</v>
      </c>
      <c r="AA15" s="557">
        <v>6.3</v>
      </c>
      <c r="AB15" s="558">
        <v>8.3000000000000007</v>
      </c>
      <c r="AC15" s="557"/>
      <c r="AD15" s="557">
        <v>3</v>
      </c>
      <c r="AE15" s="569">
        <f t="shared" si="6"/>
        <v>10.1675</v>
      </c>
      <c r="AF15" s="1079">
        <f t="shared" si="7"/>
        <v>36.461024550196058</v>
      </c>
      <c r="AG15" s="569">
        <f t="shared" si="8"/>
        <v>39.308794884224064</v>
      </c>
      <c r="AH15" s="559">
        <f t="shared" si="9"/>
        <v>1.1813371954263523</v>
      </c>
      <c r="AI15" s="560">
        <f t="shared" si="10"/>
        <v>1.2736049542488599</v>
      </c>
      <c r="AJ15" s="561">
        <f t="shared" si="11"/>
        <v>586.57932685216372</v>
      </c>
      <c r="AK15" s="556">
        <f t="shared" si="12"/>
        <v>470.63259137014825</v>
      </c>
      <c r="AL15" s="556">
        <f t="shared" si="13"/>
        <v>392.19382614179023</v>
      </c>
      <c r="AM15" s="556">
        <f t="shared" si="14"/>
        <v>313.75506091343215</v>
      </c>
      <c r="AN15" s="207">
        <f t="shared" si="16"/>
        <v>3082.6240900639236</v>
      </c>
      <c r="AO15" s="260">
        <f t="shared" si="15"/>
        <v>2473.2943990923704</v>
      </c>
    </row>
    <row r="16" spans="1:42" s="972" customFormat="1" ht="12.75" customHeight="1" thickBot="1" x14ac:dyDescent="0.25">
      <c r="A16" s="1782">
        <v>11</v>
      </c>
      <c r="B16" s="2720"/>
      <c r="C16" s="2633"/>
      <c r="D16" s="646" t="s">
        <v>322</v>
      </c>
      <c r="E16" s="1784" t="s">
        <v>35</v>
      </c>
      <c r="F16" s="1804" t="s">
        <v>106</v>
      </c>
      <c r="G16" s="1786">
        <v>7.4859999999999998</v>
      </c>
      <c r="H16" s="1787">
        <v>10.455</v>
      </c>
      <c r="I16" s="225"/>
      <c r="J16" s="226">
        <v>43</v>
      </c>
      <c r="K16" s="926"/>
      <c r="L16" s="926"/>
      <c r="M16" s="945"/>
      <c r="N16" s="926"/>
      <c r="O16" s="1788"/>
      <c r="P16" s="946">
        <f t="shared" si="0"/>
        <v>10.707000000000001</v>
      </c>
      <c r="Q16" s="1805">
        <f t="shared" si="1"/>
        <v>17.2</v>
      </c>
      <c r="R16" s="1806">
        <f t="shared" si="2"/>
        <v>26.907962483250195</v>
      </c>
      <c r="S16" s="1796">
        <f t="shared" si="3"/>
        <v>29.655334663429446</v>
      </c>
      <c r="T16" s="1807">
        <f t="shared" si="4"/>
        <v>794.83101889663635</v>
      </c>
      <c r="U16" s="1808">
        <f t="shared" si="5"/>
        <v>623.83379617745288</v>
      </c>
      <c r="V16" s="1795">
        <v>2</v>
      </c>
      <c r="W16" s="1786" t="s">
        <v>196</v>
      </c>
      <c r="X16" s="223">
        <v>10</v>
      </c>
      <c r="Y16" s="223">
        <v>11</v>
      </c>
      <c r="Z16" s="1786">
        <v>35</v>
      </c>
      <c r="AA16" s="1786">
        <v>6.3</v>
      </c>
      <c r="AB16" s="1796">
        <v>8.3000000000000007</v>
      </c>
      <c r="AC16" s="1786"/>
      <c r="AD16" s="1786">
        <v>3</v>
      </c>
      <c r="AE16" s="1797">
        <f t="shared" si="6"/>
        <v>10.1675</v>
      </c>
      <c r="AF16" s="1803">
        <f t="shared" si="7"/>
        <v>36.461024550196058</v>
      </c>
      <c r="AG16" s="1797">
        <f t="shared" si="8"/>
        <v>39.308794884224064</v>
      </c>
      <c r="AH16" s="1344">
        <f t="shared" si="9"/>
        <v>1.1813371954263523</v>
      </c>
      <c r="AI16" s="1345">
        <f t="shared" si="10"/>
        <v>1.2736049542488599</v>
      </c>
      <c r="AJ16" s="1809">
        <f t="shared" si="11"/>
        <v>586.57932685216372</v>
      </c>
      <c r="AK16" s="1807">
        <f t="shared" si="12"/>
        <v>470.63259137014825</v>
      </c>
      <c r="AL16" s="1807">
        <f t="shared" si="13"/>
        <v>392.19382614179023</v>
      </c>
      <c r="AM16" s="1807">
        <f t="shared" si="14"/>
        <v>313.75506091343215</v>
      </c>
      <c r="AN16" s="229">
        <f t="shared" si="16"/>
        <v>3082.6240900639236</v>
      </c>
      <c r="AO16" s="264">
        <f t="shared" si="15"/>
        <v>2473.2943990923704</v>
      </c>
    </row>
    <row r="17" spans="1:41" s="972" customFormat="1" ht="51" customHeight="1" x14ac:dyDescent="0.2">
      <c r="A17" s="2169"/>
      <c r="B17" s="2170"/>
      <c r="C17" s="2171"/>
      <c r="D17" s="2172"/>
      <c r="E17" s="2171"/>
      <c r="F17" s="2171"/>
      <c r="G17" s="2726" t="s">
        <v>637</v>
      </c>
      <c r="H17" s="2726"/>
      <c r="I17" s="2173"/>
      <c r="J17" s="2174"/>
      <c r="K17" s="2175"/>
      <c r="L17" s="2175"/>
      <c r="M17" s="2175"/>
      <c r="N17" s="2175"/>
      <c r="O17" s="2175"/>
      <c r="P17" s="2727" t="s">
        <v>541</v>
      </c>
      <c r="Q17" s="2727"/>
      <c r="R17" s="2728" t="s">
        <v>638</v>
      </c>
      <c r="S17" s="2728"/>
      <c r="T17" s="2729" t="s">
        <v>639</v>
      </c>
      <c r="U17" s="2729"/>
      <c r="V17" s="2176"/>
      <c r="W17" s="2176"/>
      <c r="X17" s="2177"/>
      <c r="Y17" s="2177"/>
      <c r="Z17" s="2176"/>
      <c r="AA17" s="2176"/>
      <c r="AB17" s="2178"/>
      <c r="AC17" s="2176"/>
      <c r="AD17" s="2176"/>
      <c r="AE17" s="2178"/>
      <c r="AF17" s="2728" t="s">
        <v>386</v>
      </c>
      <c r="AG17" s="2728"/>
      <c r="AH17" s="2179"/>
      <c r="AI17" s="2179"/>
      <c r="AJ17" s="2180"/>
      <c r="AK17" s="2180"/>
      <c r="AL17" s="2180"/>
      <c r="AM17" s="2180"/>
      <c r="AN17" s="2181"/>
      <c r="AO17" s="2182"/>
    </row>
    <row r="18" spans="1:41" s="972" customFormat="1" ht="36.75" customHeight="1" x14ac:dyDescent="0.2">
      <c r="A18" s="2183">
        <v>11</v>
      </c>
      <c r="B18" s="1802" t="s">
        <v>640</v>
      </c>
      <c r="C18" s="2628"/>
      <c r="D18" s="210" t="s">
        <v>555</v>
      </c>
      <c r="E18" s="1801" t="s">
        <v>39</v>
      </c>
      <c r="F18" s="1801" t="s">
        <v>641</v>
      </c>
      <c r="G18" s="2225">
        <v>0.36799999999999999</v>
      </c>
      <c r="H18" s="2225">
        <v>0.4</v>
      </c>
      <c r="I18" s="853"/>
      <c r="J18" s="214"/>
      <c r="K18" s="215"/>
      <c r="L18" s="215"/>
      <c r="M18" s="215"/>
      <c r="N18" s="215">
        <v>0.9</v>
      </c>
      <c r="O18" s="215">
        <v>0.11</v>
      </c>
      <c r="P18" s="308">
        <f>0.314*I18+0.249*J18+0.195*K18+0.159*L18+0.0246*M18+(0.131*N18)/2+(0.012*O18)/2</f>
        <v>5.9610000000000003E-2</v>
      </c>
      <c r="Q18" s="308">
        <f>(0.4*N18)/2+(0.028*O18)/2</f>
        <v>0.18154000000000003</v>
      </c>
      <c r="R18" s="2184">
        <f>SQRT(POWER(P18,2)+POWER(Q18+G18,2))</f>
        <v>0.55276356943995508</v>
      </c>
      <c r="S18" s="2185">
        <f>SQRT(POWER(P18,2)+POWER(Q18+H18,2))</f>
        <v>0.58458713952669206</v>
      </c>
      <c r="T18" s="2186">
        <f>6300/(SQRT(3)*R18)</f>
        <v>6580.2214490724527</v>
      </c>
      <c r="U18" s="2186">
        <f>6300/(2*S18)</f>
        <v>5388.4182306001139</v>
      </c>
      <c r="V18" s="2187">
        <v>1</v>
      </c>
      <c r="W18" s="2188" t="s">
        <v>212</v>
      </c>
      <c r="X18" s="1660">
        <v>16</v>
      </c>
      <c r="Y18" s="211">
        <v>11</v>
      </c>
      <c r="Z18" s="2187">
        <v>35</v>
      </c>
      <c r="AA18" s="2187">
        <v>6.3</v>
      </c>
      <c r="AB18" s="2190">
        <v>10.14</v>
      </c>
      <c r="AC18" s="2187"/>
      <c r="AD18" s="2187">
        <v>3</v>
      </c>
      <c r="AE18" s="2189">
        <f t="shared" ref="AE18:AE24" si="17">AB18/100*Z18*Z18/X18</f>
        <v>7.7634375000000002</v>
      </c>
      <c r="AF18" s="2190">
        <f t="shared" ref="AF18:AF24" si="18">SQRT(P18^2+(G18+Q18+AE18)^2)</f>
        <v>8.3131912204403342</v>
      </c>
      <c r="AG18" s="2190">
        <f t="shared" ref="AG18:AG24" si="19">SQRT(P18^2+(H18+Q18+AE18)^2)</f>
        <v>8.345190400919936</v>
      </c>
      <c r="AH18" s="2191"/>
      <c r="AI18" s="2191"/>
      <c r="AJ18" s="2186"/>
      <c r="AK18" s="2186"/>
      <c r="AL18" s="2186"/>
      <c r="AM18" s="2186"/>
      <c r="AN18" s="2192"/>
      <c r="AO18" s="2193"/>
    </row>
    <row r="19" spans="1:41" s="972" customFormat="1" ht="36.75" customHeight="1" thickBot="1" x14ac:dyDescent="0.25">
      <c r="A19" s="2194">
        <v>11</v>
      </c>
      <c r="B19" s="2195" t="s">
        <v>642</v>
      </c>
      <c r="C19" s="2629"/>
      <c r="D19" s="240" t="s">
        <v>554</v>
      </c>
      <c r="E19" s="2196" t="s">
        <v>39</v>
      </c>
      <c r="F19" s="2196" t="s">
        <v>641</v>
      </c>
      <c r="G19" s="2226">
        <v>0.23400000000000001</v>
      </c>
      <c r="H19" s="2226">
        <v>0.254</v>
      </c>
      <c r="I19" s="2197"/>
      <c r="J19" s="243"/>
      <c r="K19" s="244"/>
      <c r="L19" s="244"/>
      <c r="M19" s="244"/>
      <c r="N19" s="244">
        <v>0.9</v>
      </c>
      <c r="O19" s="244">
        <v>0.11</v>
      </c>
      <c r="P19" s="638">
        <f>0.314*I19+0.249*J19+0.195*K19+0.159*L19+0.0246*M19+(0.131*N19)/2+(0.012*O19)/2</f>
        <v>5.9610000000000003E-2</v>
      </c>
      <c r="Q19" s="308">
        <f>(0.4*N19)/2+(0.028*O19)/2</f>
        <v>0.18154000000000003</v>
      </c>
      <c r="R19" s="2198">
        <f t="shared" ref="R19:R26" si="20">SQRT(POWER(P19,2)+POWER(Q19+G19,2))</f>
        <v>0.41979381093579737</v>
      </c>
      <c r="S19" s="2199">
        <f t="shared" ref="S19:S26" si="21">SQRT(POWER(P19,2)+POWER(Q19+H19,2))</f>
        <v>0.43960032267959043</v>
      </c>
      <c r="T19" s="564">
        <f>6300/(SQRT(3)*R19)</f>
        <v>8664.5076729130888</v>
      </c>
      <c r="U19" s="564">
        <f>6300/(2*S19)</f>
        <v>7165.5998357761146</v>
      </c>
      <c r="V19" s="565">
        <v>2</v>
      </c>
      <c r="W19" s="2200" t="s">
        <v>212</v>
      </c>
      <c r="X19" s="2164">
        <v>16</v>
      </c>
      <c r="Y19" s="241">
        <v>11</v>
      </c>
      <c r="Z19" s="565">
        <v>35</v>
      </c>
      <c r="AA19" s="565">
        <v>6.3</v>
      </c>
      <c r="AB19" s="2163">
        <v>10.23</v>
      </c>
      <c r="AC19" s="565"/>
      <c r="AD19" s="565">
        <v>3</v>
      </c>
      <c r="AE19" s="566">
        <f t="shared" si="17"/>
        <v>7.8323437500000006</v>
      </c>
      <c r="AF19" s="2163">
        <f t="shared" si="18"/>
        <v>8.2480991571157816</v>
      </c>
      <c r="AG19" s="2163">
        <f t="shared" si="19"/>
        <v>8.2680986360598094</v>
      </c>
      <c r="AH19" s="1340"/>
      <c r="AI19" s="1340"/>
      <c r="AJ19" s="564"/>
      <c r="AK19" s="564"/>
      <c r="AL19" s="564"/>
      <c r="AM19" s="564"/>
      <c r="AN19" s="2201"/>
      <c r="AO19" s="2202"/>
    </row>
    <row r="20" spans="1:41" s="972" customFormat="1" ht="36.75" customHeight="1" x14ac:dyDescent="0.2">
      <c r="A20" s="1350">
        <v>11</v>
      </c>
      <c r="B20" s="1331" t="s">
        <v>558</v>
      </c>
      <c r="C20" s="2631"/>
      <c r="D20" s="674"/>
      <c r="E20" s="548" t="s">
        <v>39</v>
      </c>
      <c r="F20" s="1351" t="s">
        <v>559</v>
      </c>
      <c r="G20" s="2162">
        <f>AF18</f>
        <v>8.3131912204403342</v>
      </c>
      <c r="H20" s="2203">
        <f>AG18</f>
        <v>8.345190400919936</v>
      </c>
      <c r="I20" s="234"/>
      <c r="J20" s="235">
        <v>17.18</v>
      </c>
      <c r="K20" s="236"/>
      <c r="L20" s="236"/>
      <c r="M20" s="688"/>
      <c r="N20" s="236"/>
      <c r="O20" s="1335"/>
      <c r="P20" s="567">
        <f>0.314*I20+0.249*J20+0.195*K20+0.159*L20+0.0246*M20+0.0655*N20+0.048*O20</f>
        <v>4.2778200000000002</v>
      </c>
      <c r="Q20" s="630">
        <f t="shared" ref="Q20:Q26" si="22">0.4*SUM(I20:N20)+0.125*O20</f>
        <v>6.8719999999999999</v>
      </c>
      <c r="R20" s="1353">
        <f t="shared" si="20"/>
        <v>15.776240881583236</v>
      </c>
      <c r="S20" s="1354">
        <f t="shared" si="21"/>
        <v>15.807043608791931</v>
      </c>
      <c r="T20" s="1343">
        <f>37000/(SQRT(3)*R20)</f>
        <v>1354.0589371295375</v>
      </c>
      <c r="U20" s="1362">
        <f>37000/(2*S20)</f>
        <v>1170.3643298428201</v>
      </c>
      <c r="V20" s="1355">
        <v>1</v>
      </c>
      <c r="W20" s="1352" t="s">
        <v>196</v>
      </c>
      <c r="X20" s="2227">
        <v>10</v>
      </c>
      <c r="Y20" s="232">
        <v>11</v>
      </c>
      <c r="Z20" s="1352">
        <v>35</v>
      </c>
      <c r="AA20" s="1352">
        <v>6.3</v>
      </c>
      <c r="AB20" s="2229">
        <v>8.16</v>
      </c>
      <c r="AC20" s="1352"/>
      <c r="AD20" s="1352">
        <v>3</v>
      </c>
      <c r="AE20" s="1342">
        <f t="shared" si="17"/>
        <v>9.9960000000000004</v>
      </c>
      <c r="AF20" s="1341">
        <f t="shared" si="18"/>
        <v>25.541968115882952</v>
      </c>
      <c r="AG20" s="1342">
        <f t="shared" si="19"/>
        <v>25.573515873759735</v>
      </c>
      <c r="AH20" s="2204">
        <f>SQRT(P20^2+(G20+Q20+AE20)^2)*POWER(6.3/35,2)</f>
        <v>0.82755976695460765</v>
      </c>
      <c r="AI20" s="2205">
        <f>SQRT(P20^2+(H20+Q20+AE20)^2)*POWER(6.3/35,2)</f>
        <v>0.82858191430981543</v>
      </c>
      <c r="AJ20" s="561"/>
      <c r="AK20" s="556"/>
      <c r="AL20" s="556"/>
      <c r="AM20" s="1078"/>
      <c r="AN20" s="1810">
        <f>6300/(1.73*AH20)</f>
        <v>4400.4296034241261</v>
      </c>
      <c r="AO20" s="1811">
        <f>6300/(2*AI20)</f>
        <v>3801.6760269548704</v>
      </c>
    </row>
    <row r="21" spans="1:41" s="972" customFormat="1" ht="36.75" customHeight="1" thickBot="1" x14ac:dyDescent="0.25">
      <c r="A21" s="562">
        <v>11</v>
      </c>
      <c r="B21" s="1330" t="s">
        <v>606</v>
      </c>
      <c r="C21" s="2632"/>
      <c r="D21" s="676"/>
      <c r="E21" s="563" t="s">
        <v>39</v>
      </c>
      <c r="F21" s="1357" t="s">
        <v>559</v>
      </c>
      <c r="G21" s="2163">
        <f>AF19</f>
        <v>8.2480991571157816</v>
      </c>
      <c r="H21" s="2206">
        <f>AG19</f>
        <v>8.2680986360598094</v>
      </c>
      <c r="I21" s="242"/>
      <c r="J21" s="243">
        <v>17.18</v>
      </c>
      <c r="K21" s="244"/>
      <c r="L21" s="244"/>
      <c r="M21" s="690"/>
      <c r="N21" s="244"/>
      <c r="O21" s="1338"/>
      <c r="P21" s="680">
        <f>0.314*I21+0.249*J21+0.195*K21+0.159*L21+0.0246*M21+0.0655*N21+0.048*O21</f>
        <v>4.2778200000000002</v>
      </c>
      <c r="Q21" s="1358">
        <f t="shared" si="22"/>
        <v>6.8719999999999999</v>
      </c>
      <c r="R21" s="1339">
        <f t="shared" si="20"/>
        <v>15.713597375312037</v>
      </c>
      <c r="S21" s="1361">
        <f t="shared" si="21"/>
        <v>15.732842421572146</v>
      </c>
      <c r="T21" s="1359">
        <f>37000/(SQRT(3)*R21)</f>
        <v>1359.4570008251821</v>
      </c>
      <c r="U21" s="1363">
        <f>37000/(2*S21)</f>
        <v>1175.8841475863037</v>
      </c>
      <c r="V21" s="1081">
        <v>2</v>
      </c>
      <c r="W21" s="565" t="s">
        <v>196</v>
      </c>
      <c r="X21" s="2228">
        <v>10</v>
      </c>
      <c r="Y21" s="241">
        <v>11</v>
      </c>
      <c r="Z21" s="565">
        <v>35</v>
      </c>
      <c r="AA21" s="565">
        <v>6.3</v>
      </c>
      <c r="AB21" s="2230">
        <v>8.16</v>
      </c>
      <c r="AC21" s="565"/>
      <c r="AD21" s="565">
        <v>3</v>
      </c>
      <c r="AE21" s="570">
        <f t="shared" si="17"/>
        <v>9.9960000000000004</v>
      </c>
      <c r="AF21" s="1364">
        <f t="shared" si="18"/>
        <v>25.477797801663947</v>
      </c>
      <c r="AG21" s="570">
        <f t="shared" si="19"/>
        <v>25.497513576702492</v>
      </c>
      <c r="AH21" s="2207">
        <f>SQRT(P21^2+(G21+Q21+AE21)^2)*POWER(6.3/35,2)</f>
        <v>0.82548064877391181</v>
      </c>
      <c r="AI21" s="2208">
        <f>SQRT(P21^2+(H21+Q21+AE21)^2)*POWER(6.3/35,2)</f>
        <v>0.82611943988516068</v>
      </c>
      <c r="AJ21" s="1365"/>
      <c r="AK21" s="1359"/>
      <c r="AL21" s="1359"/>
      <c r="AM21" s="1360"/>
      <c r="AN21" s="1348">
        <f>6300/(1.73*AH21)</f>
        <v>4411.5128592278088</v>
      </c>
      <c r="AO21" s="1349">
        <f>6300/(2*AI21)</f>
        <v>3813.0079597665481</v>
      </c>
    </row>
    <row r="22" spans="1:41" s="972" customFormat="1" ht="36.75" customHeight="1" thickBot="1" x14ac:dyDescent="0.25">
      <c r="A22" s="1366">
        <v>11</v>
      </c>
      <c r="B22" s="1367" t="s">
        <v>560</v>
      </c>
      <c r="C22" s="2209"/>
      <c r="D22" s="1368"/>
      <c r="E22" s="1369" t="s">
        <v>39</v>
      </c>
      <c r="F22" s="1370" t="s">
        <v>559</v>
      </c>
      <c r="G22" s="2163">
        <f>G20</f>
        <v>8.3131912204403342</v>
      </c>
      <c r="H22" s="2206">
        <f>H20</f>
        <v>8.345190400919936</v>
      </c>
      <c r="I22" s="1372"/>
      <c r="J22" s="1373">
        <v>20.68</v>
      </c>
      <c r="K22" s="1374"/>
      <c r="L22" s="1374"/>
      <c r="M22" s="1375"/>
      <c r="N22" s="1374"/>
      <c r="O22" s="1376"/>
      <c r="P22" s="1377">
        <f>0.314*I22+0.249*J22+0.195*K22+0.159*L22+0.0246*M22+0.0655*N22+0.048*O22</f>
        <v>5.1493200000000003</v>
      </c>
      <c r="Q22" s="1378">
        <f t="shared" si="22"/>
        <v>8.2720000000000002</v>
      </c>
      <c r="R22" s="1379">
        <f t="shared" si="20"/>
        <v>17.366175868076748</v>
      </c>
      <c r="S22" s="1380">
        <f t="shared" si="21"/>
        <v>17.396738581780944</v>
      </c>
      <c r="T22" s="1381">
        <f>37000/(SQRT(3)*R22)</f>
        <v>1230.0900395281974</v>
      </c>
      <c r="U22" s="1382">
        <f>37000/(2*S22)</f>
        <v>1063.4177155121745</v>
      </c>
      <c r="V22" s="1383">
        <v>2</v>
      </c>
      <c r="W22" s="1371" t="s">
        <v>196</v>
      </c>
      <c r="X22" s="1384">
        <v>6.3</v>
      </c>
      <c r="Y22" s="1384">
        <v>11</v>
      </c>
      <c r="Z22" s="1371">
        <v>35</v>
      </c>
      <c r="AA22" s="1371">
        <v>6.3</v>
      </c>
      <c r="AB22" s="1385">
        <v>8</v>
      </c>
      <c r="AC22" s="1371"/>
      <c r="AD22" s="1371">
        <v>3</v>
      </c>
      <c r="AE22" s="1386">
        <f t="shared" si="17"/>
        <v>15.555555555555559</v>
      </c>
      <c r="AF22" s="1387">
        <f t="shared" si="18"/>
        <v>32.550623646576888</v>
      </c>
      <c r="AG22" s="1386">
        <f t="shared" si="19"/>
        <v>32.582220287179794</v>
      </c>
      <c r="AH22" s="2207">
        <f>SQRT(P22^2+(G22+Q22+AE22)^2)*POWER(6.3/35,2)</f>
        <v>1.0546402061490912</v>
      </c>
      <c r="AI22" s="2208">
        <f>SQRT(P22^2+(H22+Q22+AE22)^2)*POWER(6.3/35,2)</f>
        <v>1.0556639373046253</v>
      </c>
      <c r="AJ22" s="1388"/>
      <c r="AK22" s="1381"/>
      <c r="AL22" s="1381"/>
      <c r="AM22" s="1389"/>
      <c r="AN22" s="1390">
        <f>6300/(1.73*AH22)</f>
        <v>3452.9486699609311</v>
      </c>
      <c r="AO22" s="1391">
        <f>6300/(2*AI22)</f>
        <v>2983.9041466574486</v>
      </c>
    </row>
    <row r="23" spans="1:41" s="972" customFormat="1" ht="36.75" customHeight="1" x14ac:dyDescent="0.2">
      <c r="A23" s="1350">
        <v>11</v>
      </c>
      <c r="B23" s="1331" t="s">
        <v>607</v>
      </c>
      <c r="C23" s="2631"/>
      <c r="D23" s="674"/>
      <c r="E23" s="548" t="s">
        <v>39</v>
      </c>
      <c r="F23" s="1351" t="s">
        <v>561</v>
      </c>
      <c r="G23" s="2162">
        <f>G20</f>
        <v>8.3131912204403342</v>
      </c>
      <c r="H23" s="2203">
        <f>H20</f>
        <v>8.345190400919936</v>
      </c>
      <c r="I23" s="234"/>
      <c r="J23" s="235">
        <v>20.68</v>
      </c>
      <c r="K23" s="236"/>
      <c r="L23" s="236"/>
      <c r="M23" s="688"/>
      <c r="N23" s="236"/>
      <c r="O23" s="1335"/>
      <c r="P23" s="567">
        <f>0.314*I23+0.249*J23+0.195*K23+0.159*L23+0.0246*M23+0.0655*N23+0.048*O23</f>
        <v>5.1493200000000003</v>
      </c>
      <c r="Q23" s="630">
        <f t="shared" si="22"/>
        <v>8.2720000000000002</v>
      </c>
      <c r="R23" s="1353">
        <f t="shared" si="20"/>
        <v>17.366175868076748</v>
      </c>
      <c r="S23" s="1354">
        <f t="shared" si="21"/>
        <v>17.396738581780944</v>
      </c>
      <c r="T23" s="1343">
        <f>37000/(SQRT(3)*R23)</f>
        <v>1230.0900395281974</v>
      </c>
      <c r="U23" s="1362">
        <f>37000/(2*S23)</f>
        <v>1063.4177155121745</v>
      </c>
      <c r="V23" s="1355">
        <v>1</v>
      </c>
      <c r="W23" s="1352" t="s">
        <v>196</v>
      </c>
      <c r="X23" s="232">
        <v>1.6</v>
      </c>
      <c r="Y23" s="232">
        <v>11</v>
      </c>
      <c r="Z23" s="1352">
        <v>35</v>
      </c>
      <c r="AA23" s="1352">
        <v>6.3</v>
      </c>
      <c r="AB23" s="1356">
        <v>7</v>
      </c>
      <c r="AC23" s="1352"/>
      <c r="AD23" s="1352">
        <v>3</v>
      </c>
      <c r="AE23" s="1342">
        <f t="shared" si="17"/>
        <v>53.59375</v>
      </c>
      <c r="AF23" s="1341">
        <f t="shared" si="18"/>
        <v>70.367601119296509</v>
      </c>
      <c r="AG23" s="1342">
        <f t="shared" si="19"/>
        <v>70.399514546933716</v>
      </c>
      <c r="AH23" s="2210">
        <f>SQRT(P23^2+(G23+Q23+AE23)^2)*POWER(0.4/35,2)</f>
        <v>9.1908703502754617E-3</v>
      </c>
      <c r="AI23" s="2211">
        <f>SQRT(P23^2+(H23+Q23+AE23)^2)*POWER(0.4/35,2)</f>
        <v>9.1950386347015457E-3</v>
      </c>
      <c r="AJ23" s="2212"/>
      <c r="AK23" s="1343"/>
      <c r="AL23" s="1343"/>
      <c r="AM23" s="1362"/>
      <c r="AN23" s="1346">
        <f>400/(1.73*AH23)</f>
        <v>25156.907237347787</v>
      </c>
      <c r="AO23" s="1347">
        <f>400/(2*AI23)</f>
        <v>21750.860213377629</v>
      </c>
    </row>
    <row r="24" spans="1:41" s="972" customFormat="1" ht="36.75" customHeight="1" x14ac:dyDescent="0.2">
      <c r="A24" s="1782">
        <v>11</v>
      </c>
      <c r="B24" s="1783" t="s">
        <v>607</v>
      </c>
      <c r="C24" s="2633"/>
      <c r="D24" s="646"/>
      <c r="E24" s="1784" t="s">
        <v>39</v>
      </c>
      <c r="F24" s="1785" t="s">
        <v>562</v>
      </c>
      <c r="G24" s="2213">
        <f>G21</f>
        <v>8.2480991571157816</v>
      </c>
      <c r="H24" s="2214">
        <f>H21</f>
        <v>8.2680986360598094</v>
      </c>
      <c r="I24" s="225"/>
      <c r="J24" s="226">
        <v>20.68</v>
      </c>
      <c r="K24" s="926"/>
      <c r="L24" s="926"/>
      <c r="M24" s="945"/>
      <c r="N24" s="926"/>
      <c r="O24" s="1788"/>
      <c r="P24" s="1789">
        <f>0.314*I24+0.249*J24+0.195*K24+0.159*L24+0.0246*M24+0.0655*N24+0.048*O24</f>
        <v>5.1493200000000003</v>
      </c>
      <c r="Q24" s="1790">
        <f t="shared" si="22"/>
        <v>8.2720000000000002</v>
      </c>
      <c r="R24" s="1791">
        <f t="shared" si="20"/>
        <v>17.304021862657752</v>
      </c>
      <c r="S24" s="1792">
        <f t="shared" si="21"/>
        <v>17.323116329142039</v>
      </c>
      <c r="T24" s="1793">
        <f>37000/(SQRT(3)*R24)</f>
        <v>1234.508377853791</v>
      </c>
      <c r="U24" s="1794">
        <f>37000/(2*S24)</f>
        <v>1067.9371799217288</v>
      </c>
      <c r="V24" s="1795">
        <v>2</v>
      </c>
      <c r="W24" s="1786" t="s">
        <v>196</v>
      </c>
      <c r="X24" s="223">
        <v>1.6</v>
      </c>
      <c r="Y24" s="223">
        <v>11</v>
      </c>
      <c r="Z24" s="1786">
        <v>35</v>
      </c>
      <c r="AA24" s="1786">
        <v>6.3</v>
      </c>
      <c r="AB24" s="1796">
        <v>7</v>
      </c>
      <c r="AC24" s="1786"/>
      <c r="AD24" s="1786">
        <v>3</v>
      </c>
      <c r="AE24" s="1797">
        <f t="shared" si="17"/>
        <v>53.59375</v>
      </c>
      <c r="AF24" s="1798">
        <f t="shared" si="18"/>
        <v>70.302683733191756</v>
      </c>
      <c r="AG24" s="1797">
        <f t="shared" si="19"/>
        <v>70.322629508346367</v>
      </c>
      <c r="AH24" s="2215">
        <f>SQRT(P24^2+(G24+Q24+AE24)^2)*POWER(0.4/35,2)</f>
        <v>9.1823913447434125E-3</v>
      </c>
      <c r="AI24" s="2216">
        <f>SQRT(P24^2+(H24+Q24+AE24)^2)*POWER(0.4/35,2)</f>
        <v>9.1849965072125853E-3</v>
      </c>
      <c r="AJ24" s="2217"/>
      <c r="AK24" s="1793"/>
      <c r="AL24" s="1793"/>
      <c r="AM24" s="1794"/>
      <c r="AN24" s="1799">
        <f>400/(1.73*AH24)</f>
        <v>25180.137085393504</v>
      </c>
      <c r="AO24" s="1800">
        <f>400/(2*AI24)</f>
        <v>21774.640833336034</v>
      </c>
    </row>
    <row r="25" spans="1:41" ht="27.75" customHeight="1" x14ac:dyDescent="0.2">
      <c r="A25" s="2218">
        <v>11</v>
      </c>
      <c r="B25" s="2219" t="s">
        <v>604</v>
      </c>
      <c r="C25" s="2721" t="s">
        <v>341</v>
      </c>
      <c r="D25" s="675">
        <v>1</v>
      </c>
      <c r="E25" s="605" t="s">
        <v>39</v>
      </c>
      <c r="F25" s="1801" t="s">
        <v>561</v>
      </c>
      <c r="G25" s="1432">
        <f>G20</f>
        <v>8.3131912204403342</v>
      </c>
      <c r="H25" s="2220">
        <f>H20</f>
        <v>8.345190400919936</v>
      </c>
      <c r="I25" s="303"/>
      <c r="J25" s="304">
        <v>28.59</v>
      </c>
      <c r="K25" s="211"/>
      <c r="L25" s="211">
        <v>1.33</v>
      </c>
      <c r="M25" s="211"/>
      <c r="N25" s="211"/>
      <c r="O25" s="302"/>
      <c r="P25" s="568">
        <f>0.314*I25+0.246*J25+0.195*K25+0.17*L25+0.0246*M25+0.0655*N25+0.048*O25</f>
        <v>7.2592399999999992</v>
      </c>
      <c r="Q25" s="308">
        <f t="shared" si="22"/>
        <v>11.968000000000002</v>
      </c>
      <c r="R25" s="218">
        <f t="shared" si="20"/>
        <v>21.541199657810754</v>
      </c>
      <c r="S25" s="219">
        <f t="shared" si="21"/>
        <v>21.571329806982828</v>
      </c>
      <c r="T25" s="220">
        <f>37000/1.73/SQRT(POWER((G25+Q25),2)+P25*P25)</f>
        <v>992.85478881113636</v>
      </c>
      <c r="U25" s="262">
        <f>37000/2/SQRT(P25*P25+POWER((H25+Q25),2))</f>
        <v>857.6198206385676</v>
      </c>
      <c r="V25" s="1031">
        <v>1</v>
      </c>
      <c r="W25" s="211" t="s">
        <v>50</v>
      </c>
      <c r="X25" s="211">
        <v>6.3</v>
      </c>
      <c r="Y25" s="211">
        <v>11</v>
      </c>
      <c r="Z25" s="211">
        <v>35</v>
      </c>
      <c r="AA25" s="211">
        <v>6.3</v>
      </c>
      <c r="AB25" s="1665">
        <v>7.7</v>
      </c>
      <c r="AC25" s="211" t="s">
        <v>63</v>
      </c>
      <c r="AD25" s="211">
        <v>6</v>
      </c>
      <c r="AE25" s="307">
        <f>AB25/100*Z25*Z25/X25</f>
        <v>14.972222222222221</v>
      </c>
      <c r="AF25" s="305">
        <f>SQRT(POWER(P25,2)+POWER(Q25+AE25+G25,2))</f>
        <v>35.993051061793878</v>
      </c>
      <c r="AG25" s="307">
        <f>SQRT(POWER(P25,2)+POWER(Q25+AE25+H25,2))</f>
        <v>36.02439325461291</v>
      </c>
      <c r="AH25" s="1303">
        <f>SQRT(POWER((AE25+Q25+G25),2)+POWER(P25,2))*POWER(6.3/Z25,2)</f>
        <v>1.1661748544021215</v>
      </c>
      <c r="AI25" s="1304">
        <f>SQRT(POWER((H25+Q25+AE25),2)+POWER(P25,2))*POWER(6.3/Z25,2)</f>
        <v>1.167190341449458</v>
      </c>
      <c r="AJ25" s="320">
        <f>37000/1.73/SQRT(POWER((G25+Q25+AE25),2)+P25*P25)</f>
        <v>594.20589825174693</v>
      </c>
      <c r="AK25" s="220">
        <f>37000/2/SQRT(POWER((H25+Q25+AE25),2)+P25*P25)</f>
        <v>513.54091848947621</v>
      </c>
      <c r="AL25" s="220">
        <f>AK25/1.2</f>
        <v>427.95076540789688</v>
      </c>
      <c r="AM25" s="262">
        <f>AK25/1.5</f>
        <v>342.36061232631749</v>
      </c>
      <c r="AN25" s="320">
        <f>SUM(6300/(1.732*AH25))</f>
        <v>3119.0977761083782</v>
      </c>
      <c r="AO25" s="262">
        <f>SUM(6300/(2*AI25))</f>
        <v>2698.7886106804303</v>
      </c>
    </row>
    <row r="26" spans="1:41" ht="27.75" customHeight="1" thickBot="1" x14ac:dyDescent="0.25">
      <c r="A26" s="562">
        <v>11</v>
      </c>
      <c r="B26" s="2221" t="s">
        <v>605</v>
      </c>
      <c r="C26" s="2722"/>
      <c r="D26" s="676">
        <v>2</v>
      </c>
      <c r="E26" s="607" t="s">
        <v>39</v>
      </c>
      <c r="F26" s="2196" t="s">
        <v>562</v>
      </c>
      <c r="G26" s="2222">
        <f>G21</f>
        <v>8.2480991571157816</v>
      </c>
      <c r="H26" s="2223">
        <f>H21</f>
        <v>8.2680986360598094</v>
      </c>
      <c r="I26" s="314"/>
      <c r="J26" s="315">
        <v>28.59</v>
      </c>
      <c r="K26" s="241"/>
      <c r="L26" s="241">
        <v>1.33</v>
      </c>
      <c r="M26" s="241"/>
      <c r="N26" s="241"/>
      <c r="O26" s="313"/>
      <c r="P26" s="859">
        <f>0.314*I26+0.246*J26+0.195*K26+0.17*L26+0.0246*M26+0.0655*N26+0.048*O26</f>
        <v>7.2592399999999992</v>
      </c>
      <c r="Q26" s="638">
        <f t="shared" si="22"/>
        <v>11.968000000000002</v>
      </c>
      <c r="R26" s="246">
        <f t="shared" si="20"/>
        <v>21.479926222125101</v>
      </c>
      <c r="S26" s="247">
        <f t="shared" si="21"/>
        <v>21.498750042408087</v>
      </c>
      <c r="T26" s="248">
        <f>37000/1.73/SQRT(POWER((G26+Q26),2)+P26*P26)</f>
        <v>995.68699705143979</v>
      </c>
      <c r="U26" s="268">
        <f>37000/2/SQRT(P26*P26+POWER((H26+Q26),2))</f>
        <v>860.51514453199366</v>
      </c>
      <c r="V26" s="1032">
        <v>2</v>
      </c>
      <c r="W26" s="241" t="s">
        <v>50</v>
      </c>
      <c r="X26" s="241">
        <v>6.3</v>
      </c>
      <c r="Y26" s="241">
        <v>11</v>
      </c>
      <c r="Z26" s="241">
        <v>35</v>
      </c>
      <c r="AA26" s="241">
        <v>6.3</v>
      </c>
      <c r="AB26" s="2224">
        <v>7.69</v>
      </c>
      <c r="AC26" s="241" t="s">
        <v>63</v>
      </c>
      <c r="AD26" s="241">
        <v>6</v>
      </c>
      <c r="AE26" s="317">
        <f>AB26/100*Z26*Z26/X26</f>
        <v>14.952777777777781</v>
      </c>
      <c r="AF26" s="245">
        <f>SQRT(POWER(P26,2)+POWER(Q26+AE26+G26,2))</f>
        <v>35.910255780755563</v>
      </c>
      <c r="AG26" s="317">
        <f>SQRT(POWER(P26,2)+POWER(Q26+AE26+H26,2))</f>
        <v>35.929842591443887</v>
      </c>
      <c r="AH26" s="1712">
        <f>SQRT(POWER((AE26+Q26+G26),2)+POWER(P26,2))*POWER(6.3/Z26,2)</f>
        <v>1.1634922872964801</v>
      </c>
      <c r="AI26" s="1713">
        <f>SQRT(POWER((H26+Q26+AE26),2)+POWER(P26,2))*POWER(6.3/Z26,2)</f>
        <v>1.1641268999627818</v>
      </c>
      <c r="AJ26" s="321">
        <f>37000/1.73/SQRT(POWER((G26+Q26+AE26),2)+P26*P26)</f>
        <v>595.57590922133556</v>
      </c>
      <c r="AK26" s="248">
        <f>37000/2/SQRT(POWER((H26+Q26+AE26),2)+P26*P26)</f>
        <v>514.89231974552195</v>
      </c>
      <c r="AL26" s="248">
        <f>AK26/1.2</f>
        <v>429.07693312126833</v>
      </c>
      <c r="AM26" s="268">
        <f>AK26/1.5</f>
        <v>343.26154649701465</v>
      </c>
      <c r="AN26" s="321">
        <f>SUM(6300/(1.732*AH26))</f>
        <v>3126.2892196485063</v>
      </c>
      <c r="AO26" s="268">
        <f>SUM(6300/(2*AI26))</f>
        <v>2705.8905692332237</v>
      </c>
    </row>
    <row r="27" spans="1:41" s="972" customFormat="1" ht="12.75" customHeight="1" x14ac:dyDescent="0.2">
      <c r="A27" s="1321"/>
      <c r="B27" s="1322"/>
      <c r="C27" s="1323"/>
      <c r="D27" s="187"/>
      <c r="E27" s="1323"/>
      <c r="F27" s="1323"/>
      <c r="G27" s="1324"/>
      <c r="H27" s="1324"/>
      <c r="I27" s="1129"/>
      <c r="J27" s="1325"/>
      <c r="K27" s="942"/>
      <c r="L27" s="942"/>
      <c r="M27" s="942"/>
      <c r="N27" s="942"/>
      <c r="O27" s="942"/>
      <c r="P27" s="503"/>
      <c r="Q27" s="503"/>
      <c r="R27" s="1326"/>
      <c r="S27" s="1327"/>
      <c r="T27" s="1328"/>
      <c r="U27" s="1328"/>
      <c r="V27" s="1324"/>
      <c r="W27" s="1324"/>
      <c r="X27" s="186"/>
      <c r="Y27" s="186"/>
      <c r="Z27" s="1324"/>
      <c r="AA27" s="1324"/>
      <c r="AB27" s="1327"/>
      <c r="AC27" s="1324"/>
      <c r="AD27" s="1324"/>
      <c r="AE27" s="1327"/>
      <c r="AF27" s="1327"/>
      <c r="AG27" s="1327"/>
      <c r="AH27" s="1329"/>
      <c r="AI27" s="1329"/>
      <c r="AJ27" s="1328"/>
      <c r="AK27" s="1328"/>
      <c r="AL27" s="1328"/>
      <c r="AM27" s="1328"/>
      <c r="AN27" s="190"/>
      <c r="AO27" s="190"/>
    </row>
    <row r="28" spans="1:41" s="972" customFormat="1" ht="12.75" customHeight="1" x14ac:dyDescent="0.2">
      <c r="A28" s="1321"/>
      <c r="B28" s="1322"/>
      <c r="C28" s="1323"/>
      <c r="D28" s="187"/>
      <c r="E28" s="1323"/>
      <c r="F28" s="1323"/>
      <c r="G28" s="1324"/>
      <c r="H28" s="1324"/>
      <c r="I28" s="1129"/>
      <c r="J28" s="1325"/>
      <c r="K28" s="942"/>
      <c r="L28" s="942"/>
      <c r="M28" s="942"/>
      <c r="N28" s="942"/>
      <c r="O28" s="942"/>
      <c r="P28" s="503"/>
      <c r="Q28" s="503"/>
      <c r="R28" s="1326"/>
      <c r="S28" s="1327"/>
      <c r="T28" s="1328"/>
      <c r="U28" s="1328"/>
      <c r="V28" s="1324"/>
      <c r="W28" s="1324"/>
      <c r="X28" s="186"/>
      <c r="Y28" s="186"/>
      <c r="Z28" s="1324"/>
      <c r="AA28" s="1324"/>
      <c r="AB28" s="1327"/>
      <c r="AC28" s="1324"/>
      <c r="AD28" s="1324"/>
      <c r="AE28" s="1327"/>
      <c r="AF28" s="1327"/>
      <c r="AG28" s="1327"/>
      <c r="AH28" s="1329"/>
      <c r="AI28" s="1329"/>
      <c r="AJ28" s="1328"/>
      <c r="AK28" s="1328"/>
      <c r="AL28" s="1328"/>
      <c r="AM28" s="1328"/>
      <c r="AN28" s="190"/>
      <c r="AO28" s="190"/>
    </row>
    <row r="29" spans="1:41" s="972" customFormat="1" ht="12.75" customHeight="1" x14ac:dyDescent="0.2">
      <c r="A29" s="1321"/>
      <c r="B29" s="1322"/>
      <c r="C29" s="1323"/>
      <c r="D29" s="187"/>
      <c r="E29" s="1323"/>
      <c r="F29" s="1323"/>
      <c r="G29" s="1324"/>
      <c r="H29" s="1324"/>
      <c r="I29" s="1129"/>
      <c r="J29" s="1325"/>
      <c r="K29" s="942"/>
      <c r="L29" s="942"/>
      <c r="M29" s="942"/>
      <c r="N29" s="942"/>
      <c r="O29" s="942"/>
      <c r="P29" s="503"/>
      <c r="Q29" s="503"/>
      <c r="R29" s="1326"/>
      <c r="S29" s="1327"/>
      <c r="T29" s="1328"/>
      <c r="U29" s="1328"/>
      <c r="V29" s="1324"/>
      <c r="W29" s="1324"/>
      <c r="X29" s="186"/>
      <c r="Y29" s="186"/>
      <c r="Z29" s="1324"/>
      <c r="AA29" s="1324"/>
      <c r="AB29" s="1327"/>
      <c r="AC29" s="1324"/>
      <c r="AD29" s="1324"/>
      <c r="AE29" s="1327"/>
      <c r="AF29" s="1327"/>
      <c r="AG29" s="1327"/>
      <c r="AH29" s="1329"/>
      <c r="AI29" s="1329"/>
      <c r="AJ29" s="1328"/>
      <c r="AK29" s="1328"/>
      <c r="AL29" s="1328"/>
      <c r="AM29" s="1328"/>
      <c r="AN29" s="190"/>
      <c r="AO29" s="190"/>
    </row>
    <row r="30" spans="1:41" s="972" customFormat="1" ht="12.75" customHeight="1" x14ac:dyDescent="0.2">
      <c r="A30" s="1321"/>
      <c r="B30" s="1322"/>
      <c r="C30" s="1323"/>
      <c r="D30" s="187"/>
      <c r="E30" s="1323"/>
      <c r="F30" s="1323"/>
      <c r="G30" s="1324"/>
      <c r="H30" s="1324"/>
      <c r="I30" s="1129"/>
      <c r="J30" s="1325"/>
      <c r="K30" s="942"/>
      <c r="L30" s="942"/>
      <c r="M30" s="942"/>
      <c r="N30" s="942"/>
      <c r="O30" s="942"/>
      <c r="P30" s="503"/>
      <c r="Q30" s="503"/>
      <c r="R30" s="1326"/>
      <c r="S30" s="1327"/>
      <c r="T30" s="1328"/>
      <c r="U30" s="1328"/>
      <c r="V30" s="1324"/>
      <c r="W30" s="1324"/>
      <c r="X30" s="186"/>
      <c r="Y30" s="186"/>
      <c r="Z30" s="1324"/>
      <c r="AA30" s="1324"/>
      <c r="AB30" s="1327"/>
      <c r="AC30" s="1324"/>
      <c r="AD30" s="1324"/>
      <c r="AE30" s="1327"/>
      <c r="AF30" s="1327"/>
      <c r="AG30" s="1327"/>
      <c r="AH30" s="1329"/>
      <c r="AI30" s="1329"/>
      <c r="AJ30" s="1328"/>
      <c r="AK30" s="1328"/>
      <c r="AL30" s="1328"/>
      <c r="AM30" s="1328"/>
      <c r="AN30" s="190"/>
      <c r="AO30" s="190"/>
    </row>
    <row r="31" spans="1:41" s="972" customFormat="1" ht="12.75" customHeight="1" x14ac:dyDescent="0.2">
      <c r="A31" s="1321"/>
      <c r="B31" s="1322"/>
      <c r="C31" s="1323"/>
      <c r="D31" s="187"/>
      <c r="E31" s="1323"/>
      <c r="F31" s="1323"/>
      <c r="G31" s="1324"/>
      <c r="H31" s="1324"/>
      <c r="I31" s="1129"/>
      <c r="J31" s="1325"/>
      <c r="K31" s="942"/>
      <c r="L31" s="942"/>
      <c r="M31" s="942"/>
      <c r="N31" s="942"/>
      <c r="O31" s="942"/>
      <c r="P31" s="503"/>
      <c r="Q31" s="503"/>
      <c r="R31" s="1326"/>
      <c r="S31" s="1327"/>
      <c r="T31" s="1328"/>
      <c r="U31" s="1328"/>
      <c r="V31" s="1324"/>
      <c r="W31" s="1324"/>
      <c r="X31" s="186"/>
      <c r="Y31" s="186"/>
      <c r="Z31" s="1324"/>
      <c r="AA31" s="1324"/>
      <c r="AB31" s="1327"/>
      <c r="AC31" s="1324"/>
      <c r="AD31" s="1324"/>
      <c r="AE31" s="1327"/>
      <c r="AF31" s="1327"/>
      <c r="AG31" s="1327"/>
      <c r="AH31" s="1329"/>
      <c r="AI31" s="1329"/>
      <c r="AJ31" s="1328"/>
      <c r="AK31" s="1328"/>
      <c r="AL31" s="1328"/>
      <c r="AM31" s="1328"/>
      <c r="AN31" s="190"/>
      <c r="AO31" s="190"/>
    </row>
    <row r="32" spans="1:41" s="972" customFormat="1" ht="12.75" customHeight="1" x14ac:dyDescent="0.2">
      <c r="A32" s="1321"/>
      <c r="B32" s="1322"/>
      <c r="C32" s="1323"/>
      <c r="D32" s="187"/>
      <c r="E32" s="1323"/>
      <c r="F32" s="1323"/>
      <c r="G32" s="1324"/>
      <c r="H32" s="1324"/>
      <c r="I32" s="1129"/>
      <c r="J32" s="1325"/>
      <c r="K32" s="942"/>
      <c r="L32" s="942"/>
      <c r="M32" s="942"/>
      <c r="N32" s="942"/>
      <c r="O32" s="942"/>
      <c r="P32" s="503"/>
      <c r="Q32" s="503"/>
      <c r="R32" s="1326"/>
      <c r="S32" s="1327"/>
      <c r="T32" s="1328"/>
      <c r="U32" s="1328"/>
      <c r="V32" s="1324"/>
      <c r="W32" s="1324"/>
      <c r="X32" s="186"/>
      <c r="Y32" s="186"/>
      <c r="Z32" s="1324"/>
      <c r="AA32" s="1324"/>
      <c r="AB32" s="1327"/>
      <c r="AC32" s="1324"/>
      <c r="AD32" s="1324"/>
      <c r="AE32" s="1327"/>
      <c r="AF32" s="1327"/>
      <c r="AG32" s="1327"/>
      <c r="AH32" s="1329"/>
      <c r="AI32" s="1329"/>
      <c r="AJ32" s="1328"/>
      <c r="AK32" s="1328"/>
      <c r="AL32" s="1328"/>
      <c r="AM32" s="1328"/>
      <c r="AN32" s="190"/>
      <c r="AO32" s="190"/>
    </row>
    <row r="33" spans="1:41" s="972" customFormat="1" ht="12.75" customHeight="1" x14ac:dyDescent="0.2">
      <c r="A33" s="1321"/>
      <c r="B33" s="1322"/>
      <c r="C33" s="1323"/>
      <c r="D33" s="187"/>
      <c r="E33" s="1323"/>
      <c r="F33" s="1323"/>
      <c r="G33" s="1324"/>
      <c r="H33" s="1324"/>
      <c r="I33" s="1129"/>
      <c r="J33" s="1325"/>
      <c r="K33" s="942"/>
      <c r="L33" s="942"/>
      <c r="M33" s="942"/>
      <c r="N33" s="942"/>
      <c r="O33" s="942"/>
      <c r="P33" s="503"/>
      <c r="Q33" s="503"/>
      <c r="R33" s="1326"/>
      <c r="S33" s="1327"/>
      <c r="T33" s="1328"/>
      <c r="U33" s="1328"/>
      <c r="V33" s="1324"/>
      <c r="W33" s="1324"/>
      <c r="X33" s="186"/>
      <c r="Y33" s="186"/>
      <c r="Z33" s="1324"/>
      <c r="AA33" s="1324"/>
      <c r="AB33" s="1327"/>
      <c r="AC33" s="1324"/>
      <c r="AD33" s="1324"/>
      <c r="AE33" s="1327"/>
      <c r="AF33" s="1327"/>
      <c r="AG33" s="1327"/>
      <c r="AH33" s="1329"/>
      <c r="AI33" s="1329"/>
      <c r="AJ33" s="1328"/>
      <c r="AK33" s="1328"/>
      <c r="AL33" s="1328"/>
      <c r="AM33" s="1328"/>
      <c r="AN33" s="190"/>
      <c r="AO33" s="190"/>
    </row>
    <row r="34" spans="1:41" s="972" customFormat="1" ht="12.75" customHeight="1" x14ac:dyDescent="0.2">
      <c r="A34" s="1321"/>
      <c r="B34" s="1322"/>
      <c r="C34" s="1323"/>
      <c r="D34" s="187"/>
      <c r="E34" s="1323"/>
      <c r="F34" s="1323"/>
      <c r="G34" s="1324"/>
      <c r="H34" s="1324"/>
      <c r="I34" s="1129"/>
      <c r="J34" s="1325"/>
      <c r="K34" s="942"/>
      <c r="L34" s="942"/>
      <c r="M34" s="942"/>
      <c r="N34" s="942"/>
      <c r="O34" s="942"/>
      <c r="P34" s="503"/>
      <c r="Q34" s="503"/>
      <c r="R34" s="1326"/>
      <c r="S34" s="1327"/>
      <c r="T34" s="1328"/>
      <c r="U34" s="1328"/>
      <c r="V34" s="1324"/>
      <c r="W34" s="1324"/>
      <c r="X34" s="186"/>
      <c r="Y34" s="186"/>
      <c r="Z34" s="1324"/>
      <c r="AA34" s="1324"/>
      <c r="AB34" s="1327"/>
      <c r="AC34" s="1324"/>
      <c r="AD34" s="1324"/>
      <c r="AE34" s="1327"/>
      <c r="AF34" s="1327"/>
      <c r="AG34" s="1327"/>
      <c r="AH34" s="1329"/>
      <c r="AI34" s="1329"/>
      <c r="AJ34" s="1328"/>
      <c r="AK34" s="1328"/>
      <c r="AL34" s="1328"/>
      <c r="AM34" s="1328"/>
      <c r="AN34" s="190"/>
      <c r="AO34" s="190"/>
    </row>
    <row r="35" spans="1:41" s="972" customFormat="1" ht="12.75" customHeight="1" x14ac:dyDescent="0.2">
      <c r="A35" s="1321"/>
      <c r="B35" s="1322"/>
      <c r="C35" s="1323"/>
      <c r="D35" s="187"/>
      <c r="E35" s="1323"/>
      <c r="F35" s="1323"/>
      <c r="G35" s="1324"/>
      <c r="H35" s="1324"/>
      <c r="I35" s="1129"/>
      <c r="J35" s="1325"/>
      <c r="K35" s="942"/>
      <c r="L35" s="942"/>
      <c r="M35" s="942"/>
      <c r="N35" s="942"/>
      <c r="O35" s="942"/>
      <c r="P35" s="503"/>
      <c r="Q35" s="503"/>
      <c r="R35" s="1326"/>
      <c r="S35" s="1327"/>
      <c r="T35" s="1328"/>
      <c r="U35" s="1328"/>
      <c r="V35" s="1324"/>
      <c r="W35" s="1324"/>
      <c r="X35" s="186"/>
      <c r="Y35" s="186"/>
      <c r="Z35" s="1324"/>
      <c r="AA35" s="1324"/>
      <c r="AB35" s="1327"/>
      <c r="AC35" s="1324"/>
      <c r="AD35" s="1324"/>
      <c r="AE35" s="1327"/>
      <c r="AF35" s="1327"/>
      <c r="AG35" s="1327"/>
      <c r="AH35" s="1329"/>
      <c r="AI35" s="1329"/>
      <c r="AJ35" s="1328"/>
      <c r="AK35" s="1328"/>
      <c r="AL35" s="1328"/>
      <c r="AM35" s="1328"/>
      <c r="AN35" s="190"/>
      <c r="AO35" s="190"/>
    </row>
    <row r="36" spans="1:41" s="972" customFormat="1" ht="12.75" customHeight="1" x14ac:dyDescent="0.2">
      <c r="A36" s="1321"/>
      <c r="B36" s="1322"/>
      <c r="C36" s="1323"/>
      <c r="D36" s="187"/>
      <c r="E36" s="1323"/>
      <c r="F36" s="1323"/>
      <c r="G36" s="1324"/>
      <c r="H36" s="1324"/>
      <c r="I36" s="1129"/>
      <c r="J36" s="1325"/>
      <c r="K36" s="942"/>
      <c r="L36" s="942"/>
      <c r="M36" s="942"/>
      <c r="N36" s="942"/>
      <c r="O36" s="942"/>
      <c r="P36" s="503"/>
      <c r="Q36" s="503"/>
      <c r="R36" s="1326"/>
      <c r="S36" s="1327"/>
      <c r="T36" s="1328"/>
      <c r="U36" s="1328"/>
      <c r="V36" s="1324"/>
      <c r="W36" s="1324"/>
      <c r="X36" s="186"/>
      <c r="Y36" s="186"/>
      <c r="Z36" s="1324"/>
      <c r="AA36" s="1324"/>
      <c r="AB36" s="1327"/>
      <c r="AC36" s="1324"/>
      <c r="AD36" s="1324"/>
      <c r="AE36" s="1327"/>
      <c r="AF36" s="1327"/>
      <c r="AG36" s="1327"/>
      <c r="AH36" s="1329"/>
      <c r="AI36" s="1329"/>
      <c r="AJ36" s="1328"/>
      <c r="AK36" s="1328"/>
      <c r="AL36" s="1328"/>
      <c r="AM36" s="1328"/>
      <c r="AN36" s="190"/>
      <c r="AO36" s="190"/>
    </row>
    <row r="37" spans="1:41" s="972" customFormat="1" ht="12.75" customHeight="1" x14ac:dyDescent="0.2">
      <c r="A37" s="1321"/>
      <c r="B37" s="1322"/>
      <c r="C37" s="1323"/>
      <c r="D37" s="187"/>
      <c r="E37" s="1323"/>
      <c r="F37" s="1323"/>
      <c r="G37" s="1324"/>
      <c r="H37" s="1324"/>
      <c r="I37" s="1129"/>
      <c r="J37" s="1325"/>
      <c r="K37" s="942"/>
      <c r="L37" s="942"/>
      <c r="M37" s="942"/>
      <c r="N37" s="942"/>
      <c r="O37" s="942"/>
      <c r="P37" s="503"/>
      <c r="Q37" s="503"/>
      <c r="R37" s="1326"/>
      <c r="S37" s="1327"/>
      <c r="T37" s="1328"/>
      <c r="U37" s="1328"/>
      <c r="V37" s="1324"/>
      <c r="W37" s="1324"/>
      <c r="X37" s="186"/>
      <c r="Y37" s="186"/>
      <c r="Z37" s="1324"/>
      <c r="AA37" s="1324"/>
      <c r="AB37" s="1327"/>
      <c r="AC37" s="1324"/>
      <c r="AD37" s="1324"/>
      <c r="AE37" s="1327"/>
      <c r="AF37" s="1327"/>
      <c r="AG37" s="1327"/>
      <c r="AH37" s="1329"/>
      <c r="AI37" s="1329"/>
      <c r="AJ37" s="1328"/>
      <c r="AK37" s="1328"/>
      <c r="AL37" s="1328"/>
      <c r="AM37" s="1328"/>
      <c r="AN37" s="190"/>
      <c r="AO37" s="190"/>
    </row>
    <row r="38" spans="1:41" s="972" customFormat="1" ht="12.75" customHeight="1" x14ac:dyDescent="0.2">
      <c r="A38" s="1321"/>
      <c r="B38" s="1322"/>
      <c r="C38" s="1323"/>
      <c r="D38" s="187"/>
      <c r="E38" s="1323"/>
      <c r="F38" s="1323"/>
      <c r="G38" s="1324"/>
      <c r="H38" s="1324"/>
      <c r="I38" s="1129"/>
      <c r="J38" s="1325"/>
      <c r="K38" s="942"/>
      <c r="L38" s="942"/>
      <c r="M38" s="942"/>
      <c r="N38" s="942"/>
      <c r="O38" s="942"/>
      <c r="P38" s="503"/>
      <c r="Q38" s="503"/>
      <c r="R38" s="1326"/>
      <c r="S38" s="1327"/>
      <c r="T38" s="1328"/>
      <c r="U38" s="1328"/>
      <c r="V38" s="1324"/>
      <c r="W38" s="1324"/>
      <c r="X38" s="186"/>
      <c r="Y38" s="186"/>
      <c r="Z38" s="1324"/>
      <c r="AA38" s="1324"/>
      <c r="AB38" s="1327"/>
      <c r="AC38" s="1324"/>
      <c r="AD38" s="1324"/>
      <c r="AE38" s="1327"/>
      <c r="AF38" s="1327"/>
      <c r="AG38" s="1327"/>
      <c r="AH38" s="1329"/>
      <c r="AI38" s="1329"/>
      <c r="AJ38" s="1328"/>
      <c r="AK38" s="1328"/>
      <c r="AL38" s="1328"/>
      <c r="AM38" s="1328"/>
      <c r="AN38" s="190"/>
      <c r="AO38" s="190"/>
    </row>
    <row r="39" spans="1:41" s="972" customFormat="1" ht="12.75" customHeight="1" x14ac:dyDescent="0.2">
      <c r="A39" s="1321"/>
      <c r="B39" s="1322"/>
      <c r="C39" s="1323"/>
      <c r="D39" s="187"/>
      <c r="E39" s="1323"/>
      <c r="F39" s="1323"/>
      <c r="G39" s="1324"/>
      <c r="H39" s="1324"/>
      <c r="I39" s="1129"/>
      <c r="J39" s="1325"/>
      <c r="K39" s="942"/>
      <c r="L39" s="942"/>
      <c r="M39" s="942"/>
      <c r="N39" s="942"/>
      <c r="O39" s="942"/>
      <c r="P39" s="503"/>
      <c r="Q39" s="503"/>
      <c r="R39" s="1326"/>
      <c r="S39" s="1327"/>
      <c r="T39" s="1328"/>
      <c r="U39" s="1328"/>
      <c r="V39" s="1324"/>
      <c r="W39" s="1324"/>
      <c r="X39" s="186"/>
      <c r="Y39" s="186"/>
      <c r="Z39" s="1324"/>
      <c r="AA39" s="1324"/>
      <c r="AB39" s="1327"/>
      <c r="AC39" s="1324"/>
      <c r="AD39" s="1324"/>
      <c r="AE39" s="1327"/>
      <c r="AF39" s="1327"/>
      <c r="AG39" s="1327"/>
      <c r="AH39" s="1329"/>
      <c r="AI39" s="1329"/>
      <c r="AJ39" s="1328"/>
      <c r="AK39" s="1328"/>
      <c r="AL39" s="1328"/>
      <c r="AM39" s="1328"/>
      <c r="AN39" s="190"/>
      <c r="AO39" s="190"/>
    </row>
    <row r="40" spans="1:41" s="972" customFormat="1" ht="12.75" customHeight="1" x14ac:dyDescent="0.2">
      <c r="A40" s="1321"/>
      <c r="B40" s="1322"/>
      <c r="C40" s="1323"/>
      <c r="D40" s="187"/>
      <c r="E40" s="1323"/>
      <c r="F40" s="1323"/>
      <c r="G40" s="1324"/>
      <c r="H40" s="1324"/>
      <c r="I40" s="1129"/>
      <c r="J40" s="1325"/>
      <c r="K40" s="942"/>
      <c r="L40" s="942"/>
      <c r="M40" s="942"/>
      <c r="N40" s="942"/>
      <c r="O40" s="942"/>
      <c r="P40" s="503"/>
      <c r="Q40" s="503"/>
      <c r="R40" s="1326"/>
      <c r="S40" s="1327"/>
      <c r="T40" s="1328"/>
      <c r="U40" s="1328"/>
      <c r="V40" s="1324"/>
      <c r="W40" s="1324"/>
      <c r="X40" s="186"/>
      <c r="Y40" s="186"/>
      <c r="Z40" s="1324"/>
      <c r="AA40" s="1324"/>
      <c r="AB40" s="1327"/>
      <c r="AC40" s="1324"/>
      <c r="AD40" s="1324"/>
      <c r="AE40" s="1327"/>
      <c r="AF40" s="1327"/>
      <c r="AG40" s="1327"/>
      <c r="AH40" s="1329"/>
      <c r="AI40" s="1329"/>
      <c r="AJ40" s="1328"/>
      <c r="AK40" s="1328"/>
      <c r="AL40" s="1328"/>
      <c r="AM40" s="1328"/>
      <c r="AN40" s="190"/>
      <c r="AO40" s="190"/>
    </row>
    <row r="41" spans="1:41" s="972" customFormat="1" ht="12.75" customHeight="1" x14ac:dyDescent="0.2">
      <c r="A41" s="1321"/>
      <c r="B41" s="1322"/>
      <c r="C41" s="1323"/>
      <c r="D41" s="187"/>
      <c r="E41" s="1323"/>
      <c r="F41" s="1323"/>
      <c r="G41" s="1324"/>
      <c r="H41" s="1324"/>
      <c r="I41" s="1129"/>
      <c r="J41" s="1325"/>
      <c r="K41" s="942"/>
      <c r="L41" s="942"/>
      <c r="M41" s="942"/>
      <c r="N41" s="942"/>
      <c r="O41" s="942"/>
      <c r="P41" s="503"/>
      <c r="Q41" s="503"/>
      <c r="R41" s="1326"/>
      <c r="S41" s="1327"/>
      <c r="T41" s="1328"/>
      <c r="U41" s="1328"/>
      <c r="V41" s="1324"/>
      <c r="W41" s="1324"/>
      <c r="X41" s="186"/>
      <c r="Y41" s="186"/>
      <c r="Z41" s="1324"/>
      <c r="AA41" s="1324"/>
      <c r="AB41" s="1327"/>
      <c r="AC41" s="1324"/>
      <c r="AD41" s="1324"/>
      <c r="AE41" s="1327"/>
      <c r="AF41" s="1327"/>
      <c r="AG41" s="1327"/>
      <c r="AH41" s="1329"/>
      <c r="AI41" s="1329"/>
      <c r="AJ41" s="1328"/>
      <c r="AK41" s="1328"/>
      <c r="AL41" s="1328"/>
      <c r="AM41" s="1328"/>
      <c r="AN41" s="190"/>
      <c r="AO41" s="190"/>
    </row>
    <row r="42" spans="1:41" s="972" customFormat="1" ht="12.75" customHeight="1" x14ac:dyDescent="0.2">
      <c r="A42" s="1321"/>
      <c r="B42" s="1322"/>
      <c r="C42" s="1323"/>
      <c r="D42" s="187"/>
      <c r="E42" s="1323"/>
      <c r="F42" s="1323"/>
      <c r="G42" s="1324"/>
      <c r="H42" s="1324"/>
      <c r="I42" s="1129"/>
      <c r="J42" s="1325"/>
      <c r="K42" s="942"/>
      <c r="L42" s="942"/>
      <c r="M42" s="942"/>
      <c r="N42" s="942"/>
      <c r="O42" s="942"/>
      <c r="P42" s="503"/>
      <c r="Q42" s="503"/>
      <c r="R42" s="1326"/>
      <c r="S42" s="1327"/>
      <c r="T42" s="1328"/>
      <c r="U42" s="1328"/>
      <c r="V42" s="1324"/>
      <c r="W42" s="1324"/>
      <c r="X42" s="186"/>
      <c r="Y42" s="186"/>
      <c r="Z42" s="1324"/>
      <c r="AA42" s="1324"/>
      <c r="AB42" s="1327"/>
      <c r="AC42" s="1324"/>
      <c r="AD42" s="1324"/>
      <c r="AE42" s="1327"/>
      <c r="AF42" s="1327"/>
      <c r="AG42" s="1327"/>
      <c r="AH42" s="1329"/>
      <c r="AI42" s="1329"/>
      <c r="AJ42" s="1328"/>
      <c r="AK42" s="1328"/>
      <c r="AL42" s="1328"/>
      <c r="AM42" s="1328"/>
      <c r="AN42" s="190"/>
      <c r="AO42" s="190"/>
    </row>
    <row r="43" spans="1:41" s="972" customFormat="1" ht="12.75" customHeight="1" x14ac:dyDescent="0.2">
      <c r="A43" s="1321"/>
      <c r="B43" s="1322"/>
      <c r="C43" s="1323"/>
      <c r="D43" s="187"/>
      <c r="E43" s="1323"/>
      <c r="F43" s="1323"/>
      <c r="G43" s="1324"/>
      <c r="H43" s="1324"/>
      <c r="I43" s="1129"/>
      <c r="J43" s="1325"/>
      <c r="K43" s="942"/>
      <c r="L43" s="942"/>
      <c r="M43" s="942"/>
      <c r="N43" s="942"/>
      <c r="O43" s="942"/>
      <c r="P43" s="503"/>
      <c r="Q43" s="503"/>
      <c r="R43" s="1326"/>
      <c r="S43" s="1327"/>
      <c r="T43" s="1328"/>
      <c r="U43" s="1328"/>
      <c r="V43" s="1324"/>
      <c r="W43" s="1324"/>
      <c r="X43" s="186"/>
      <c r="Y43" s="186"/>
      <c r="Z43" s="1324"/>
      <c r="AA43" s="1324"/>
      <c r="AB43" s="1327"/>
      <c r="AC43" s="1324"/>
      <c r="AD43" s="1324"/>
      <c r="AE43" s="1327"/>
      <c r="AF43" s="1327"/>
      <c r="AG43" s="1327"/>
      <c r="AH43" s="1329"/>
      <c r="AI43" s="1329"/>
      <c r="AJ43" s="1328"/>
      <c r="AK43" s="1328"/>
      <c r="AL43" s="1328"/>
      <c r="AM43" s="1328"/>
      <c r="AN43" s="190"/>
      <c r="AO43" s="190"/>
    </row>
    <row r="44" spans="1:41" s="972" customFormat="1" ht="12.75" customHeight="1" x14ac:dyDescent="0.2">
      <c r="A44" s="1321"/>
      <c r="B44" s="1322"/>
      <c r="C44" s="1323"/>
      <c r="D44" s="187"/>
      <c r="E44" s="1323"/>
      <c r="F44" s="1323"/>
      <c r="G44" s="1324"/>
      <c r="H44" s="1324"/>
      <c r="I44" s="1129"/>
      <c r="J44" s="1325"/>
      <c r="K44" s="942"/>
      <c r="L44" s="942"/>
      <c r="M44" s="942"/>
      <c r="N44" s="942"/>
      <c r="O44" s="942"/>
      <c r="P44" s="503"/>
      <c r="Q44" s="503"/>
      <c r="R44" s="1326"/>
      <c r="S44" s="1327"/>
      <c r="T44" s="1328"/>
      <c r="U44" s="1328"/>
      <c r="V44" s="1324"/>
      <c r="W44" s="1324"/>
      <c r="X44" s="186"/>
      <c r="Y44" s="186"/>
      <c r="Z44" s="1324"/>
      <c r="AA44" s="1324"/>
      <c r="AB44" s="1327"/>
      <c r="AC44" s="1324"/>
      <c r="AD44" s="1324"/>
      <c r="AE44" s="1327"/>
      <c r="AF44" s="1327"/>
      <c r="AG44" s="1327"/>
      <c r="AH44" s="1329"/>
      <c r="AI44" s="1329"/>
      <c r="AJ44" s="1328"/>
      <c r="AK44" s="1328"/>
      <c r="AL44" s="1328"/>
      <c r="AM44" s="1328"/>
      <c r="AN44" s="190"/>
      <c r="AO44" s="190"/>
    </row>
    <row r="45" spans="1:41" s="972" customFormat="1" ht="12.75" customHeight="1" x14ac:dyDescent="0.2">
      <c r="A45" s="1321"/>
      <c r="B45" s="1322"/>
      <c r="C45" s="1323"/>
      <c r="D45" s="187"/>
      <c r="E45" s="1323"/>
      <c r="F45" s="1323"/>
      <c r="G45" s="1324"/>
      <c r="H45" s="1324"/>
      <c r="I45" s="1129"/>
      <c r="J45" s="1325"/>
      <c r="K45" s="942"/>
      <c r="L45" s="942"/>
      <c r="M45" s="942"/>
      <c r="N45" s="942"/>
      <c r="O45" s="942"/>
      <c r="P45" s="503"/>
      <c r="Q45" s="503"/>
      <c r="R45" s="1326"/>
      <c r="S45" s="1327"/>
      <c r="T45" s="1328"/>
      <c r="U45" s="1328"/>
      <c r="V45" s="1324"/>
      <c r="W45" s="1324"/>
      <c r="X45" s="186"/>
      <c r="Y45" s="186"/>
      <c r="Z45" s="1324"/>
      <c r="AA45" s="1324"/>
      <c r="AB45" s="1327"/>
      <c r="AC45" s="1324"/>
      <c r="AD45" s="1324"/>
      <c r="AE45" s="1327"/>
      <c r="AF45" s="1327"/>
      <c r="AG45" s="1327"/>
      <c r="AH45" s="1329"/>
      <c r="AI45" s="1329"/>
      <c r="AJ45" s="1328"/>
      <c r="AK45" s="1328"/>
      <c r="AL45" s="1328"/>
      <c r="AM45" s="1328"/>
      <c r="AN45" s="190"/>
      <c r="AO45" s="190"/>
    </row>
    <row r="46" spans="1:41" s="972" customFormat="1" ht="12.75" customHeight="1" x14ac:dyDescent="0.2">
      <c r="A46" s="1321"/>
      <c r="B46" s="1322"/>
      <c r="C46" s="1323"/>
      <c r="D46" s="187"/>
      <c r="E46" s="1323"/>
      <c r="F46" s="1323"/>
      <c r="G46" s="1324"/>
      <c r="H46" s="1324"/>
      <c r="I46" s="1129"/>
      <c r="J46" s="1325"/>
      <c r="K46" s="942"/>
      <c r="L46" s="942"/>
      <c r="M46" s="942"/>
      <c r="N46" s="942"/>
      <c r="O46" s="942"/>
      <c r="P46" s="503"/>
      <c r="Q46" s="503"/>
      <c r="R46" s="1326"/>
      <c r="S46" s="1327"/>
      <c r="T46" s="1328"/>
      <c r="U46" s="1328"/>
      <c r="V46" s="1324"/>
      <c r="W46" s="1324"/>
      <c r="X46" s="186"/>
      <c r="Y46" s="186"/>
      <c r="Z46" s="1324"/>
      <c r="AA46" s="1324"/>
      <c r="AB46" s="1327"/>
      <c r="AC46" s="1324"/>
      <c r="AD46" s="1324"/>
      <c r="AE46" s="1327"/>
      <c r="AF46" s="1327"/>
      <c r="AG46" s="1327"/>
      <c r="AH46" s="1329"/>
      <c r="AI46" s="1329"/>
      <c r="AJ46" s="1328"/>
      <c r="AK46" s="1328"/>
      <c r="AL46" s="1328"/>
      <c r="AM46" s="1328"/>
      <c r="AN46" s="190"/>
      <c r="AO46" s="190"/>
    </row>
    <row r="47" spans="1:41" s="972" customFormat="1" ht="12.75" customHeight="1" x14ac:dyDescent="0.2">
      <c r="A47" s="1321"/>
      <c r="B47" s="1322"/>
      <c r="C47" s="1323"/>
      <c r="D47" s="187"/>
      <c r="E47" s="1323"/>
      <c r="F47" s="1323"/>
      <c r="G47" s="1324"/>
      <c r="H47" s="1324"/>
      <c r="I47" s="1129"/>
      <c r="J47" s="1325"/>
      <c r="K47" s="942"/>
      <c r="L47" s="942"/>
      <c r="M47" s="942"/>
      <c r="N47" s="942"/>
      <c r="O47" s="942"/>
      <c r="P47" s="503"/>
      <c r="Q47" s="503"/>
      <c r="R47" s="1326"/>
      <c r="S47" s="1327"/>
      <c r="T47" s="1328"/>
      <c r="U47" s="1328"/>
      <c r="V47" s="1324"/>
      <c r="W47" s="1324"/>
      <c r="X47" s="186"/>
      <c r="Y47" s="186"/>
      <c r="Z47" s="1324"/>
      <c r="AA47" s="1324"/>
      <c r="AB47" s="1327"/>
      <c r="AC47" s="1324"/>
      <c r="AD47" s="1324"/>
      <c r="AE47" s="1327"/>
      <c r="AF47" s="1327"/>
      <c r="AG47" s="1327"/>
      <c r="AH47" s="1329"/>
      <c r="AI47" s="1329"/>
      <c r="AJ47" s="1328"/>
      <c r="AK47" s="1328"/>
      <c r="AL47" s="1328"/>
      <c r="AM47" s="1328"/>
      <c r="AN47" s="190"/>
      <c r="AO47" s="190"/>
    </row>
    <row r="48" spans="1:41" x14ac:dyDescent="0.2">
      <c r="P48" s="100"/>
      <c r="AN48" s="100"/>
      <c r="AO48" s="100"/>
    </row>
    <row r="49" spans="1:41" ht="12.75" customHeight="1" x14ac:dyDescent="0.2">
      <c r="A49" s="2613" t="s">
        <v>438</v>
      </c>
      <c r="B49" s="2613"/>
      <c r="C49" s="2613"/>
      <c r="D49" s="2613"/>
      <c r="E49" s="2613"/>
      <c r="F49" s="2613"/>
      <c r="G49" s="2613"/>
      <c r="H49" s="2613"/>
      <c r="I49" s="2613"/>
      <c r="J49" s="2613"/>
      <c r="K49" s="2613"/>
      <c r="L49" s="2613"/>
      <c r="M49" s="2613"/>
      <c r="N49" s="2613"/>
      <c r="O49" s="2613"/>
      <c r="P49" s="2613"/>
      <c r="Q49" s="2613"/>
      <c r="R49" s="2613"/>
      <c r="S49" s="2613"/>
      <c r="T49" s="2613"/>
      <c r="AN49" s="100"/>
      <c r="AO49" s="100"/>
    </row>
    <row r="50" spans="1:41" ht="13.5" customHeight="1" thickBot="1" x14ac:dyDescent="0.25">
      <c r="A50" s="2614"/>
      <c r="B50" s="2614"/>
      <c r="C50" s="2614"/>
      <c r="D50" s="2614"/>
      <c r="E50" s="2614"/>
      <c r="F50" s="2614"/>
      <c r="G50" s="2614"/>
      <c r="H50" s="2614"/>
      <c r="I50" s="2614"/>
      <c r="J50" s="2614"/>
      <c r="K50" s="2614"/>
      <c r="L50" s="2614"/>
      <c r="M50" s="2614"/>
      <c r="N50" s="2614"/>
      <c r="O50" s="2614"/>
      <c r="P50" s="2614"/>
      <c r="Q50" s="2614"/>
      <c r="R50" s="2614"/>
      <c r="S50" s="2614"/>
      <c r="T50" s="2614"/>
      <c r="AN50" s="100"/>
      <c r="AO50" s="100"/>
    </row>
    <row r="51" spans="1:41" ht="12.75" customHeight="1" x14ac:dyDescent="0.2">
      <c r="A51" s="2615" t="s">
        <v>0</v>
      </c>
      <c r="B51" s="2619" t="s">
        <v>426</v>
      </c>
      <c r="C51" s="2710" t="s">
        <v>10</v>
      </c>
      <c r="D51" s="2713" t="s">
        <v>417</v>
      </c>
      <c r="E51" s="2327" t="s">
        <v>422</v>
      </c>
      <c r="F51" s="2327"/>
      <c r="G51" s="2341" t="s">
        <v>423</v>
      </c>
      <c r="H51" s="2341" t="s">
        <v>424</v>
      </c>
      <c r="I51" s="2707" t="s">
        <v>430</v>
      </c>
      <c r="J51" s="2707"/>
      <c r="K51" s="2707" t="s">
        <v>431</v>
      </c>
      <c r="L51" s="2707"/>
      <c r="M51" s="2730" t="s">
        <v>428</v>
      </c>
      <c r="N51" s="2323"/>
      <c r="O51" s="2323"/>
      <c r="P51" s="2537"/>
      <c r="Q51" s="2695" t="s">
        <v>440</v>
      </c>
      <c r="R51" s="2696"/>
      <c r="S51" s="2717" t="s">
        <v>429</v>
      </c>
      <c r="T51" s="2670"/>
      <c r="AN51" s="100"/>
      <c r="AO51" s="100"/>
    </row>
    <row r="52" spans="1:41" x14ac:dyDescent="0.2">
      <c r="A52" s="2616"/>
      <c r="B52" s="2620"/>
      <c r="C52" s="2711"/>
      <c r="D52" s="2326"/>
      <c r="E52" s="2604"/>
      <c r="F52" s="2604"/>
      <c r="G52" s="2606"/>
      <c r="H52" s="2606"/>
      <c r="I52" s="2708"/>
      <c r="J52" s="2708"/>
      <c r="K52" s="2708"/>
      <c r="L52" s="2708"/>
      <c r="M52" s="2731"/>
      <c r="N52" s="2732"/>
      <c r="O52" s="2732"/>
      <c r="P52" s="2733"/>
      <c r="Q52" s="2697"/>
      <c r="R52" s="2698"/>
      <c r="S52" s="2718"/>
      <c r="T52" s="2672"/>
      <c r="AN52" s="100"/>
      <c r="AO52" s="100"/>
    </row>
    <row r="53" spans="1:41" x14ac:dyDescent="0.2">
      <c r="A53" s="2617"/>
      <c r="B53" s="2621"/>
      <c r="C53" s="2711"/>
      <c r="D53" s="2714"/>
      <c r="E53" s="2605"/>
      <c r="F53" s="2605"/>
      <c r="G53" s="2342"/>
      <c r="H53" s="2342"/>
      <c r="I53" s="2708"/>
      <c r="J53" s="2708"/>
      <c r="K53" s="2708"/>
      <c r="L53" s="2708"/>
      <c r="M53" s="2731"/>
      <c r="N53" s="2732"/>
      <c r="O53" s="2732"/>
      <c r="P53" s="2733"/>
      <c r="Q53" s="2699"/>
      <c r="R53" s="2700"/>
      <c r="S53" s="2718"/>
      <c r="T53" s="2672"/>
      <c r="AN53" s="100"/>
      <c r="AO53" s="100"/>
    </row>
    <row r="54" spans="1:41" x14ac:dyDescent="0.2">
      <c r="A54" s="2617"/>
      <c r="B54" s="2621"/>
      <c r="C54" s="2711"/>
      <c r="D54" s="2714"/>
      <c r="E54" s="2605"/>
      <c r="F54" s="2605"/>
      <c r="G54" s="2342"/>
      <c r="H54" s="2342"/>
      <c r="I54" s="2708"/>
      <c r="J54" s="2708"/>
      <c r="K54" s="2708"/>
      <c r="L54" s="2708"/>
      <c r="M54" s="2731"/>
      <c r="N54" s="2732"/>
      <c r="O54" s="2732"/>
      <c r="P54" s="2733"/>
      <c r="Q54" s="2699"/>
      <c r="R54" s="2700"/>
      <c r="S54" s="2718"/>
      <c r="T54" s="2672"/>
      <c r="AN54" s="100"/>
      <c r="AO54" s="100"/>
    </row>
    <row r="55" spans="1:41" x14ac:dyDescent="0.2">
      <c r="A55" s="2617"/>
      <c r="B55" s="2621"/>
      <c r="C55" s="2711"/>
      <c r="D55" s="2671" t="s">
        <v>419</v>
      </c>
      <c r="E55" s="2342" t="s">
        <v>420</v>
      </c>
      <c r="F55" s="2342"/>
      <c r="G55" s="2342"/>
      <c r="H55" s="2342"/>
      <c r="I55" s="2630" t="s">
        <v>433</v>
      </c>
      <c r="J55" s="2630"/>
      <c r="K55" s="2630" t="s">
        <v>432</v>
      </c>
      <c r="L55" s="2630"/>
      <c r="M55" s="2731"/>
      <c r="N55" s="2732"/>
      <c r="O55" s="2732"/>
      <c r="P55" s="2733"/>
      <c r="Q55" s="2701" t="s">
        <v>425</v>
      </c>
      <c r="R55" s="2661"/>
      <c r="S55" s="2718" t="s">
        <v>218</v>
      </c>
      <c r="T55" s="2672" t="s">
        <v>219</v>
      </c>
      <c r="AN55" s="100"/>
      <c r="AO55" s="100"/>
    </row>
    <row r="56" spans="1:41" x14ac:dyDescent="0.2">
      <c r="A56" s="2617"/>
      <c r="B56" s="2621"/>
      <c r="C56" s="2711"/>
      <c r="D56" s="2671"/>
      <c r="E56" s="2342"/>
      <c r="F56" s="2342"/>
      <c r="G56" s="2342"/>
      <c r="H56" s="2342"/>
      <c r="I56" s="2630"/>
      <c r="J56" s="2630"/>
      <c r="K56" s="2630"/>
      <c r="L56" s="2630"/>
      <c r="M56" s="2731"/>
      <c r="N56" s="2732"/>
      <c r="O56" s="2732"/>
      <c r="P56" s="2733"/>
      <c r="Q56" s="2701"/>
      <c r="R56" s="2661"/>
      <c r="S56" s="2718"/>
      <c r="T56" s="2672"/>
      <c r="AN56" s="100"/>
      <c r="AO56" s="100"/>
    </row>
    <row r="57" spans="1:41" ht="13.5" thickBot="1" x14ac:dyDescent="0.25">
      <c r="A57" s="2618"/>
      <c r="B57" s="2622"/>
      <c r="C57" s="2712"/>
      <c r="D57" s="1084" t="s">
        <v>418</v>
      </c>
      <c r="E57" s="2607" t="s">
        <v>421</v>
      </c>
      <c r="F57" s="2607"/>
      <c r="G57" s="2607"/>
      <c r="H57" s="2607"/>
      <c r="I57" s="2657" t="s">
        <v>434</v>
      </c>
      <c r="J57" s="2657"/>
      <c r="K57" s="2657" t="s">
        <v>33</v>
      </c>
      <c r="L57" s="2657"/>
      <c r="M57" s="2734"/>
      <c r="N57" s="2735"/>
      <c r="O57" s="2735"/>
      <c r="P57" s="2736"/>
      <c r="Q57" s="2705" t="s">
        <v>30</v>
      </c>
      <c r="R57" s="2706"/>
      <c r="S57" s="1082" t="s">
        <v>35</v>
      </c>
      <c r="T57" s="1083" t="s">
        <v>35</v>
      </c>
      <c r="AN57" s="100"/>
      <c r="AO57" s="100"/>
    </row>
    <row r="58" spans="1:41" x14ac:dyDescent="0.2">
      <c r="A58" s="2619">
        <v>11</v>
      </c>
      <c r="B58" s="2619" t="s">
        <v>427</v>
      </c>
      <c r="C58" s="2387" t="s">
        <v>342</v>
      </c>
      <c r="D58" s="2663">
        <v>1540</v>
      </c>
      <c r="E58" s="2666">
        <v>0.15</v>
      </c>
      <c r="F58" s="2666"/>
      <c r="G58" s="2666">
        <v>0.8</v>
      </c>
      <c r="H58" s="2666">
        <v>0.6</v>
      </c>
      <c r="I58" s="2608">
        <f>D58/(SQRT(3)*6.3*1000)</f>
        <v>0.14113006580190854</v>
      </c>
      <c r="J58" s="2608"/>
      <c r="K58" s="2608">
        <f>SQRT((6.3+Q58*I58*H58)^2+(Q58*I58*G58)^2)</f>
        <v>6.6417151996411681</v>
      </c>
      <c r="L58" s="2608"/>
      <c r="M58" s="2702">
        <v>1</v>
      </c>
      <c r="N58" s="2703"/>
      <c r="O58" s="2703"/>
      <c r="P58" s="2704"/>
      <c r="Q58" s="2724">
        <f>E58*((6.3^2)/D58)*1000</f>
        <v>3.8659090909090903</v>
      </c>
      <c r="R58" s="2725"/>
      <c r="S58" s="356">
        <f>6300/(SQRT(3)*Q58)</f>
        <v>940.86710534605697</v>
      </c>
      <c r="T58" s="358">
        <f>6300/(2*Q58)</f>
        <v>814.81481481481489</v>
      </c>
      <c r="AN58" s="100"/>
      <c r="AO58" s="100"/>
    </row>
    <row r="59" spans="1:41" x14ac:dyDescent="0.2">
      <c r="A59" s="2621"/>
      <c r="B59" s="2621"/>
      <c r="C59" s="2571"/>
      <c r="D59" s="2664"/>
      <c r="E59" s="2667"/>
      <c r="F59" s="2667"/>
      <c r="G59" s="2667"/>
      <c r="H59" s="2667"/>
      <c r="I59" s="2609"/>
      <c r="J59" s="2609"/>
      <c r="K59" s="2609"/>
      <c r="L59" s="2609"/>
      <c r="M59" s="2612">
        <v>2</v>
      </c>
      <c r="N59" s="2690"/>
      <c r="O59" s="2690"/>
      <c r="P59" s="2691"/>
      <c r="Q59" s="2677">
        <f t="shared" ref="Q59:Q65" si="23">$Q$58/M59</f>
        <v>1.9329545454545451</v>
      </c>
      <c r="R59" s="2654"/>
      <c r="S59" s="360">
        <f t="shared" ref="S59:S65" si="24">6300/(SQRT(3)*Q59)</f>
        <v>1881.7342106921139</v>
      </c>
      <c r="T59" s="160">
        <f t="shared" ref="T59:T65" si="25">6300/(2*Q59)</f>
        <v>1629.6296296296298</v>
      </c>
      <c r="AN59" s="100"/>
      <c r="AO59" s="100"/>
    </row>
    <row r="60" spans="1:41" x14ac:dyDescent="0.2">
      <c r="A60" s="2621"/>
      <c r="B60" s="2621"/>
      <c r="C60" s="2571"/>
      <c r="D60" s="2664"/>
      <c r="E60" s="2667"/>
      <c r="F60" s="2667"/>
      <c r="G60" s="2667"/>
      <c r="H60" s="2667"/>
      <c r="I60" s="2609"/>
      <c r="J60" s="2609"/>
      <c r="K60" s="2609"/>
      <c r="L60" s="2609"/>
      <c r="M60" s="2678">
        <v>3</v>
      </c>
      <c r="N60" s="2679"/>
      <c r="O60" s="2679"/>
      <c r="P60" s="2680"/>
      <c r="Q60" s="2677">
        <f t="shared" si="23"/>
        <v>1.2886363636363634</v>
      </c>
      <c r="R60" s="2654"/>
      <c r="S60" s="360">
        <f t="shared" si="24"/>
        <v>2822.6013160381713</v>
      </c>
      <c r="T60" s="160">
        <f t="shared" si="25"/>
        <v>2444.4444444444448</v>
      </c>
      <c r="AN60" s="100"/>
      <c r="AO60" s="100"/>
    </row>
    <row r="61" spans="1:41" x14ac:dyDescent="0.2">
      <c r="A61" s="2621"/>
      <c r="B61" s="2621"/>
      <c r="C61" s="2571"/>
      <c r="D61" s="2664"/>
      <c r="E61" s="2667"/>
      <c r="F61" s="2667"/>
      <c r="G61" s="2667"/>
      <c r="H61" s="2667"/>
      <c r="I61" s="2609"/>
      <c r="J61" s="2609"/>
      <c r="K61" s="2609"/>
      <c r="L61" s="2609"/>
      <c r="M61" s="2612">
        <v>4</v>
      </c>
      <c r="N61" s="2690"/>
      <c r="O61" s="2690"/>
      <c r="P61" s="2691"/>
      <c r="Q61" s="2677">
        <f t="shared" si="23"/>
        <v>0.96647727272727257</v>
      </c>
      <c r="R61" s="2654"/>
      <c r="S61" s="360">
        <f t="shared" si="24"/>
        <v>3763.4684213842279</v>
      </c>
      <c r="T61" s="160">
        <f t="shared" si="25"/>
        <v>3259.2592592592596</v>
      </c>
      <c r="AN61" s="100"/>
      <c r="AO61" s="100"/>
    </row>
    <row r="62" spans="1:41" x14ac:dyDescent="0.2">
      <c r="A62" s="2621"/>
      <c r="B62" s="2621"/>
      <c r="C62" s="2571"/>
      <c r="D62" s="2664"/>
      <c r="E62" s="2667"/>
      <c r="F62" s="2667"/>
      <c r="G62" s="2667"/>
      <c r="H62" s="2667"/>
      <c r="I62" s="2609"/>
      <c r="J62" s="2609"/>
      <c r="K62" s="2609"/>
      <c r="L62" s="2609"/>
      <c r="M62" s="2678">
        <v>5</v>
      </c>
      <c r="N62" s="2679"/>
      <c r="O62" s="2679"/>
      <c r="P62" s="2680"/>
      <c r="Q62" s="2677">
        <f t="shared" si="23"/>
        <v>0.77318181818181808</v>
      </c>
      <c r="R62" s="2654"/>
      <c r="S62" s="360">
        <f t="shared" si="24"/>
        <v>4704.335526730285</v>
      </c>
      <c r="T62" s="160">
        <f t="shared" si="25"/>
        <v>4074.0740740740748</v>
      </c>
      <c r="AN62" s="100"/>
      <c r="AO62" s="100"/>
    </row>
    <row r="63" spans="1:41" x14ac:dyDescent="0.2">
      <c r="A63" s="2621"/>
      <c r="B63" s="2621"/>
      <c r="C63" s="2571"/>
      <c r="D63" s="2664"/>
      <c r="E63" s="2667"/>
      <c r="F63" s="2667"/>
      <c r="G63" s="2667"/>
      <c r="H63" s="2667"/>
      <c r="I63" s="2609"/>
      <c r="J63" s="2609"/>
      <c r="K63" s="2609"/>
      <c r="L63" s="2609"/>
      <c r="M63" s="2612">
        <v>6</v>
      </c>
      <c r="N63" s="2690"/>
      <c r="O63" s="2690"/>
      <c r="P63" s="2691"/>
      <c r="Q63" s="2677">
        <f t="shared" si="23"/>
        <v>0.64431818181818168</v>
      </c>
      <c r="R63" s="2654"/>
      <c r="S63" s="360">
        <f t="shared" si="24"/>
        <v>5645.2026320763425</v>
      </c>
      <c r="T63" s="160">
        <f t="shared" si="25"/>
        <v>4888.8888888888896</v>
      </c>
      <c r="AN63" s="100"/>
      <c r="AO63" s="100"/>
    </row>
    <row r="64" spans="1:41" x14ac:dyDescent="0.2">
      <c r="A64" s="2621"/>
      <c r="B64" s="2621"/>
      <c r="C64" s="2571"/>
      <c r="D64" s="2664"/>
      <c r="E64" s="2667"/>
      <c r="F64" s="2667"/>
      <c r="G64" s="2667"/>
      <c r="H64" s="2667"/>
      <c r="I64" s="2609"/>
      <c r="J64" s="2609"/>
      <c r="K64" s="2609"/>
      <c r="L64" s="2609"/>
      <c r="M64" s="2678">
        <v>7</v>
      </c>
      <c r="N64" s="2679"/>
      <c r="O64" s="2679"/>
      <c r="P64" s="2680"/>
      <c r="Q64" s="2677">
        <f t="shared" si="23"/>
        <v>0.55227272727272714</v>
      </c>
      <c r="R64" s="2654"/>
      <c r="S64" s="360">
        <f t="shared" si="24"/>
        <v>6586.0697374223992</v>
      </c>
      <c r="T64" s="160">
        <f t="shared" si="25"/>
        <v>5703.7037037037053</v>
      </c>
      <c r="AN64" s="100"/>
      <c r="AO64" s="100"/>
    </row>
    <row r="65" spans="1:41" ht="13.5" thickBot="1" x14ac:dyDescent="0.25">
      <c r="A65" s="2662"/>
      <c r="B65" s="2662"/>
      <c r="C65" s="2479"/>
      <c r="D65" s="2665"/>
      <c r="E65" s="2668"/>
      <c r="F65" s="2668"/>
      <c r="G65" s="2668"/>
      <c r="H65" s="2668"/>
      <c r="I65" s="2610"/>
      <c r="J65" s="2610"/>
      <c r="K65" s="2610"/>
      <c r="L65" s="2610"/>
      <c r="M65" s="2652">
        <v>8</v>
      </c>
      <c r="N65" s="2715"/>
      <c r="O65" s="2715"/>
      <c r="P65" s="2716"/>
      <c r="Q65" s="2709">
        <f t="shared" si="23"/>
        <v>0.48323863636363629</v>
      </c>
      <c r="R65" s="2656"/>
      <c r="S65" s="371">
        <f t="shared" si="24"/>
        <v>7526.9368427684558</v>
      </c>
      <c r="T65" s="178">
        <f t="shared" si="25"/>
        <v>6518.5185185185192</v>
      </c>
      <c r="AN65" s="100"/>
      <c r="AO65" s="100"/>
    </row>
    <row r="66" spans="1:41" x14ac:dyDescent="0.2">
      <c r="D66" s="195"/>
      <c r="E66" s="195"/>
      <c r="P66" s="100"/>
      <c r="AN66" s="100"/>
      <c r="AO66" s="100"/>
    </row>
    <row r="67" spans="1:41" ht="12.75" customHeight="1" x14ac:dyDescent="0.2">
      <c r="A67" s="2613" t="s">
        <v>439</v>
      </c>
      <c r="B67" s="2613"/>
      <c r="C67" s="2613"/>
      <c r="D67" s="2613"/>
      <c r="E67" s="2613"/>
      <c r="F67" s="2613"/>
      <c r="G67" s="2613"/>
      <c r="H67" s="2613"/>
      <c r="I67" s="2613"/>
      <c r="J67" s="2613"/>
      <c r="K67" s="2613"/>
      <c r="L67" s="2613"/>
      <c r="M67" s="2613"/>
      <c r="N67" s="2613"/>
      <c r="O67" s="2613"/>
      <c r="P67" s="2613"/>
      <c r="Q67" s="2613"/>
      <c r="R67" s="2613"/>
      <c r="S67" s="2613"/>
      <c r="T67" s="2613"/>
      <c r="AN67" s="100"/>
      <c r="AO67" s="100"/>
    </row>
    <row r="68" spans="1:41" ht="13.5" customHeight="1" thickBot="1" x14ac:dyDescent="0.25">
      <c r="A68" s="2614"/>
      <c r="B68" s="2614"/>
      <c r="C68" s="2614"/>
      <c r="D68" s="2614"/>
      <c r="E68" s="2614"/>
      <c r="F68" s="2614"/>
      <c r="G68" s="2614"/>
      <c r="H68" s="2614"/>
      <c r="I68" s="2614"/>
      <c r="J68" s="2614"/>
      <c r="K68" s="2614"/>
      <c r="L68" s="2614"/>
      <c r="M68" s="2614"/>
      <c r="N68" s="2614"/>
      <c r="O68" s="2614"/>
      <c r="P68" s="2614"/>
      <c r="Q68" s="2614"/>
      <c r="R68" s="2614"/>
      <c r="S68" s="2614"/>
      <c r="T68" s="2614"/>
      <c r="AN68" s="100"/>
      <c r="AO68" s="100"/>
    </row>
    <row r="69" spans="1:41" ht="12.75" customHeight="1" x14ac:dyDescent="0.2">
      <c r="A69" s="2615" t="s">
        <v>0</v>
      </c>
      <c r="B69" s="2619" t="s">
        <v>426</v>
      </c>
      <c r="C69" s="2710" t="s">
        <v>10</v>
      </c>
      <c r="D69" s="2713" t="s">
        <v>417</v>
      </c>
      <c r="E69" s="2327" t="s">
        <v>422</v>
      </c>
      <c r="F69" s="2327"/>
      <c r="G69" s="2341" t="s">
        <v>423</v>
      </c>
      <c r="H69" s="2341" t="s">
        <v>424</v>
      </c>
      <c r="I69" s="2707" t="s">
        <v>430</v>
      </c>
      <c r="J69" s="2707"/>
      <c r="K69" s="2623" t="s">
        <v>428</v>
      </c>
      <c r="L69" s="2538"/>
      <c r="M69" s="2642" t="s">
        <v>436</v>
      </c>
      <c r="N69" s="2643"/>
      <c r="O69" s="2643"/>
      <c r="P69" s="2643"/>
      <c r="Q69" s="2643"/>
      <c r="R69" s="2644"/>
      <c r="S69" s="2669" t="s">
        <v>429</v>
      </c>
      <c r="T69" s="2670"/>
      <c r="AN69" s="100"/>
      <c r="AO69" s="100"/>
    </row>
    <row r="70" spans="1:41" ht="12.75" customHeight="1" x14ac:dyDescent="0.2">
      <c r="A70" s="2616"/>
      <c r="B70" s="2620"/>
      <c r="C70" s="2711"/>
      <c r="D70" s="2326"/>
      <c r="E70" s="2604"/>
      <c r="F70" s="2604"/>
      <c r="G70" s="2606"/>
      <c r="H70" s="2606"/>
      <c r="I70" s="2708"/>
      <c r="J70" s="2708"/>
      <c r="K70" s="2624"/>
      <c r="L70" s="2625"/>
      <c r="M70" s="2645"/>
      <c r="N70" s="2646"/>
      <c r="O70" s="2646"/>
      <c r="P70" s="2646"/>
      <c r="Q70" s="2646"/>
      <c r="R70" s="2647"/>
      <c r="S70" s="2671"/>
      <c r="T70" s="2672"/>
      <c r="AN70" s="100"/>
      <c r="AO70" s="100"/>
    </row>
    <row r="71" spans="1:41" ht="12.75" customHeight="1" x14ac:dyDescent="0.2">
      <c r="A71" s="2617"/>
      <c r="B71" s="2621"/>
      <c r="C71" s="2711"/>
      <c r="D71" s="2714"/>
      <c r="E71" s="2605"/>
      <c r="F71" s="2605"/>
      <c r="G71" s="2342"/>
      <c r="H71" s="2342"/>
      <c r="I71" s="2708"/>
      <c r="J71" s="2708"/>
      <c r="K71" s="2624"/>
      <c r="L71" s="2625"/>
      <c r="M71" s="2645"/>
      <c r="N71" s="2646"/>
      <c r="O71" s="2646"/>
      <c r="P71" s="2646"/>
      <c r="Q71" s="2646"/>
      <c r="R71" s="2647"/>
      <c r="S71" s="2671"/>
      <c r="T71" s="2672"/>
      <c r="AN71" s="100"/>
      <c r="AO71" s="100"/>
    </row>
    <row r="72" spans="1:41" ht="12.75" customHeight="1" x14ac:dyDescent="0.2">
      <c r="A72" s="2617"/>
      <c r="B72" s="2621"/>
      <c r="C72" s="2711"/>
      <c r="D72" s="2714"/>
      <c r="E72" s="2605"/>
      <c r="F72" s="2605"/>
      <c r="G72" s="2342"/>
      <c r="H72" s="2342"/>
      <c r="I72" s="2708"/>
      <c r="J72" s="2708"/>
      <c r="K72" s="2624"/>
      <c r="L72" s="2625"/>
      <c r="M72" s="2648"/>
      <c r="N72" s="2649"/>
      <c r="O72" s="2649"/>
      <c r="P72" s="2649"/>
      <c r="Q72" s="2649"/>
      <c r="R72" s="2650"/>
      <c r="S72" s="2671"/>
      <c r="T72" s="2672"/>
      <c r="AN72" s="100"/>
      <c r="AO72" s="100"/>
    </row>
    <row r="73" spans="1:41" ht="12.75" customHeight="1" x14ac:dyDescent="0.2">
      <c r="A73" s="2617"/>
      <c r="B73" s="2621"/>
      <c r="C73" s="2711"/>
      <c r="D73" s="2671" t="s">
        <v>419</v>
      </c>
      <c r="E73" s="2342" t="s">
        <v>420</v>
      </c>
      <c r="F73" s="2342"/>
      <c r="G73" s="2342"/>
      <c r="H73" s="2342"/>
      <c r="I73" s="2630" t="s">
        <v>433</v>
      </c>
      <c r="J73" s="2630"/>
      <c r="K73" s="2624"/>
      <c r="L73" s="2625"/>
      <c r="M73" s="2681" t="s">
        <v>435</v>
      </c>
      <c r="N73" s="2682"/>
      <c r="O73" s="2682"/>
      <c r="P73" s="2683"/>
      <c r="Q73" s="2660" t="s">
        <v>437</v>
      </c>
      <c r="R73" s="2661"/>
      <c r="S73" s="2671" t="s">
        <v>218</v>
      </c>
      <c r="T73" s="2672" t="s">
        <v>219</v>
      </c>
      <c r="AN73" s="100"/>
      <c r="AO73" s="100"/>
    </row>
    <row r="74" spans="1:41" ht="12.75" customHeight="1" x14ac:dyDescent="0.2">
      <c r="A74" s="2617"/>
      <c r="B74" s="2621"/>
      <c r="C74" s="2711"/>
      <c r="D74" s="2671"/>
      <c r="E74" s="2342"/>
      <c r="F74" s="2342"/>
      <c r="G74" s="2342"/>
      <c r="H74" s="2342"/>
      <c r="I74" s="2630"/>
      <c r="J74" s="2630"/>
      <c r="K74" s="2624"/>
      <c r="L74" s="2625"/>
      <c r="M74" s="2684"/>
      <c r="N74" s="2685"/>
      <c r="O74" s="2685"/>
      <c r="P74" s="2686"/>
      <c r="Q74" s="2660"/>
      <c r="R74" s="2661"/>
      <c r="S74" s="2671"/>
      <c r="T74" s="2672"/>
      <c r="AN74" s="100"/>
      <c r="AO74" s="100"/>
    </row>
    <row r="75" spans="1:41" ht="12.75" customHeight="1" thickBot="1" x14ac:dyDescent="0.25">
      <c r="A75" s="2618"/>
      <c r="B75" s="2622"/>
      <c r="C75" s="2712"/>
      <c r="D75" s="1084" t="s">
        <v>418</v>
      </c>
      <c r="E75" s="2607" t="s">
        <v>421</v>
      </c>
      <c r="F75" s="2607"/>
      <c r="G75" s="2607"/>
      <c r="H75" s="2607"/>
      <c r="I75" s="2657" t="s">
        <v>434</v>
      </c>
      <c r="J75" s="2657"/>
      <c r="K75" s="2626"/>
      <c r="L75" s="2627"/>
      <c r="M75" s="2687" t="s">
        <v>30</v>
      </c>
      <c r="N75" s="2688"/>
      <c r="O75" s="2688"/>
      <c r="P75" s="2689"/>
      <c r="Q75" s="2673" t="s">
        <v>30</v>
      </c>
      <c r="R75" s="2674"/>
      <c r="S75" s="1085" t="s">
        <v>35</v>
      </c>
      <c r="T75" s="1025" t="s">
        <v>35</v>
      </c>
      <c r="AN75" s="100"/>
      <c r="AO75" s="100"/>
    </row>
    <row r="76" spans="1:41" ht="12.75" customHeight="1" x14ac:dyDescent="0.2">
      <c r="A76" s="2619">
        <v>11</v>
      </c>
      <c r="B76" s="2619" t="s">
        <v>427</v>
      </c>
      <c r="C76" s="2387" t="s">
        <v>342</v>
      </c>
      <c r="D76" s="2663">
        <v>1540</v>
      </c>
      <c r="E76" s="2666">
        <v>0.15</v>
      </c>
      <c r="F76" s="2666"/>
      <c r="G76" s="2666">
        <v>0.8</v>
      </c>
      <c r="H76" s="2666">
        <v>0.6</v>
      </c>
      <c r="I76" s="2608">
        <f>D76/(SQRT(3)*6.3*1000)</f>
        <v>0.14113006580190854</v>
      </c>
      <c r="J76" s="2608"/>
      <c r="K76" s="2658">
        <v>1</v>
      </c>
      <c r="L76" s="2659"/>
      <c r="M76" s="2692">
        <f>(Q58*$AH$5)/(Q58+$AH$5)</f>
        <v>0.53293743850254516</v>
      </c>
      <c r="N76" s="2693"/>
      <c r="O76" s="2693"/>
      <c r="P76" s="2694"/>
      <c r="Q76" s="2675">
        <f>(Q58*$AI$5)/(Q58+$AI$5)</f>
        <v>0.61450401207322114</v>
      </c>
      <c r="R76" s="2676"/>
      <c r="S76" s="141">
        <f>6300/(SQRT(3)*M76)</f>
        <v>6825.0162835525243</v>
      </c>
      <c r="T76" s="143">
        <f>6300/(2*Q76)</f>
        <v>5126.0853275351146</v>
      </c>
      <c r="AN76" s="100"/>
      <c r="AO76" s="100"/>
    </row>
    <row r="77" spans="1:41" ht="12.75" customHeight="1" x14ac:dyDescent="0.2">
      <c r="A77" s="2621"/>
      <c r="B77" s="2621"/>
      <c r="C77" s="2571"/>
      <c r="D77" s="2664"/>
      <c r="E77" s="2667"/>
      <c r="F77" s="2667"/>
      <c r="G77" s="2667"/>
      <c r="H77" s="2667"/>
      <c r="I77" s="2609"/>
      <c r="J77" s="2609"/>
      <c r="K77" s="2611">
        <v>2</v>
      </c>
      <c r="L77" s="2612"/>
      <c r="M77" s="2637">
        <f t="shared" ref="M77:M82" si="26">(Q59*$AH$5)/(Q59+$AH$5)</f>
        <v>0.46836998622644965</v>
      </c>
      <c r="N77" s="2638"/>
      <c r="O77" s="2638"/>
      <c r="P77" s="2639"/>
      <c r="Q77" s="2653">
        <f t="shared" ref="Q77:Q83" si="27">(Q59*$AI$5)/(Q59+$AI$5)</f>
        <v>0.53022268082661528</v>
      </c>
      <c r="R77" s="2654"/>
      <c r="S77" s="159">
        <f t="shared" ref="S77:S82" si="28">6300/(SQRT(3)*M77)</f>
        <v>7765.883388898581</v>
      </c>
      <c r="T77" s="160">
        <f t="shared" ref="T77:T82" si="29">6300/(2*Q77)</f>
        <v>5940.9001423499294</v>
      </c>
      <c r="AN77" s="100"/>
      <c r="AO77" s="100"/>
    </row>
    <row r="78" spans="1:41" x14ac:dyDescent="0.2">
      <c r="A78" s="2621"/>
      <c r="B78" s="2621"/>
      <c r="C78" s="2571"/>
      <c r="D78" s="2664"/>
      <c r="E78" s="2667"/>
      <c r="F78" s="2667"/>
      <c r="G78" s="2667"/>
      <c r="H78" s="2667"/>
      <c r="I78" s="2609"/>
      <c r="J78" s="2609"/>
      <c r="K78" s="2640">
        <v>3</v>
      </c>
      <c r="L78" s="2641"/>
      <c r="M78" s="2637">
        <f t="shared" si="26"/>
        <v>0.4177570838051447</v>
      </c>
      <c r="N78" s="2638"/>
      <c r="O78" s="2638"/>
      <c r="P78" s="2639"/>
      <c r="Q78" s="2653">
        <f t="shared" si="27"/>
        <v>0.46627189275641084</v>
      </c>
      <c r="R78" s="2654"/>
      <c r="S78" s="159">
        <f t="shared" si="28"/>
        <v>8706.7504942446394</v>
      </c>
      <c r="T78" s="160">
        <f t="shared" si="29"/>
        <v>6755.7149571647433</v>
      </c>
      <c r="AN78" s="100"/>
      <c r="AO78" s="100"/>
    </row>
    <row r="79" spans="1:41" x14ac:dyDescent="0.2">
      <c r="A79" s="2621"/>
      <c r="B79" s="2621"/>
      <c r="C79" s="2571"/>
      <c r="D79" s="2664"/>
      <c r="E79" s="2667"/>
      <c r="F79" s="2667"/>
      <c r="G79" s="2667"/>
      <c r="H79" s="2667"/>
      <c r="I79" s="2609"/>
      <c r="J79" s="2609"/>
      <c r="K79" s="2611">
        <v>4</v>
      </c>
      <c r="L79" s="2612"/>
      <c r="M79" s="2637">
        <f t="shared" si="26"/>
        <v>0.37701605171923036</v>
      </c>
      <c r="N79" s="2638"/>
      <c r="O79" s="2638"/>
      <c r="P79" s="2639"/>
      <c r="Q79" s="2653">
        <f t="shared" si="27"/>
        <v>0.41608712928637365</v>
      </c>
      <c r="R79" s="2654"/>
      <c r="S79" s="159">
        <f t="shared" si="28"/>
        <v>9647.617599590696</v>
      </c>
      <c r="T79" s="160">
        <f t="shared" si="29"/>
        <v>7570.5297719795599</v>
      </c>
      <c r="AN79" s="100"/>
      <c r="AO79" s="100"/>
    </row>
    <row r="80" spans="1:41" x14ac:dyDescent="0.2">
      <c r="A80" s="2621"/>
      <c r="B80" s="2621"/>
      <c r="C80" s="2571"/>
      <c r="D80" s="2664"/>
      <c r="E80" s="2667"/>
      <c r="F80" s="2667"/>
      <c r="G80" s="2667"/>
      <c r="H80" s="2667"/>
      <c r="I80" s="2609"/>
      <c r="J80" s="2609"/>
      <c r="K80" s="2640">
        <v>5</v>
      </c>
      <c r="L80" s="2641"/>
      <c r="M80" s="2637">
        <f t="shared" si="26"/>
        <v>0.34351531850433636</v>
      </c>
      <c r="N80" s="2638"/>
      <c r="O80" s="2638"/>
      <c r="P80" s="2639"/>
      <c r="Q80" s="2653">
        <f t="shared" si="27"/>
        <v>0.37565540299450123</v>
      </c>
      <c r="R80" s="2654"/>
      <c r="S80" s="159">
        <f t="shared" si="28"/>
        <v>10588.484704936753</v>
      </c>
      <c r="T80" s="160">
        <f t="shared" si="29"/>
        <v>8385.3445867943738</v>
      </c>
      <c r="AN80" s="100"/>
      <c r="AO80" s="100"/>
    </row>
    <row r="81" spans="1:41" ht="12.75" customHeight="1" x14ac:dyDescent="0.2">
      <c r="A81" s="2621"/>
      <c r="B81" s="2621"/>
      <c r="C81" s="2571"/>
      <c r="D81" s="2664"/>
      <c r="E81" s="2667"/>
      <c r="F81" s="2667"/>
      <c r="G81" s="2667"/>
      <c r="H81" s="2667"/>
      <c r="I81" s="2609"/>
      <c r="J81" s="2609"/>
      <c r="K81" s="2611">
        <v>6</v>
      </c>
      <c r="L81" s="2612"/>
      <c r="M81" s="2637">
        <f t="shared" si="26"/>
        <v>0.31548232335581933</v>
      </c>
      <c r="N81" s="2638"/>
      <c r="O81" s="2638"/>
      <c r="P81" s="2639"/>
      <c r="Q81" s="2653">
        <f t="shared" si="27"/>
        <v>0.34238537208920938</v>
      </c>
      <c r="R81" s="2654"/>
      <c r="S81" s="159">
        <f t="shared" si="28"/>
        <v>11529.351810282811</v>
      </c>
      <c r="T81" s="160">
        <f t="shared" si="29"/>
        <v>9200.1594016091894</v>
      </c>
      <c r="AN81" s="100"/>
      <c r="AO81" s="100"/>
    </row>
    <row r="82" spans="1:41" x14ac:dyDescent="0.2">
      <c r="A82" s="2621"/>
      <c r="B82" s="2621"/>
      <c r="C82" s="2571"/>
      <c r="D82" s="2664"/>
      <c r="E82" s="2667"/>
      <c r="F82" s="2667"/>
      <c r="G82" s="2667"/>
      <c r="H82" s="2667"/>
      <c r="I82" s="2609"/>
      <c r="J82" s="2609"/>
      <c r="K82" s="2640">
        <v>7</v>
      </c>
      <c r="L82" s="2641"/>
      <c r="M82" s="2637">
        <f t="shared" si="26"/>
        <v>0.29167945811568902</v>
      </c>
      <c r="N82" s="2638"/>
      <c r="O82" s="2638"/>
      <c r="P82" s="2639"/>
      <c r="Q82" s="2653">
        <f t="shared" si="27"/>
        <v>0.3145290174421192</v>
      </c>
      <c r="R82" s="2654"/>
      <c r="S82" s="159">
        <f t="shared" si="28"/>
        <v>12470.218915628866</v>
      </c>
      <c r="T82" s="160">
        <f t="shared" si="29"/>
        <v>10014.974216424005</v>
      </c>
      <c r="AN82" s="100"/>
      <c r="AO82" s="100"/>
    </row>
    <row r="83" spans="1:41" ht="13.5" thickBot="1" x14ac:dyDescent="0.25">
      <c r="A83" s="2662"/>
      <c r="B83" s="2662"/>
      <c r="C83" s="2479"/>
      <c r="D83" s="2665"/>
      <c r="E83" s="2668"/>
      <c r="F83" s="2668"/>
      <c r="G83" s="2668"/>
      <c r="H83" s="2668"/>
      <c r="I83" s="2610"/>
      <c r="J83" s="2610"/>
      <c r="K83" s="2651">
        <v>8</v>
      </c>
      <c r="L83" s="2652"/>
      <c r="M83" s="2634">
        <f>(Q65*$AH$5)/(Q65+$AH$5)</f>
        <v>0.27121641679174224</v>
      </c>
      <c r="N83" s="2635"/>
      <c r="O83" s="2635"/>
      <c r="P83" s="2636"/>
      <c r="Q83" s="2655">
        <f t="shared" si="27"/>
        <v>0.29086439180982565</v>
      </c>
      <c r="R83" s="2656"/>
      <c r="S83" s="177">
        <f>6300/(SQRT(3)*M83)</f>
        <v>13411.086020974923</v>
      </c>
      <c r="T83" s="178">
        <f>6300/(2*Q83)</f>
        <v>10829.789031238819</v>
      </c>
      <c r="AN83" s="100"/>
      <c r="AO83" s="100"/>
    </row>
    <row r="84" spans="1:41" x14ac:dyDescent="0.2">
      <c r="D84" s="195"/>
      <c r="E84" s="195"/>
      <c r="P84" s="100"/>
      <c r="AN84" s="100"/>
      <c r="AO84" s="100"/>
    </row>
    <row r="85" spans="1:41" x14ac:dyDescent="0.2">
      <c r="P85" s="100"/>
      <c r="AN85" s="100"/>
      <c r="AO85" s="100"/>
    </row>
    <row r="86" spans="1:41" ht="15.75" customHeight="1" x14ac:dyDescent="0.2">
      <c r="B86" s="192" t="s">
        <v>158</v>
      </c>
      <c r="C86" s="192"/>
      <c r="E86" s="2378">
        <v>42648</v>
      </c>
      <c r="F86" s="2378"/>
      <c r="G86" s="100" t="s">
        <v>390</v>
      </c>
      <c r="AN86" s="100"/>
      <c r="AO86" s="100"/>
    </row>
    <row r="87" spans="1:41" x14ac:dyDescent="0.2">
      <c r="B87" s="185" t="s">
        <v>328</v>
      </c>
      <c r="E87" s="2380" t="s">
        <v>189</v>
      </c>
      <c r="F87" s="2380"/>
      <c r="AN87" s="100"/>
      <c r="AO87" s="100"/>
    </row>
    <row r="88" spans="1:41" x14ac:dyDescent="0.2">
      <c r="AN88" s="100"/>
      <c r="AO88" s="100"/>
    </row>
    <row r="89" spans="1:41" x14ac:dyDescent="0.2">
      <c r="AN89" s="100"/>
      <c r="AO89" s="100"/>
    </row>
    <row r="90" spans="1:41" x14ac:dyDescent="0.2">
      <c r="AN90" s="100"/>
      <c r="AO90" s="100"/>
    </row>
    <row r="91" spans="1:41" x14ac:dyDescent="0.2">
      <c r="AN91" s="100"/>
      <c r="AO91" s="100"/>
    </row>
    <row r="92" spans="1:41" x14ac:dyDescent="0.2">
      <c r="AN92" s="100"/>
      <c r="AO92" s="100"/>
    </row>
    <row r="93" spans="1:41" x14ac:dyDescent="0.2">
      <c r="AN93" s="100"/>
      <c r="AO93" s="100"/>
    </row>
    <row r="94" spans="1:41" x14ac:dyDescent="0.2">
      <c r="AN94" s="100"/>
      <c r="AO94" s="100"/>
    </row>
    <row r="95" spans="1:41" x14ac:dyDescent="0.2">
      <c r="AN95" s="100"/>
      <c r="AO95" s="100"/>
    </row>
    <row r="96" spans="1:41" x14ac:dyDescent="0.2">
      <c r="AN96" s="100"/>
      <c r="AO96" s="100"/>
    </row>
    <row r="97" spans="40:41" x14ac:dyDescent="0.2">
      <c r="AN97" s="100"/>
      <c r="AO97" s="100"/>
    </row>
    <row r="98" spans="40:41" x14ac:dyDescent="0.2">
      <c r="AN98" s="100"/>
      <c r="AO98" s="100"/>
    </row>
    <row r="99" spans="40:41" x14ac:dyDescent="0.2">
      <c r="AN99" s="100"/>
      <c r="AO99" s="100"/>
    </row>
    <row r="100" spans="40:41" x14ac:dyDescent="0.2">
      <c r="AN100" s="100"/>
      <c r="AO100" s="100"/>
    </row>
    <row r="101" spans="40:41" x14ac:dyDescent="0.2">
      <c r="AN101" s="100"/>
      <c r="AO101" s="100"/>
    </row>
    <row r="102" spans="40:41" x14ac:dyDescent="0.2">
      <c r="AN102" s="100"/>
      <c r="AO102" s="100"/>
    </row>
    <row r="103" spans="40:41" x14ac:dyDescent="0.2">
      <c r="AN103" s="100"/>
      <c r="AO103" s="100"/>
    </row>
    <row r="104" spans="40:41" x14ac:dyDescent="0.2">
      <c r="AN104" s="100"/>
      <c r="AO104" s="100"/>
    </row>
    <row r="105" spans="40:41" x14ac:dyDescent="0.2">
      <c r="AN105" s="100"/>
      <c r="AO105" s="100"/>
    </row>
    <row r="106" spans="40:41" x14ac:dyDescent="0.2">
      <c r="AN106" s="100"/>
      <c r="AO106" s="100"/>
    </row>
    <row r="107" spans="40:41" x14ac:dyDescent="0.2">
      <c r="AN107" s="100"/>
      <c r="AO107" s="100"/>
    </row>
    <row r="108" spans="40:41" x14ac:dyDescent="0.2">
      <c r="AN108" s="100"/>
      <c r="AO108" s="100"/>
    </row>
    <row r="109" spans="40:41" x14ac:dyDescent="0.2">
      <c r="AN109" s="100"/>
      <c r="AO109" s="100"/>
    </row>
    <row r="110" spans="40:41" x14ac:dyDescent="0.2">
      <c r="AN110" s="100"/>
      <c r="AO110" s="100"/>
    </row>
    <row r="111" spans="40:41" x14ac:dyDescent="0.2">
      <c r="AN111" s="100"/>
      <c r="AO111" s="100"/>
    </row>
    <row r="112" spans="40:41" x14ac:dyDescent="0.2">
      <c r="AN112" s="100"/>
      <c r="AO112" s="100"/>
    </row>
    <row r="113" spans="40:41" x14ac:dyDescent="0.2">
      <c r="AN113" s="100"/>
      <c r="AO113" s="100"/>
    </row>
    <row r="114" spans="40:41" x14ac:dyDescent="0.2">
      <c r="AN114" s="100"/>
      <c r="AO114" s="100"/>
    </row>
    <row r="158" spans="1:1" x14ac:dyDescent="0.2">
      <c r="A158" s="195"/>
    </row>
    <row r="159" spans="1:1" x14ac:dyDescent="0.2">
      <c r="A159" s="195"/>
    </row>
    <row r="160" spans="1:1" x14ac:dyDescent="0.2">
      <c r="A160" s="195"/>
    </row>
    <row r="161" spans="1:1" x14ac:dyDescent="0.2">
      <c r="A161" s="195"/>
    </row>
  </sheetData>
  <mergeCells count="155">
    <mergeCell ref="G17:H17"/>
    <mergeCell ref="P17:Q17"/>
    <mergeCell ref="R17:S17"/>
    <mergeCell ref="T17:U17"/>
    <mergeCell ref="AF17:AG17"/>
    <mergeCell ref="E55:F56"/>
    <mergeCell ref="S55:S56"/>
    <mergeCell ref="M51:P57"/>
    <mergeCell ref="K55:L56"/>
    <mergeCell ref="E57:F57"/>
    <mergeCell ref="Y2:Y4"/>
    <mergeCell ref="V2:V4"/>
    <mergeCell ref="G2:H2"/>
    <mergeCell ref="B15:B16"/>
    <mergeCell ref="E86:F86"/>
    <mergeCell ref="D73:D74"/>
    <mergeCell ref="C58:C65"/>
    <mergeCell ref="D51:D54"/>
    <mergeCell ref="D55:D56"/>
    <mergeCell ref="B51:B57"/>
    <mergeCell ref="B58:B65"/>
    <mergeCell ref="E58:F65"/>
    <mergeCell ref="C25:C26"/>
    <mergeCell ref="C15:C16"/>
    <mergeCell ref="C51:C57"/>
    <mergeCell ref="D58:D65"/>
    <mergeCell ref="A49:T50"/>
    <mergeCell ref="T55:T56"/>
    <mergeCell ref="Q58:R58"/>
    <mergeCell ref="E51:F54"/>
    <mergeCell ref="I58:J65"/>
    <mergeCell ref="I55:J56"/>
    <mergeCell ref="G51:G57"/>
    <mergeCell ref="H51:H57"/>
    <mergeCell ref="AC2:AC3"/>
    <mergeCell ref="T2:U2"/>
    <mergeCell ref="Z2:Z3"/>
    <mergeCell ref="B7:B8"/>
    <mergeCell ref="W2:W4"/>
    <mergeCell ref="E87:F87"/>
    <mergeCell ref="AD2:AD3"/>
    <mergeCell ref="AE2:AE3"/>
    <mergeCell ref="AF2:AG2"/>
    <mergeCell ref="K57:L57"/>
    <mergeCell ref="AB2:AB3"/>
    <mergeCell ref="P2:Q3"/>
    <mergeCell ref="X2:X3"/>
    <mergeCell ref="C13:C14"/>
    <mergeCell ref="C9:C10"/>
    <mergeCell ref="I2:O2"/>
    <mergeCell ref="B11:B12"/>
    <mergeCell ref="B13:B14"/>
    <mergeCell ref="E2:E4"/>
    <mergeCell ref="F2:F4"/>
    <mergeCell ref="B9:B10"/>
    <mergeCell ref="C2:C4"/>
    <mergeCell ref="C11:C12"/>
    <mergeCell ref="C7:C8"/>
    <mergeCell ref="C69:C75"/>
    <mergeCell ref="D69:D72"/>
    <mergeCell ref="G58:G65"/>
    <mergeCell ref="M64:P64"/>
    <mergeCell ref="M65:P65"/>
    <mergeCell ref="M61:P61"/>
    <mergeCell ref="H58:H65"/>
    <mergeCell ref="A1:AO1"/>
    <mergeCell ref="AN2:AO2"/>
    <mergeCell ref="A2:A4"/>
    <mergeCell ref="B2:B4"/>
    <mergeCell ref="D2:D4"/>
    <mergeCell ref="A58:A65"/>
    <mergeCell ref="K51:L54"/>
    <mergeCell ref="S51:T54"/>
    <mergeCell ref="A51:A57"/>
    <mergeCell ref="AL2:AL3"/>
    <mergeCell ref="AM2:AM3"/>
    <mergeCell ref="AJ2:AK2"/>
    <mergeCell ref="AH2:AI2"/>
    <mergeCell ref="AA2:AA3"/>
    <mergeCell ref="B5:B6"/>
    <mergeCell ref="C5:C6"/>
    <mergeCell ref="R2:S2"/>
    <mergeCell ref="M59:P59"/>
    <mergeCell ref="M62:P62"/>
    <mergeCell ref="Q51:R54"/>
    <mergeCell ref="Q55:R56"/>
    <mergeCell ref="Q59:R59"/>
    <mergeCell ref="M58:P58"/>
    <mergeCell ref="Q60:R60"/>
    <mergeCell ref="Q57:R57"/>
    <mergeCell ref="H69:H75"/>
    <mergeCell ref="I69:J72"/>
    <mergeCell ref="Q65:R65"/>
    <mergeCell ref="I51:J54"/>
    <mergeCell ref="I57:J57"/>
    <mergeCell ref="Q75:R75"/>
    <mergeCell ref="Q76:R76"/>
    <mergeCell ref="Q82:R82"/>
    <mergeCell ref="Q64:R64"/>
    <mergeCell ref="Q61:R61"/>
    <mergeCell ref="Q62:R62"/>
    <mergeCell ref="Q63:R63"/>
    <mergeCell ref="M60:P60"/>
    <mergeCell ref="M73:P74"/>
    <mergeCell ref="M75:P75"/>
    <mergeCell ref="M63:P63"/>
    <mergeCell ref="M76:P76"/>
    <mergeCell ref="C18:C19"/>
    <mergeCell ref="I73:J74"/>
    <mergeCell ref="C20:C21"/>
    <mergeCell ref="C23:C24"/>
    <mergeCell ref="M83:P83"/>
    <mergeCell ref="M80:P80"/>
    <mergeCell ref="K82:L82"/>
    <mergeCell ref="M82:P82"/>
    <mergeCell ref="K77:L77"/>
    <mergeCell ref="K78:L78"/>
    <mergeCell ref="M69:R72"/>
    <mergeCell ref="I76:J83"/>
    <mergeCell ref="K79:L79"/>
    <mergeCell ref="K83:L83"/>
    <mergeCell ref="Q80:R80"/>
    <mergeCell ref="Q81:R81"/>
    <mergeCell ref="Q83:R83"/>
    <mergeCell ref="Q79:R79"/>
    <mergeCell ref="I75:J75"/>
    <mergeCell ref="K76:L76"/>
    <mergeCell ref="Q78:R78"/>
    <mergeCell ref="Q77:R77"/>
    <mergeCell ref="Q73:R74"/>
    <mergeCell ref="C76:C83"/>
    <mergeCell ref="E69:F72"/>
    <mergeCell ref="G69:G75"/>
    <mergeCell ref="E75:F75"/>
    <mergeCell ref="K58:L65"/>
    <mergeCell ref="K81:L81"/>
    <mergeCell ref="A67:T68"/>
    <mergeCell ref="A69:A75"/>
    <mergeCell ref="B69:B75"/>
    <mergeCell ref="K69:L75"/>
    <mergeCell ref="E73:F74"/>
    <mergeCell ref="A76:A83"/>
    <mergeCell ref="B76:B83"/>
    <mergeCell ref="D76:D83"/>
    <mergeCell ref="G76:G83"/>
    <mergeCell ref="H76:H83"/>
    <mergeCell ref="E76:F83"/>
    <mergeCell ref="M81:P81"/>
    <mergeCell ref="M79:P79"/>
    <mergeCell ref="M78:P78"/>
    <mergeCell ref="M77:P77"/>
    <mergeCell ref="K80:L80"/>
    <mergeCell ref="S69:T72"/>
    <mergeCell ref="S73:S74"/>
    <mergeCell ref="T73:T74"/>
  </mergeCells>
  <pageMargins left="0.23622047244094491" right="0.23622047244094491" top="0.39370078740157483" bottom="0.31496062992125984" header="0.35433070866141736" footer="0.15748031496062992"/>
  <pageSetup paperSize="9" scale="76" orientation="landscape" r:id="rId1"/>
  <headerFooter>
    <oddFooter>&amp;L&amp;Z&amp;F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DB57-E075-4E0F-B4F9-8ADD7EAD3D99}">
  <sheetPr codeName="Лист15"/>
  <dimension ref="A1:AM84"/>
  <sheetViews>
    <sheetView zoomScaleNormal="100" workbookViewId="0">
      <selection activeCell="AD6" sqref="AD6"/>
    </sheetView>
  </sheetViews>
  <sheetFormatPr defaultRowHeight="12.75" x14ac:dyDescent="0.2"/>
  <cols>
    <col min="1" max="1" width="2.85546875" style="30" customWidth="1"/>
    <col min="2" max="2" width="17.28515625" style="71" customWidth="1"/>
    <col min="3" max="3" width="6.42578125" style="30" customWidth="1"/>
    <col min="4" max="4" width="7.28515625" style="11" customWidth="1"/>
    <col min="5" max="5" width="3.140625" style="11" customWidth="1"/>
    <col min="6" max="6" width="9" style="30" customWidth="1"/>
    <col min="7" max="7" width="6.42578125" style="30" customWidth="1"/>
    <col min="8" max="8" width="7.42578125" style="30" customWidth="1"/>
    <col min="9" max="9" width="5.42578125" style="72" customWidth="1"/>
    <col min="10" max="10" width="5.7109375" style="72" bestFit="1" customWidth="1"/>
    <col min="11" max="11" width="5.42578125" style="73" customWidth="1"/>
    <col min="12" max="12" width="4.140625" style="11" customWidth="1"/>
    <col min="13" max="13" width="4" style="11" customWidth="1"/>
    <col min="14" max="15" width="5.5703125" style="11" customWidth="1"/>
    <col min="16" max="19" width="7.7109375" style="30" customWidth="1"/>
    <col min="20" max="20" width="3.5703125" style="11" customWidth="1"/>
    <col min="21" max="21" width="13.28515625" style="30" customWidth="1"/>
    <col min="22" max="22" width="5.7109375" style="30" customWidth="1"/>
    <col min="23" max="24" width="5.85546875" style="30" customWidth="1"/>
    <col min="25" max="25" width="5.28515625" style="30" customWidth="1"/>
    <col min="26" max="26" width="6.140625" style="30" customWidth="1"/>
    <col min="27" max="27" width="7.5703125" style="30" customWidth="1"/>
    <col min="28" max="28" width="5.42578125" style="11" customWidth="1"/>
    <col min="29" max="29" width="6.42578125" style="30" customWidth="1"/>
    <col min="30" max="31" width="8.140625" style="30" customWidth="1"/>
    <col min="32" max="32" width="7" style="30" customWidth="1"/>
    <col min="33" max="33" width="7.28515625" style="30" customWidth="1"/>
    <col min="34" max="35" width="6.28515625" style="12" customWidth="1"/>
    <col min="36" max="36" width="5" style="74" customWidth="1"/>
    <col min="37" max="37" width="4.5703125" style="12" customWidth="1"/>
    <col min="38" max="39" width="7.28515625" style="30" customWidth="1"/>
    <col min="40" max="16384" width="9.140625" style="30"/>
  </cols>
  <sheetData>
    <row r="1" spans="1:39" ht="30.75" customHeight="1" thickBot="1" x14ac:dyDescent="0.25">
      <c r="B1" s="30"/>
      <c r="P1" s="31" t="s">
        <v>180</v>
      </c>
    </row>
    <row r="2" spans="1:39" s="3" customFormat="1" ht="85.5" customHeight="1" x14ac:dyDescent="0.2">
      <c r="A2" s="2740" t="s">
        <v>0</v>
      </c>
      <c r="B2" s="2743" t="s">
        <v>1</v>
      </c>
      <c r="C2" s="2767" t="s">
        <v>2</v>
      </c>
      <c r="D2" s="2746" t="s">
        <v>3</v>
      </c>
      <c r="E2" s="2748" t="s">
        <v>4</v>
      </c>
      <c r="F2" s="2746" t="s">
        <v>5</v>
      </c>
      <c r="G2" s="2750" t="s">
        <v>6</v>
      </c>
      <c r="H2" s="2751"/>
      <c r="I2" s="2752" t="s">
        <v>7</v>
      </c>
      <c r="J2" s="2753"/>
      <c r="K2" s="2753"/>
      <c r="L2" s="2753"/>
      <c r="M2" s="2754"/>
      <c r="N2" s="2757" t="s">
        <v>8</v>
      </c>
      <c r="O2" s="2758"/>
      <c r="P2" s="2764" t="s">
        <v>11</v>
      </c>
      <c r="Q2" s="2764"/>
      <c r="R2" s="2737" t="s">
        <v>332</v>
      </c>
      <c r="S2" s="2737"/>
      <c r="T2" s="2760" t="s">
        <v>329</v>
      </c>
      <c r="U2" s="2762" t="s">
        <v>10</v>
      </c>
      <c r="V2" s="2755" t="s">
        <v>12</v>
      </c>
      <c r="W2" s="2765" t="s">
        <v>13</v>
      </c>
      <c r="X2" s="2755" t="s">
        <v>14</v>
      </c>
      <c r="Y2" s="2755" t="s">
        <v>15</v>
      </c>
      <c r="Z2" s="2775" t="s">
        <v>16</v>
      </c>
      <c r="AA2" s="2755" t="s">
        <v>17</v>
      </c>
      <c r="AB2" s="2755" t="s">
        <v>18</v>
      </c>
      <c r="AC2" s="2756" t="s">
        <v>19</v>
      </c>
      <c r="AD2" s="2772" t="s">
        <v>315</v>
      </c>
      <c r="AE2" s="2753"/>
      <c r="AF2" s="2773" t="s">
        <v>316</v>
      </c>
      <c r="AG2" s="2774"/>
      <c r="AH2" s="2739" t="s">
        <v>331</v>
      </c>
      <c r="AI2" s="2739"/>
      <c r="AJ2" s="2771" t="s">
        <v>20</v>
      </c>
      <c r="AK2" s="2771" t="s">
        <v>21</v>
      </c>
      <c r="AL2" s="2737" t="s">
        <v>330</v>
      </c>
      <c r="AM2" s="2738"/>
    </row>
    <row r="3" spans="1:39" s="3" customFormat="1" ht="34.5" customHeight="1" x14ac:dyDescent="0.2">
      <c r="A3" s="2741"/>
      <c r="B3" s="2744"/>
      <c r="C3" s="2768"/>
      <c r="D3" s="2597"/>
      <c r="E3" s="2600"/>
      <c r="F3" s="2597"/>
      <c r="G3" s="4" t="s">
        <v>22</v>
      </c>
      <c r="H3" s="41" t="s">
        <v>23</v>
      </c>
      <c r="I3" s="61" t="s">
        <v>24</v>
      </c>
      <c r="J3" s="5" t="s">
        <v>25</v>
      </c>
      <c r="K3" s="6" t="s">
        <v>26</v>
      </c>
      <c r="L3" s="6" t="s">
        <v>27</v>
      </c>
      <c r="M3" s="62" t="s">
        <v>28</v>
      </c>
      <c r="N3" s="2759"/>
      <c r="O3" s="2590"/>
      <c r="P3" s="1" t="s">
        <v>216</v>
      </c>
      <c r="Q3" s="1" t="s">
        <v>217</v>
      </c>
      <c r="R3" s="2" t="s">
        <v>178</v>
      </c>
      <c r="S3" s="2" t="s">
        <v>179</v>
      </c>
      <c r="T3" s="2593"/>
      <c r="U3" s="2595"/>
      <c r="V3" s="2575"/>
      <c r="W3" s="2583"/>
      <c r="X3" s="2575"/>
      <c r="Y3" s="2575"/>
      <c r="Z3" s="2585"/>
      <c r="AA3" s="2575"/>
      <c r="AB3" s="2575"/>
      <c r="AC3" s="2577"/>
      <c r="AD3" s="1" t="s">
        <v>216</v>
      </c>
      <c r="AE3" s="50" t="s">
        <v>217</v>
      </c>
      <c r="AF3" s="51" t="s">
        <v>216</v>
      </c>
      <c r="AG3" s="52" t="s">
        <v>217</v>
      </c>
      <c r="AH3" s="42" t="s">
        <v>178</v>
      </c>
      <c r="AI3" s="2" t="s">
        <v>179</v>
      </c>
      <c r="AJ3" s="2573"/>
      <c r="AK3" s="2573"/>
      <c r="AL3" s="2" t="s">
        <v>178</v>
      </c>
      <c r="AM3" s="39" t="s">
        <v>179</v>
      </c>
    </row>
    <row r="4" spans="1:39" s="3" customFormat="1" ht="14.25" customHeight="1" thickBot="1" x14ac:dyDescent="0.25">
      <c r="A4" s="2742"/>
      <c r="B4" s="2745"/>
      <c r="C4" s="2769"/>
      <c r="D4" s="2747"/>
      <c r="E4" s="2749"/>
      <c r="F4" s="2747"/>
      <c r="G4" s="32" t="s">
        <v>30</v>
      </c>
      <c r="H4" s="59" t="s">
        <v>30</v>
      </c>
      <c r="I4" s="63" t="s">
        <v>31</v>
      </c>
      <c r="J4" s="33" t="s">
        <v>31</v>
      </c>
      <c r="K4" s="34" t="s">
        <v>31</v>
      </c>
      <c r="L4" s="34" t="s">
        <v>31</v>
      </c>
      <c r="M4" s="38" t="s">
        <v>31</v>
      </c>
      <c r="N4" s="60" t="s">
        <v>30</v>
      </c>
      <c r="O4" s="34" t="s">
        <v>30</v>
      </c>
      <c r="P4" s="34" t="s">
        <v>30</v>
      </c>
      <c r="Q4" s="34" t="s">
        <v>30</v>
      </c>
      <c r="R4" s="35" t="s">
        <v>35</v>
      </c>
      <c r="S4" s="35" t="s">
        <v>35</v>
      </c>
      <c r="T4" s="2761"/>
      <c r="U4" s="2763"/>
      <c r="V4" s="36" t="s">
        <v>32</v>
      </c>
      <c r="W4" s="2766"/>
      <c r="X4" s="36" t="s">
        <v>33</v>
      </c>
      <c r="Y4" s="36" t="s">
        <v>33</v>
      </c>
      <c r="Z4" s="37" t="s">
        <v>34</v>
      </c>
      <c r="AA4" s="36" t="s">
        <v>35</v>
      </c>
      <c r="AB4" s="36" t="s">
        <v>34</v>
      </c>
      <c r="AC4" s="36" t="s">
        <v>30</v>
      </c>
      <c r="AD4" s="34" t="s">
        <v>30</v>
      </c>
      <c r="AE4" s="55" t="s">
        <v>30</v>
      </c>
      <c r="AF4" s="56" t="s">
        <v>30</v>
      </c>
      <c r="AG4" s="57" t="s">
        <v>30</v>
      </c>
      <c r="AH4" s="58" t="s">
        <v>35</v>
      </c>
      <c r="AI4" s="35" t="s">
        <v>35</v>
      </c>
      <c r="AJ4" s="35" t="s">
        <v>35</v>
      </c>
      <c r="AK4" s="35" t="s">
        <v>35</v>
      </c>
      <c r="AL4" s="35" t="s">
        <v>35</v>
      </c>
      <c r="AM4" s="40" t="s">
        <v>35</v>
      </c>
    </row>
    <row r="5" spans="1:39" x14ac:dyDescent="0.2">
      <c r="A5" s="87">
        <v>5</v>
      </c>
      <c r="B5" s="93" t="s">
        <v>143</v>
      </c>
      <c r="C5" s="90" t="s">
        <v>37</v>
      </c>
      <c r="D5" s="14" t="s">
        <v>181</v>
      </c>
      <c r="E5" s="14" t="s">
        <v>39</v>
      </c>
      <c r="F5" s="14" t="s">
        <v>40</v>
      </c>
      <c r="G5" s="22">
        <v>7.16</v>
      </c>
      <c r="H5" s="64">
        <v>11.85</v>
      </c>
      <c r="I5" s="88"/>
      <c r="J5" s="96">
        <v>11.914</v>
      </c>
      <c r="K5" s="22"/>
      <c r="L5" s="22"/>
      <c r="M5" s="97"/>
      <c r="N5" s="65">
        <f t="shared" ref="N5:N10" si="0">0.314*I5+0.249*J5+0.195*K5+0.159*L5+0.06*M5</f>
        <v>2.9665859999999999</v>
      </c>
      <c r="O5" s="22">
        <f t="shared" ref="O5:O10" si="1">0.4*SUM(I5:M5)</f>
        <v>4.7656000000000001</v>
      </c>
      <c r="P5" s="23">
        <f t="shared" ref="P5:P10" si="2">SQRT(POWER(N5,2)+POWER(O5+G5,2))</f>
        <v>12.289042593115054</v>
      </c>
      <c r="Q5" s="24">
        <f t="shared" ref="Q5:Q10" si="3">SQRT(POWER(N5,2)+POWER(O5+H5,2))</f>
        <v>16.878352877440264</v>
      </c>
      <c r="R5" s="25">
        <f t="shared" ref="R5:R10" si="4">37000/1.73/SQRT(POWER((G5+O5),2)+N5*N5)</f>
        <v>1740.3539026690705</v>
      </c>
      <c r="S5" s="25">
        <f t="shared" ref="S5:S10" si="5">37000/2/SQRT(N5*N5+POWER((H5+O5),2))</f>
        <v>1096.0785175150143</v>
      </c>
      <c r="T5" s="22">
        <v>1</v>
      </c>
      <c r="U5" s="22" t="s">
        <v>41</v>
      </c>
      <c r="V5" s="22">
        <v>4</v>
      </c>
      <c r="W5" s="22">
        <v>11</v>
      </c>
      <c r="X5" s="22">
        <v>35</v>
      </c>
      <c r="Y5" s="22">
        <v>6.3</v>
      </c>
      <c r="Z5" s="24">
        <v>7.96</v>
      </c>
      <c r="AA5" s="22"/>
      <c r="AB5" s="22"/>
      <c r="AC5" s="24">
        <f t="shared" ref="AC5:AC10" si="6">Z5/100*X5*X5/V5</f>
        <v>24.377500000000001</v>
      </c>
      <c r="AD5" s="75">
        <f t="shared" ref="AD5:AD10" si="7">SQRT(POWER(N5,2)+POWER(O5+AC5+G5,2))</f>
        <v>36.424108803173155</v>
      </c>
      <c r="AE5" s="79">
        <f t="shared" ref="AE5:AE10" si="8">SQRT(POWER(N5,2)+POWER(O5+AC5+H5,2))</f>
        <v>41.100302676566699</v>
      </c>
      <c r="AF5" s="53">
        <f t="shared" ref="AF5:AF10" si="9">SQRT(POWER((AC5+O5+G5),2)+POWER(N5,2))*POWER(6.3/35,2)</f>
        <v>1.1801411252228102</v>
      </c>
      <c r="AG5" s="54">
        <f t="shared" ref="AG5:AG10" si="10">SQRT(POWER((H5+O5+AC5),2)+POWER(N5,2))*POWER(6.3/35,2)</f>
        <v>1.3316498067207609</v>
      </c>
      <c r="AH5" s="43">
        <f>37000/1.73/SQRT(POWER((G5+O5+AC5),2)+N5*N5)</f>
        <v>587.17382359485555</v>
      </c>
      <c r="AI5" s="25">
        <f t="shared" ref="AI5:AI10" si="11">37000/2/SQRT(POWER((H5+O5+AC5),2)+N5*N5)</f>
        <v>450.11833965270915</v>
      </c>
      <c r="AJ5" s="25">
        <f t="shared" ref="AJ5:AJ10" si="12">AI5/1.2</f>
        <v>375.09861637725766</v>
      </c>
      <c r="AK5" s="25">
        <f t="shared" ref="AK5:AK10" si="13">AI5/1.5</f>
        <v>300.0788931018061</v>
      </c>
      <c r="AL5" s="89">
        <f t="shared" ref="AL5:AL10" si="14">6300/(1.73*AF5)</f>
        <v>3085.7483221951866</v>
      </c>
      <c r="AM5" s="66">
        <f t="shared" ref="AM5:AM10" si="15">6300/(2*AG5)</f>
        <v>2365.4867699466699</v>
      </c>
    </row>
    <row r="6" spans="1:39" x14ac:dyDescent="0.2">
      <c r="A6" s="84">
        <v>5</v>
      </c>
      <c r="B6" s="94" t="s">
        <v>143</v>
      </c>
      <c r="C6" s="91" t="s">
        <v>37</v>
      </c>
      <c r="D6" s="8" t="s">
        <v>182</v>
      </c>
      <c r="E6" s="8" t="s">
        <v>39</v>
      </c>
      <c r="F6" s="8" t="s">
        <v>40</v>
      </c>
      <c r="G6" s="7">
        <v>6.77</v>
      </c>
      <c r="H6" s="67">
        <v>11.18</v>
      </c>
      <c r="I6" s="76"/>
      <c r="J6" s="28">
        <v>11.914</v>
      </c>
      <c r="K6" s="7"/>
      <c r="L6" s="7"/>
      <c r="M6" s="29"/>
      <c r="N6" s="26">
        <f t="shared" si="0"/>
        <v>2.9665859999999999</v>
      </c>
      <c r="O6" s="7">
        <f t="shared" si="1"/>
        <v>4.7656000000000001</v>
      </c>
      <c r="P6" s="19">
        <f t="shared" si="2"/>
        <v>11.910948738677199</v>
      </c>
      <c r="Q6" s="9">
        <f t="shared" si="3"/>
        <v>16.21921058052444</v>
      </c>
      <c r="R6" s="10">
        <f t="shared" si="4"/>
        <v>1795.5986299853255</v>
      </c>
      <c r="S6" s="10">
        <f t="shared" si="5"/>
        <v>1140.6227145366906</v>
      </c>
      <c r="T6" s="7">
        <v>2</v>
      </c>
      <c r="U6" s="7" t="s">
        <v>41</v>
      </c>
      <c r="V6" s="7">
        <v>4</v>
      </c>
      <c r="W6" s="7">
        <v>11</v>
      </c>
      <c r="X6" s="7">
        <v>35</v>
      </c>
      <c r="Y6" s="7">
        <v>6.3</v>
      </c>
      <c r="Z6" s="9">
        <v>7.4</v>
      </c>
      <c r="AA6" s="7"/>
      <c r="AB6" s="7"/>
      <c r="AC6" s="9">
        <f t="shared" si="6"/>
        <v>22.662500000000001</v>
      </c>
      <c r="AD6" s="77">
        <f t="shared" si="7"/>
        <v>34.326530207776543</v>
      </c>
      <c r="AE6" s="78">
        <f t="shared" si="8"/>
        <v>38.721906178614141</v>
      </c>
      <c r="AF6" s="46">
        <f t="shared" si="9"/>
        <v>1.1121795787319599</v>
      </c>
      <c r="AG6" s="47">
        <f t="shared" si="10"/>
        <v>1.2545897601870981</v>
      </c>
      <c r="AH6" s="44">
        <f>37000/1.73/SQRT(POWER((G6+O6+AC6),2)+N6*N6)</f>
        <v>623.0540374322195</v>
      </c>
      <c r="AI6" s="10">
        <f t="shared" si="11"/>
        <v>477.76573587736834</v>
      </c>
      <c r="AJ6" s="10">
        <f t="shared" si="12"/>
        <v>398.13811323114032</v>
      </c>
      <c r="AK6" s="10">
        <f t="shared" si="13"/>
        <v>318.51049058491225</v>
      </c>
      <c r="AL6" s="21">
        <f>6300/(1.73*AF6)</f>
        <v>3274.3080045236761</v>
      </c>
      <c r="AM6" s="68">
        <f t="shared" si="15"/>
        <v>2510.7808942504344</v>
      </c>
    </row>
    <row r="7" spans="1:39" x14ac:dyDescent="0.2">
      <c r="A7" s="84">
        <v>5</v>
      </c>
      <c r="B7" s="94" t="s">
        <v>36</v>
      </c>
      <c r="C7" s="91" t="s">
        <v>37</v>
      </c>
      <c r="D7" s="8" t="s">
        <v>181</v>
      </c>
      <c r="E7" s="8" t="s">
        <v>39</v>
      </c>
      <c r="F7" s="8" t="s">
        <v>40</v>
      </c>
      <c r="G7" s="7">
        <v>7.16</v>
      </c>
      <c r="H7" s="67">
        <v>11.85</v>
      </c>
      <c r="I7" s="76"/>
      <c r="J7" s="28">
        <v>21</v>
      </c>
      <c r="K7" s="7"/>
      <c r="L7" s="7"/>
      <c r="M7" s="29"/>
      <c r="N7" s="26">
        <f t="shared" si="0"/>
        <v>5.2290000000000001</v>
      </c>
      <c r="O7" s="7">
        <f t="shared" si="1"/>
        <v>8.4</v>
      </c>
      <c r="P7" s="19">
        <f t="shared" si="2"/>
        <v>16.415116234739248</v>
      </c>
      <c r="Q7" s="9">
        <f t="shared" si="3"/>
        <v>20.914228195178517</v>
      </c>
      <c r="R7" s="10">
        <f t="shared" si="4"/>
        <v>1302.9017237010112</v>
      </c>
      <c r="S7" s="10">
        <f t="shared" si="5"/>
        <v>884.56527428848256</v>
      </c>
      <c r="T7" s="7">
        <v>1</v>
      </c>
      <c r="U7" s="7" t="s">
        <v>58</v>
      </c>
      <c r="V7" s="7">
        <v>10</v>
      </c>
      <c r="W7" s="7">
        <v>11</v>
      </c>
      <c r="X7" s="7">
        <v>35</v>
      </c>
      <c r="Y7" s="7">
        <v>6.3</v>
      </c>
      <c r="Z7" s="9">
        <v>8.09</v>
      </c>
      <c r="AA7" s="7"/>
      <c r="AB7" s="7"/>
      <c r="AC7" s="9">
        <f t="shared" si="6"/>
        <v>9.9102500000000013</v>
      </c>
      <c r="AD7" s="77">
        <f t="shared" si="7"/>
        <v>26.001462960043234</v>
      </c>
      <c r="AE7" s="78">
        <f t="shared" si="8"/>
        <v>30.610180023359881</v>
      </c>
      <c r="AF7" s="46">
        <f t="shared" si="9"/>
        <v>0.84244739990540074</v>
      </c>
      <c r="AG7" s="47">
        <f t="shared" si="10"/>
        <v>0.99176983275685993</v>
      </c>
      <c r="AH7" s="44">
        <f>37000/1.73/AD7</f>
        <v>822.54153429214034</v>
      </c>
      <c r="AI7" s="10">
        <f t="shared" si="11"/>
        <v>604.37409991976187</v>
      </c>
      <c r="AJ7" s="10">
        <f t="shared" si="12"/>
        <v>503.64508326646825</v>
      </c>
      <c r="AK7" s="10">
        <f t="shared" si="13"/>
        <v>402.91606661317456</v>
      </c>
      <c r="AL7" s="21">
        <f t="shared" si="14"/>
        <v>4322.6657207544922</v>
      </c>
      <c r="AM7" s="68">
        <f t="shared" si="15"/>
        <v>3176.1401647434936</v>
      </c>
    </row>
    <row r="8" spans="1:39" x14ac:dyDescent="0.2">
      <c r="A8" s="84">
        <v>5</v>
      </c>
      <c r="B8" s="94" t="s">
        <v>36</v>
      </c>
      <c r="C8" s="91" t="s">
        <v>37</v>
      </c>
      <c r="D8" s="8" t="s">
        <v>182</v>
      </c>
      <c r="E8" s="8" t="s">
        <v>39</v>
      </c>
      <c r="F8" s="8" t="s">
        <v>40</v>
      </c>
      <c r="G8" s="7">
        <v>6.77</v>
      </c>
      <c r="H8" s="67">
        <v>11.18</v>
      </c>
      <c r="I8" s="76"/>
      <c r="J8" s="28">
        <v>21</v>
      </c>
      <c r="K8" s="7"/>
      <c r="L8" s="7"/>
      <c r="M8" s="29"/>
      <c r="N8" s="26">
        <f t="shared" si="0"/>
        <v>5.2290000000000001</v>
      </c>
      <c r="O8" s="7">
        <f t="shared" si="1"/>
        <v>8.4</v>
      </c>
      <c r="P8" s="19">
        <f t="shared" si="2"/>
        <v>16.045913529618687</v>
      </c>
      <c r="Q8" s="9">
        <f t="shared" si="3"/>
        <v>20.266199471040444</v>
      </c>
      <c r="R8" s="10">
        <f t="shared" si="4"/>
        <v>1332.8803746521537</v>
      </c>
      <c r="S8" s="10">
        <f t="shared" si="5"/>
        <v>912.84999076594158</v>
      </c>
      <c r="T8" s="7">
        <v>2</v>
      </c>
      <c r="U8" s="7" t="s">
        <v>58</v>
      </c>
      <c r="V8" s="7">
        <v>10</v>
      </c>
      <c r="W8" s="7">
        <v>11</v>
      </c>
      <c r="X8" s="7">
        <v>35</v>
      </c>
      <c r="Y8" s="7">
        <v>6.3</v>
      </c>
      <c r="Z8" s="9">
        <v>8.0500000000000007</v>
      </c>
      <c r="AA8" s="7"/>
      <c r="AB8" s="7"/>
      <c r="AC8" s="9">
        <f t="shared" si="6"/>
        <v>9.8612500000000001</v>
      </c>
      <c r="AD8" s="77">
        <f t="shared" si="7"/>
        <v>25.571584181714279</v>
      </c>
      <c r="AE8" s="78">
        <f t="shared" si="8"/>
        <v>29.902000644814724</v>
      </c>
      <c r="AF8" s="46">
        <f t="shared" si="9"/>
        <v>0.82851932748754253</v>
      </c>
      <c r="AG8" s="47">
        <f t="shared" si="10"/>
        <v>0.96882482089199684</v>
      </c>
      <c r="AH8" s="44">
        <f>37000/1.73/SQRT(POWER((G8+O8+AC8),2)+N8*N8)</f>
        <v>836.36911522626087</v>
      </c>
      <c r="AI8" s="10">
        <f t="shared" si="11"/>
        <v>618.68769985489484</v>
      </c>
      <c r="AJ8" s="10">
        <f t="shared" si="12"/>
        <v>515.57308321241237</v>
      </c>
      <c r="AK8" s="10">
        <f t="shared" si="13"/>
        <v>412.4584665699299</v>
      </c>
      <c r="AL8" s="21">
        <f t="shared" si="14"/>
        <v>4395.3331881259965</v>
      </c>
      <c r="AM8" s="68">
        <f t="shared" si="15"/>
        <v>3251.3617860242221</v>
      </c>
    </row>
    <row r="9" spans="1:39" ht="25.5" x14ac:dyDescent="0.2">
      <c r="A9" s="84">
        <v>5</v>
      </c>
      <c r="B9" s="94" t="s">
        <v>157</v>
      </c>
      <c r="C9" s="91" t="s">
        <v>37</v>
      </c>
      <c r="D9" s="8" t="s">
        <v>38</v>
      </c>
      <c r="E9" s="8" t="s">
        <v>39</v>
      </c>
      <c r="F9" s="8" t="s">
        <v>40</v>
      </c>
      <c r="G9" s="7">
        <v>8.17</v>
      </c>
      <c r="H9" s="67">
        <v>12.21</v>
      </c>
      <c r="I9" s="76"/>
      <c r="J9" s="28">
        <v>22.91</v>
      </c>
      <c r="K9" s="7"/>
      <c r="L9" s="7"/>
      <c r="M9" s="29"/>
      <c r="N9" s="26">
        <f t="shared" si="0"/>
        <v>5.7045899999999996</v>
      </c>
      <c r="O9" s="7">
        <f t="shared" si="1"/>
        <v>9.1639999999999997</v>
      </c>
      <c r="P9" s="19">
        <f t="shared" si="2"/>
        <v>18.248558931271806</v>
      </c>
      <c r="Q9" s="9">
        <f t="shared" si="3"/>
        <v>22.122165876516252</v>
      </c>
      <c r="R9" s="10">
        <f t="shared" si="4"/>
        <v>1171.9984749230641</v>
      </c>
      <c r="S9" s="10">
        <f t="shared" si="5"/>
        <v>836.26531431258468</v>
      </c>
      <c r="T9" s="7">
        <v>1</v>
      </c>
      <c r="U9" s="7" t="s">
        <v>41</v>
      </c>
      <c r="V9" s="7">
        <v>6.3</v>
      </c>
      <c r="W9" s="7"/>
      <c r="X9" s="7">
        <v>35</v>
      </c>
      <c r="Y9" s="7">
        <v>6.3</v>
      </c>
      <c r="Z9" s="9">
        <v>7.96</v>
      </c>
      <c r="AA9" s="7"/>
      <c r="AB9" s="7"/>
      <c r="AC9" s="9">
        <f t="shared" si="6"/>
        <v>15.47777777777778</v>
      </c>
      <c r="AD9" s="77">
        <f t="shared" si="7"/>
        <v>33.303980362809064</v>
      </c>
      <c r="AE9" s="78">
        <f t="shared" si="8"/>
        <v>37.290694180328913</v>
      </c>
      <c r="AF9" s="46">
        <f t="shared" si="9"/>
        <v>1.0790489637550136</v>
      </c>
      <c r="AG9" s="47">
        <f t="shared" si="10"/>
        <v>1.2082184914426568</v>
      </c>
      <c r="AH9" s="44">
        <f>37000/1.73/SQRT(POWER((G9+O9+AC9),2)+N9*N9)</f>
        <v>642.18399734818615</v>
      </c>
      <c r="AI9" s="10">
        <f t="shared" si="11"/>
        <v>496.10232275479797</v>
      </c>
      <c r="AJ9" s="10">
        <f t="shared" si="12"/>
        <v>413.41860229566498</v>
      </c>
      <c r="AK9" s="10">
        <f t="shared" si="13"/>
        <v>330.734881836532</v>
      </c>
      <c r="AL9" s="21">
        <f t="shared" si="14"/>
        <v>3374.8408269048828</v>
      </c>
      <c r="AM9" s="68">
        <f t="shared" si="15"/>
        <v>2607.1443388014909</v>
      </c>
    </row>
    <row r="10" spans="1:39" ht="26.25" thickBot="1" x14ac:dyDescent="0.25">
      <c r="A10" s="85">
        <v>5</v>
      </c>
      <c r="B10" s="95" t="s">
        <v>157</v>
      </c>
      <c r="C10" s="92" t="s">
        <v>37</v>
      </c>
      <c r="D10" s="15" t="s">
        <v>38</v>
      </c>
      <c r="E10" s="15" t="s">
        <v>39</v>
      </c>
      <c r="F10" s="15" t="s">
        <v>40</v>
      </c>
      <c r="G10" s="17">
        <v>8.17</v>
      </c>
      <c r="H10" s="69">
        <v>12.21</v>
      </c>
      <c r="I10" s="83"/>
      <c r="J10" s="98">
        <v>22.91</v>
      </c>
      <c r="K10" s="17"/>
      <c r="L10" s="17"/>
      <c r="M10" s="82"/>
      <c r="N10" s="27">
        <f t="shared" si="0"/>
        <v>5.7045899999999996</v>
      </c>
      <c r="O10" s="17">
        <f t="shared" si="1"/>
        <v>9.1639999999999997</v>
      </c>
      <c r="P10" s="20">
        <f t="shared" si="2"/>
        <v>18.248558931271806</v>
      </c>
      <c r="Q10" s="16">
        <f t="shared" si="3"/>
        <v>22.122165876516252</v>
      </c>
      <c r="R10" s="18">
        <f t="shared" si="4"/>
        <v>1171.9984749230641</v>
      </c>
      <c r="S10" s="18">
        <f t="shared" si="5"/>
        <v>836.26531431258468</v>
      </c>
      <c r="T10" s="17">
        <v>2</v>
      </c>
      <c r="U10" s="17" t="s">
        <v>42</v>
      </c>
      <c r="V10" s="17">
        <v>6.3</v>
      </c>
      <c r="W10" s="17"/>
      <c r="X10" s="17">
        <v>35</v>
      </c>
      <c r="Y10" s="17">
        <v>6.3</v>
      </c>
      <c r="Z10" s="16">
        <v>7.91</v>
      </c>
      <c r="AA10" s="17"/>
      <c r="AB10" s="17"/>
      <c r="AC10" s="16">
        <f t="shared" si="6"/>
        <v>15.380555555555555</v>
      </c>
      <c r="AD10" s="80">
        <f t="shared" si="7"/>
        <v>33.208199172277183</v>
      </c>
      <c r="AE10" s="81">
        <f t="shared" si="8"/>
        <v>37.19461925002755</v>
      </c>
      <c r="AF10" s="48">
        <f t="shared" si="9"/>
        <v>1.0759456531817806</v>
      </c>
      <c r="AG10" s="49">
        <f t="shared" si="10"/>
        <v>1.2051056637008926</v>
      </c>
      <c r="AH10" s="45">
        <f>37000/1.73/SQRT(POWER((G10+O10+AC10),2)+N10*N10)</f>
        <v>644.03622509132379</v>
      </c>
      <c r="AI10" s="18">
        <f t="shared" si="11"/>
        <v>497.38377144393803</v>
      </c>
      <c r="AJ10" s="18">
        <f t="shared" si="12"/>
        <v>414.48647620328171</v>
      </c>
      <c r="AK10" s="18">
        <f t="shared" si="13"/>
        <v>331.58918096262533</v>
      </c>
      <c r="AL10" s="86">
        <f t="shared" si="14"/>
        <v>3384.5747564859362</v>
      </c>
      <c r="AM10" s="70">
        <f t="shared" si="15"/>
        <v>2613.878678759434</v>
      </c>
    </row>
    <row r="13" spans="1:39" x14ac:dyDescent="0.2">
      <c r="G13" s="99" t="s">
        <v>183</v>
      </c>
    </row>
    <row r="14" spans="1:39" ht="15.75" customHeight="1" x14ac:dyDescent="0.2">
      <c r="Q14" s="2770">
        <v>42117</v>
      </c>
      <c r="R14" s="2770"/>
    </row>
    <row r="81" spans="1:1" x14ac:dyDescent="0.2">
      <c r="A81" s="13"/>
    </row>
    <row r="82" spans="1:1" x14ac:dyDescent="0.2">
      <c r="A82" s="13"/>
    </row>
    <row r="83" spans="1:1" x14ac:dyDescent="0.2">
      <c r="A83" s="13"/>
    </row>
    <row r="84" spans="1:1" x14ac:dyDescent="0.2">
      <c r="A84" s="13"/>
    </row>
  </sheetData>
  <mergeCells count="28">
    <mergeCell ref="AJ2:AJ3"/>
    <mergeCell ref="AK2:AK3"/>
    <mergeCell ref="AD2:AE2"/>
    <mergeCell ref="AF2:AG2"/>
    <mergeCell ref="X2:X3"/>
    <mergeCell ref="Y2:Y3"/>
    <mergeCell ref="Z2:Z3"/>
    <mergeCell ref="V2:V3"/>
    <mergeCell ref="W2:W4"/>
    <mergeCell ref="C2:C4"/>
    <mergeCell ref="Q14:R14"/>
    <mergeCell ref="R2:S2"/>
    <mergeCell ref="AL2:AM2"/>
    <mergeCell ref="AH2:AI2"/>
    <mergeCell ref="A2:A4"/>
    <mergeCell ref="B2:B4"/>
    <mergeCell ref="D2:D4"/>
    <mergeCell ref="E2:E4"/>
    <mergeCell ref="F2:F4"/>
    <mergeCell ref="G2:H2"/>
    <mergeCell ref="I2:M2"/>
    <mergeCell ref="AA2:AA3"/>
    <mergeCell ref="AB2:AB3"/>
    <mergeCell ref="AC2:AC3"/>
    <mergeCell ref="N2:O3"/>
    <mergeCell ref="T2:T4"/>
    <mergeCell ref="U2:U4"/>
    <mergeCell ref="P2:Q2"/>
  </mergeCells>
  <phoneticPr fontId="0" type="noConversion"/>
  <pageMargins left="0.35433070866141736" right="0.35433070866141736" top="0.59055118110236227" bottom="0.59055118110236227" header="0" footer="0"/>
  <pageSetup paperSize="9" scale="65" orientation="landscape" r:id="rId1"/>
  <headerFooter alignWithMargins="0"/>
  <ignoredErrors>
    <ignoredError sqref="AH7" formula="1"/>
    <ignoredError sqref="O7:O8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4661E-3459-47BB-A1DC-B08C3DF7E534}">
  <sheetPr codeName="Лист16">
    <tabColor rgb="FFFFCCFF"/>
  </sheetPr>
  <dimension ref="A1:AO17"/>
  <sheetViews>
    <sheetView zoomScale="115" zoomScaleNormal="115" workbookViewId="0">
      <selection activeCell="B13" sqref="B13"/>
    </sheetView>
  </sheetViews>
  <sheetFormatPr defaultRowHeight="12.75" x14ac:dyDescent="0.2"/>
  <cols>
    <col min="1" max="1" width="2.7109375" style="99" customWidth="1"/>
    <col min="2" max="2" width="15.28515625" style="1981" customWidth="1"/>
    <col min="3" max="3" width="5" style="1981" customWidth="1"/>
    <col min="4" max="4" width="3.7109375" style="1982" customWidth="1"/>
    <col min="5" max="5" width="11.5703125" style="99" customWidth="1"/>
    <col min="6" max="6" width="7" style="99" customWidth="1"/>
    <col min="7" max="7" width="7.140625" style="99" customWidth="1"/>
    <col min="8" max="9" width="5.5703125" style="1983" customWidth="1"/>
    <col min="10" max="10" width="5.5703125" style="1984" customWidth="1"/>
    <col min="11" max="12" width="5.5703125" style="1982" customWidth="1"/>
    <col min="13" max="13" width="5.7109375" style="1982" customWidth="1"/>
    <col min="14" max="14" width="5.5703125" style="1982" customWidth="1"/>
    <col min="15" max="16" width="7.140625" style="99" customWidth="1"/>
    <col min="17" max="18" width="8" style="99" customWidth="1"/>
    <col min="19" max="19" width="3.5703125" style="1982" customWidth="1"/>
    <col min="20" max="20" width="12.85546875" style="99" customWidth="1"/>
    <col min="21" max="21" width="5" style="99" customWidth="1"/>
    <col min="22" max="22" width="9.85546875" style="99" customWidth="1"/>
    <col min="23" max="23" width="7" style="99" bestFit="1" customWidth="1"/>
    <col min="24" max="25" width="4.7109375" style="99" customWidth="1"/>
    <col min="26" max="26" width="4.85546875" style="99" customWidth="1"/>
    <col min="27" max="27" width="5" style="99" customWidth="1"/>
    <col min="28" max="28" width="11.140625" style="99" customWidth="1"/>
    <col min="29" max="29" width="5.85546875" style="1982" customWidth="1"/>
    <col min="30" max="30" width="5.7109375" style="99" customWidth="1"/>
    <col min="31" max="32" width="6.5703125" style="99" customWidth="1"/>
    <col min="33" max="34" width="7.7109375" style="99" customWidth="1"/>
    <col min="35" max="36" width="6.7109375" style="1985" customWidth="1"/>
    <col min="37" max="37" width="6.7109375" style="1986" customWidth="1"/>
    <col min="38" max="38" width="4.5703125" style="1985" customWidth="1"/>
    <col min="39" max="39" width="6.140625" style="1985" customWidth="1"/>
    <col min="40" max="40" width="6.5703125" style="1985" customWidth="1"/>
    <col min="41" max="16384" width="9.140625" style="99"/>
  </cols>
  <sheetData>
    <row r="1" spans="1:41" ht="36" customHeight="1" thickBot="1" x14ac:dyDescent="0.25">
      <c r="A1" s="2776" t="s">
        <v>251</v>
      </c>
      <c r="B1" s="2776"/>
      <c r="C1" s="2776"/>
      <c r="D1" s="2776"/>
      <c r="E1" s="2776"/>
      <c r="F1" s="2776"/>
      <c r="G1" s="2776"/>
      <c r="H1" s="2776"/>
      <c r="I1" s="2776"/>
      <c r="J1" s="2776"/>
      <c r="K1" s="2776"/>
      <c r="L1" s="2776"/>
      <c r="M1" s="2776"/>
      <c r="N1" s="2776"/>
      <c r="O1" s="2776"/>
      <c r="P1" s="2776"/>
      <c r="Q1" s="2776"/>
      <c r="R1" s="2776"/>
      <c r="S1" s="2776"/>
      <c r="T1" s="2776"/>
      <c r="U1" s="2776"/>
      <c r="V1" s="2776"/>
      <c r="W1" s="2776"/>
      <c r="X1" s="2776"/>
      <c r="Y1" s="2776"/>
      <c r="Z1" s="2776"/>
      <c r="AA1" s="2776"/>
      <c r="AB1" s="2776"/>
      <c r="AC1" s="2776"/>
      <c r="AD1" s="2776"/>
      <c r="AE1" s="2776"/>
      <c r="AF1" s="2776"/>
      <c r="AG1" s="2776"/>
      <c r="AH1" s="2776"/>
      <c r="AI1" s="1873"/>
      <c r="AJ1" s="1873"/>
      <c r="AK1" s="1873"/>
      <c r="AL1" s="1873"/>
      <c r="AM1" s="1873"/>
      <c r="AN1" s="1873"/>
      <c r="AO1" s="1874"/>
    </row>
    <row r="2" spans="1:41" s="1428" customFormat="1" ht="75" customHeight="1" x14ac:dyDescent="0.2">
      <c r="A2" s="2777" t="s">
        <v>0</v>
      </c>
      <c r="B2" s="2780" t="s">
        <v>1</v>
      </c>
      <c r="C2" s="2783" t="s">
        <v>318</v>
      </c>
      <c r="D2" s="2785" t="s">
        <v>4</v>
      </c>
      <c r="E2" s="2780" t="s">
        <v>5</v>
      </c>
      <c r="F2" s="2819" t="s">
        <v>215</v>
      </c>
      <c r="G2" s="2820"/>
      <c r="H2" s="2807" t="s">
        <v>7</v>
      </c>
      <c r="I2" s="2796"/>
      <c r="J2" s="2796"/>
      <c r="K2" s="2796"/>
      <c r="L2" s="2808"/>
      <c r="M2" s="2809" t="s">
        <v>8</v>
      </c>
      <c r="N2" s="2810"/>
      <c r="O2" s="2813" t="s">
        <v>11</v>
      </c>
      <c r="P2" s="2813"/>
      <c r="Q2" s="2799" t="s">
        <v>173</v>
      </c>
      <c r="R2" s="2799"/>
      <c r="S2" s="2800" t="s">
        <v>9</v>
      </c>
      <c r="T2" s="2803" t="s">
        <v>10</v>
      </c>
      <c r="U2" s="2791" t="s">
        <v>12</v>
      </c>
      <c r="V2" s="2814" t="s">
        <v>13</v>
      </c>
      <c r="W2" s="2791" t="s">
        <v>568</v>
      </c>
      <c r="X2" s="2791" t="s">
        <v>627</v>
      </c>
      <c r="Y2" s="2791" t="s">
        <v>628</v>
      </c>
      <c r="Z2" s="2794" t="s">
        <v>16</v>
      </c>
      <c r="AA2" s="2794"/>
      <c r="AB2" s="2791" t="s">
        <v>612</v>
      </c>
      <c r="AC2" s="2791" t="s">
        <v>18</v>
      </c>
      <c r="AD2" s="2817" t="s">
        <v>19</v>
      </c>
      <c r="AE2" s="2795" t="s">
        <v>221</v>
      </c>
      <c r="AF2" s="2796"/>
      <c r="AG2" s="2787" t="s">
        <v>222</v>
      </c>
      <c r="AH2" s="2788"/>
      <c r="AI2" s="2792" t="s">
        <v>369</v>
      </c>
      <c r="AJ2" s="2793"/>
      <c r="AK2" s="2805" t="s">
        <v>20</v>
      </c>
      <c r="AL2" s="2797" t="s">
        <v>21</v>
      </c>
      <c r="AM2" s="2789" t="s">
        <v>370</v>
      </c>
      <c r="AN2" s="2790"/>
    </row>
    <row r="3" spans="1:41" s="1428" customFormat="1" ht="34.5" customHeight="1" x14ac:dyDescent="0.2">
      <c r="A3" s="2778"/>
      <c r="B3" s="2781"/>
      <c r="C3" s="2784"/>
      <c r="D3" s="2786"/>
      <c r="E3" s="2781"/>
      <c r="F3" s="1875" t="s">
        <v>220</v>
      </c>
      <c r="G3" s="1876" t="s">
        <v>29</v>
      </c>
      <c r="H3" s="1877" t="s">
        <v>24</v>
      </c>
      <c r="I3" s="1878" t="s">
        <v>25</v>
      </c>
      <c r="J3" s="1407" t="s">
        <v>26</v>
      </c>
      <c r="K3" s="1407" t="s">
        <v>27</v>
      </c>
      <c r="L3" s="1879" t="s">
        <v>28</v>
      </c>
      <c r="M3" s="2811"/>
      <c r="N3" s="2812"/>
      <c r="O3" s="1401" t="s">
        <v>216</v>
      </c>
      <c r="P3" s="1401" t="s">
        <v>217</v>
      </c>
      <c r="Q3" s="1880" t="s">
        <v>218</v>
      </c>
      <c r="R3" s="1880" t="s">
        <v>219</v>
      </c>
      <c r="S3" s="2801"/>
      <c r="T3" s="2392"/>
      <c r="U3" s="2393"/>
      <c r="V3" s="2815"/>
      <c r="W3" s="2393"/>
      <c r="X3" s="2393"/>
      <c r="Y3" s="2393"/>
      <c r="Z3" s="2394"/>
      <c r="AA3" s="2394"/>
      <c r="AB3" s="2393"/>
      <c r="AC3" s="2393"/>
      <c r="AD3" s="2818"/>
      <c r="AE3" s="1401" t="s">
        <v>223</v>
      </c>
      <c r="AF3" s="1881" t="s">
        <v>217</v>
      </c>
      <c r="AG3" s="1882" t="s">
        <v>223</v>
      </c>
      <c r="AH3" s="1883" t="s">
        <v>217</v>
      </c>
      <c r="AI3" s="1884" t="s">
        <v>218</v>
      </c>
      <c r="AJ3" s="1880" t="s">
        <v>219</v>
      </c>
      <c r="AK3" s="2806"/>
      <c r="AL3" s="2798"/>
      <c r="AM3" s="1880" t="s">
        <v>218</v>
      </c>
      <c r="AN3" s="1885" t="s">
        <v>219</v>
      </c>
    </row>
    <row r="4" spans="1:41" s="1428" customFormat="1" ht="13.5" thickBot="1" x14ac:dyDescent="0.25">
      <c r="A4" s="2779"/>
      <c r="B4" s="2782"/>
      <c r="C4" s="2784"/>
      <c r="D4" s="2786"/>
      <c r="E4" s="2781"/>
      <c r="F4" s="1886" t="s">
        <v>30</v>
      </c>
      <c r="G4" s="1887" t="s">
        <v>30</v>
      </c>
      <c r="H4" s="1888" t="s">
        <v>31</v>
      </c>
      <c r="I4" s="1889" t="s">
        <v>31</v>
      </c>
      <c r="J4" s="1890" t="s">
        <v>31</v>
      </c>
      <c r="K4" s="1890" t="s">
        <v>31</v>
      </c>
      <c r="L4" s="1891" t="s">
        <v>31</v>
      </c>
      <c r="M4" s="1892" t="s">
        <v>30</v>
      </c>
      <c r="N4" s="1890" t="s">
        <v>30</v>
      </c>
      <c r="O4" s="1890" t="s">
        <v>30</v>
      </c>
      <c r="P4" s="1890" t="s">
        <v>30</v>
      </c>
      <c r="Q4" s="1890" t="s">
        <v>35</v>
      </c>
      <c r="R4" s="1890" t="s">
        <v>35</v>
      </c>
      <c r="S4" s="2802"/>
      <c r="T4" s="2804"/>
      <c r="U4" s="1893" t="s">
        <v>32</v>
      </c>
      <c r="V4" s="2816"/>
      <c r="W4" s="1893" t="s">
        <v>33</v>
      </c>
      <c r="X4" s="1893" t="s">
        <v>33</v>
      </c>
      <c r="Y4" s="1893" t="s">
        <v>33</v>
      </c>
      <c r="Z4" s="1894" t="s">
        <v>34</v>
      </c>
      <c r="AA4" s="1894" t="s">
        <v>34</v>
      </c>
      <c r="AB4" s="1893" t="s">
        <v>35</v>
      </c>
      <c r="AC4" s="1893" t="s">
        <v>34</v>
      </c>
      <c r="AD4" s="1893" t="s">
        <v>30</v>
      </c>
      <c r="AE4" s="1890" t="s">
        <v>30</v>
      </c>
      <c r="AF4" s="1895" t="s">
        <v>30</v>
      </c>
      <c r="AG4" s="1896" t="s">
        <v>30</v>
      </c>
      <c r="AH4" s="1897" t="s">
        <v>30</v>
      </c>
      <c r="AI4" s="1898" t="s">
        <v>35</v>
      </c>
      <c r="AJ4" s="1899" t="s">
        <v>35</v>
      </c>
      <c r="AK4" s="1899" t="s">
        <v>35</v>
      </c>
      <c r="AL4" s="1900" t="s">
        <v>35</v>
      </c>
      <c r="AM4" s="1899" t="s">
        <v>35</v>
      </c>
      <c r="AN4" s="1901" t="s">
        <v>35</v>
      </c>
    </row>
    <row r="5" spans="1:41" ht="12.75" customHeight="1" x14ac:dyDescent="0.2">
      <c r="A5" s="2011"/>
      <c r="B5" s="1902" t="s">
        <v>324</v>
      </c>
      <c r="C5" s="1903">
        <v>1.2</v>
      </c>
      <c r="D5" s="2004" t="s">
        <v>39</v>
      </c>
      <c r="E5" s="2017" t="s">
        <v>326</v>
      </c>
      <c r="F5" s="1993">
        <f>AG14</f>
        <v>16.467651596412026</v>
      </c>
      <c r="G5" s="1994">
        <f>AH14</f>
        <v>16.240105625445242</v>
      </c>
      <c r="H5" s="2022"/>
      <c r="I5" s="1904"/>
      <c r="J5" s="1905">
        <v>41.68</v>
      </c>
      <c r="K5" s="1905"/>
      <c r="L5" s="1906"/>
      <c r="M5" s="2037">
        <f t="shared" ref="M5:M12" si="0">0.314*H5+0.249*I5+0.195*J5+0.159*K5+0.06*L5</f>
        <v>8.127600000000001</v>
      </c>
      <c r="N5" s="1905">
        <f t="shared" ref="N5:N12" si="1">0.4*SUM(H5:L5)</f>
        <v>16.672000000000001</v>
      </c>
      <c r="O5" s="1907">
        <f t="shared" ref="O5:O12" si="2">SQRT(POWER(M5,2)+POWER(N5+F5,2))</f>
        <v>34.121758303047251</v>
      </c>
      <c r="P5" s="1908">
        <f t="shared" ref="P5:P12" si="3">SQRT(POWER(M5,2)+POWER(N5+G5,2))</f>
        <v>33.900804982484772</v>
      </c>
      <c r="Q5" s="1909">
        <f>37000/1.73/O5</f>
        <v>626.79311678625379</v>
      </c>
      <c r="R5" s="1909">
        <f t="shared" ref="R5:R12" si="4">37000/2/SQRT(M5*M5+POWER((G5+N5),2))</f>
        <v>545.70975555177029</v>
      </c>
      <c r="S5" s="1905">
        <v>1</v>
      </c>
      <c r="T5" s="1905" t="s">
        <v>196</v>
      </c>
      <c r="U5" s="1905">
        <v>10</v>
      </c>
      <c r="V5" s="1905" t="s">
        <v>47</v>
      </c>
      <c r="W5" s="1905">
        <v>36.75</v>
      </c>
      <c r="X5" s="1905"/>
      <c r="Y5" s="1905">
        <v>6.3</v>
      </c>
      <c r="Z5" s="1908">
        <v>8.1300000000000008</v>
      </c>
      <c r="AA5" s="1908"/>
      <c r="AB5" s="1910" t="s">
        <v>327</v>
      </c>
      <c r="AC5" s="1905">
        <v>9</v>
      </c>
      <c r="AD5" s="1908">
        <f t="shared" ref="AD5:AD12" si="5">Z5/100*W5*W5/U5</f>
        <v>10.980073125000001</v>
      </c>
      <c r="AE5" s="1908">
        <f t="shared" ref="AE5:AE12" si="6">SQRT(POWER(M5,2)+POWER(N5+AD5+F5,2))</f>
        <v>44.862099719620524</v>
      </c>
      <c r="AF5" s="1911">
        <f t="shared" ref="AF5:AF12" si="7">SQRT(POWER(M5,2)+POWER(N5+AD5+G5,2))</f>
        <v>44.638338199590684</v>
      </c>
      <c r="AG5" s="2266">
        <f>SQRT(POWER((AD5+N5+F5),2)+POWER(M5,2))*POWER(6.3/W5,2)</f>
        <v>1.318396399923542</v>
      </c>
      <c r="AH5" s="2267">
        <f>SQRT(POWER((G5+N5+AD5),2)+POWER(M5,2))*POWER(6.3/W5,2)</f>
        <v>1.3118205511716448</v>
      </c>
      <c r="AI5" s="2030">
        <f t="shared" ref="AI5:AI12" si="8">37000/1.73/SQRT(POWER((F5+N5+AD5),2)+M5*M5)</f>
        <v>476.73388830796188</v>
      </c>
      <c r="AJ5" s="1909">
        <f t="shared" ref="AJ5:AJ12" si="9">37000/2/SQRT(POWER((G5+N5+AD5),2)+M5*M5)</f>
        <v>414.44195160853093</v>
      </c>
      <c r="AK5" s="1909">
        <f t="shared" ref="AK5:AK12" si="10">AJ5/1.2</f>
        <v>345.36829300710912</v>
      </c>
      <c r="AL5" s="2026">
        <f t="shared" ref="AL5:AL12" si="11">AJ5/1.5</f>
        <v>276.2946344056873</v>
      </c>
      <c r="AM5" s="1909">
        <f t="shared" ref="AM5:AM12" si="12">6300/(SQRT(3)*AG5)</f>
        <v>2758.8870055361053</v>
      </c>
      <c r="AN5" s="2027">
        <f t="shared" ref="AN5:AN12" si="13">6300/(2*AH5)</f>
        <v>2401.2430642183463</v>
      </c>
    </row>
    <row r="6" spans="1:41" ht="12.75" customHeight="1" x14ac:dyDescent="0.2">
      <c r="A6" s="2012"/>
      <c r="B6" s="1915" t="s">
        <v>324</v>
      </c>
      <c r="C6" s="1916">
        <v>1.2</v>
      </c>
      <c r="D6" s="2005" t="s">
        <v>39</v>
      </c>
      <c r="E6" s="2001" t="s">
        <v>326</v>
      </c>
      <c r="F6" s="1995">
        <f>AG15</f>
        <v>16.392443979021444</v>
      </c>
      <c r="G6" s="1996">
        <f>AH15</f>
        <v>16.164951553596101</v>
      </c>
      <c r="H6" s="2023"/>
      <c r="I6" s="1918"/>
      <c r="J6" s="1413">
        <v>41.68</v>
      </c>
      <c r="K6" s="1413"/>
      <c r="L6" s="1917"/>
      <c r="M6" s="2038">
        <f t="shared" si="0"/>
        <v>8.127600000000001</v>
      </c>
      <c r="N6" s="1413">
        <f t="shared" si="1"/>
        <v>16.672000000000001</v>
      </c>
      <c r="O6" s="1919">
        <f t="shared" si="2"/>
        <v>34.048720055265626</v>
      </c>
      <c r="P6" s="1419">
        <f t="shared" si="3"/>
        <v>33.82784753857711</v>
      </c>
      <c r="Q6" s="1912">
        <f t="shared" ref="Q6:Q12" si="14">37000/1.73/SQRT(POWER((F6+N6),2)+M6*M6)</f>
        <v>628.13765693041614</v>
      </c>
      <c r="R6" s="1912">
        <f t="shared" si="4"/>
        <v>546.88670270559464</v>
      </c>
      <c r="S6" s="1413">
        <v>2</v>
      </c>
      <c r="T6" s="1413" t="s">
        <v>196</v>
      </c>
      <c r="U6" s="1413">
        <v>10</v>
      </c>
      <c r="V6" s="1413" t="s">
        <v>47</v>
      </c>
      <c r="W6" s="1413">
        <v>36.75</v>
      </c>
      <c r="X6" s="1413"/>
      <c r="Y6" s="1413">
        <v>6.3</v>
      </c>
      <c r="Z6" s="1419">
        <v>8.2100000000000009</v>
      </c>
      <c r="AA6" s="1419"/>
      <c r="AB6" s="1413" t="s">
        <v>327</v>
      </c>
      <c r="AC6" s="1413">
        <v>9</v>
      </c>
      <c r="AD6" s="1419">
        <f t="shared" si="5"/>
        <v>11.088118125000001</v>
      </c>
      <c r="AE6" s="1419">
        <f t="shared" si="6"/>
        <v>44.894394105605997</v>
      </c>
      <c r="AF6" s="1920">
        <f t="shared" si="7"/>
        <v>44.670679735476632</v>
      </c>
      <c r="AG6" s="2256">
        <f>SQRT(POWER((AD6+N6+F6),2)+POWER(M6,2))*POWER(6.3/W6,2)</f>
        <v>1.3193454594300538</v>
      </c>
      <c r="AH6" s="2257">
        <f>SQRT(POWER((G6+N6+AD6),2)+POWER(M6,2))*POWER(6.3/W6,2)</f>
        <v>1.3127709963078849</v>
      </c>
      <c r="AI6" s="2031">
        <f t="shared" si="8"/>
        <v>476.3909539949347</v>
      </c>
      <c r="AJ6" s="1416">
        <f t="shared" si="9"/>
        <v>414.14189597181439</v>
      </c>
      <c r="AK6" s="1416">
        <f t="shared" si="10"/>
        <v>345.11824664317868</v>
      </c>
      <c r="AL6" s="1923">
        <f t="shared" si="11"/>
        <v>276.09459731454291</v>
      </c>
      <c r="AM6" s="1912">
        <f t="shared" si="12"/>
        <v>2756.9024245294549</v>
      </c>
      <c r="AN6" s="1914">
        <f t="shared" si="13"/>
        <v>2399.5045661880458</v>
      </c>
    </row>
    <row r="7" spans="1:41" ht="12.75" customHeight="1" x14ac:dyDescent="0.2">
      <c r="A7" s="2012"/>
      <c r="B7" s="1915" t="s">
        <v>325</v>
      </c>
      <c r="C7" s="1916">
        <v>1.2</v>
      </c>
      <c r="D7" s="2005" t="s">
        <v>39</v>
      </c>
      <c r="E7" s="2001" t="s">
        <v>326</v>
      </c>
      <c r="F7" s="1995">
        <f>AG14</f>
        <v>16.467651596412026</v>
      </c>
      <c r="G7" s="1996">
        <f>AH14</f>
        <v>16.240105625445242</v>
      </c>
      <c r="H7" s="2023"/>
      <c r="I7" s="1918"/>
      <c r="J7" s="1413">
        <v>41.72</v>
      </c>
      <c r="K7" s="1413"/>
      <c r="L7" s="1917"/>
      <c r="M7" s="2038">
        <f t="shared" si="0"/>
        <v>8.1354000000000006</v>
      </c>
      <c r="N7" s="1413">
        <f t="shared" si="1"/>
        <v>16.687999999999999</v>
      </c>
      <c r="O7" s="1919">
        <f t="shared" si="2"/>
        <v>34.139155905538431</v>
      </c>
      <c r="P7" s="1419">
        <f t="shared" si="3"/>
        <v>33.918208579470679</v>
      </c>
      <c r="Q7" s="1416">
        <f t="shared" si="14"/>
        <v>626.47369771449269</v>
      </c>
      <c r="R7" s="1416">
        <f t="shared" si="4"/>
        <v>545.42974923496706</v>
      </c>
      <c r="S7" s="1413">
        <v>1</v>
      </c>
      <c r="T7" s="1413" t="s">
        <v>50</v>
      </c>
      <c r="U7" s="1413">
        <v>6.3</v>
      </c>
      <c r="V7" s="1413" t="s">
        <v>47</v>
      </c>
      <c r="W7" s="1413">
        <v>35</v>
      </c>
      <c r="X7" s="1413"/>
      <c r="Y7" s="1413">
        <v>6.3</v>
      </c>
      <c r="Z7" s="1419">
        <v>8.09</v>
      </c>
      <c r="AA7" s="1419"/>
      <c r="AB7" s="1413" t="s">
        <v>51</v>
      </c>
      <c r="AC7" s="1413">
        <v>9</v>
      </c>
      <c r="AD7" s="1419">
        <f t="shared" si="5"/>
        <v>15.730555555555558</v>
      </c>
      <c r="AE7" s="1419">
        <f t="shared" si="6"/>
        <v>49.55851070063634</v>
      </c>
      <c r="AF7" s="1920">
        <f t="shared" si="7"/>
        <v>49.334065726305532</v>
      </c>
      <c r="AG7" s="2256">
        <f t="shared" ref="AG7:AG12" si="15">SQRT(POWER((AD7+N7+F7),2)+POWER(M7,2))*POWER(6.3/35,2)</f>
        <v>1.6056957467006174</v>
      </c>
      <c r="AH7" s="2257">
        <f t="shared" ref="AH7:AH12" si="16">SQRT(POWER((G7+N7+AD7),2)+POWER(M7,2))*POWER(6.3/35,2)</f>
        <v>1.5984237295322992</v>
      </c>
      <c r="AI7" s="2031">
        <f t="shared" si="8"/>
        <v>431.55621374876387</v>
      </c>
      <c r="AJ7" s="1416">
        <f t="shared" si="9"/>
        <v>374.99443290633906</v>
      </c>
      <c r="AK7" s="1416">
        <f t="shared" si="10"/>
        <v>312.49536075528255</v>
      </c>
      <c r="AL7" s="1923">
        <f t="shared" si="11"/>
        <v>249.99628860422604</v>
      </c>
      <c r="AM7" s="1416">
        <f t="shared" si="12"/>
        <v>2265.2527437832341</v>
      </c>
      <c r="AN7" s="1924">
        <f t="shared" si="13"/>
        <v>1970.6914642225024</v>
      </c>
    </row>
    <row r="8" spans="1:41" ht="12.75" customHeight="1" x14ac:dyDescent="0.2">
      <c r="A8" s="2012"/>
      <c r="B8" s="1915" t="s">
        <v>325</v>
      </c>
      <c r="C8" s="1916">
        <v>1.2</v>
      </c>
      <c r="D8" s="2005" t="s">
        <v>39</v>
      </c>
      <c r="E8" s="2001" t="s">
        <v>326</v>
      </c>
      <c r="F8" s="1995">
        <f>AG15</f>
        <v>16.392443979021444</v>
      </c>
      <c r="G8" s="1996">
        <f>AH15</f>
        <v>16.164951553596101</v>
      </c>
      <c r="H8" s="2023"/>
      <c r="I8" s="1918"/>
      <c r="J8" s="1413">
        <v>41.72</v>
      </c>
      <c r="K8" s="1413"/>
      <c r="L8" s="1917"/>
      <c r="M8" s="2038">
        <f t="shared" si="0"/>
        <v>8.1354000000000006</v>
      </c>
      <c r="N8" s="1413">
        <f t="shared" si="1"/>
        <v>16.687999999999999</v>
      </c>
      <c r="O8" s="1919">
        <f t="shared" si="2"/>
        <v>34.066119635338211</v>
      </c>
      <c r="P8" s="1419">
        <f t="shared" si="3"/>
        <v>33.845253122748723</v>
      </c>
      <c r="Q8" s="1912">
        <f t="shared" si="14"/>
        <v>627.8168299159114</v>
      </c>
      <c r="R8" s="1912">
        <f t="shared" si="4"/>
        <v>546.60545550966572</v>
      </c>
      <c r="S8" s="1413">
        <v>2</v>
      </c>
      <c r="T8" s="1413" t="s">
        <v>50</v>
      </c>
      <c r="U8" s="1413">
        <v>6.3</v>
      </c>
      <c r="V8" s="1413" t="s">
        <v>47</v>
      </c>
      <c r="W8" s="1413">
        <v>35</v>
      </c>
      <c r="X8" s="1413"/>
      <c r="Y8" s="1413">
        <v>6.3</v>
      </c>
      <c r="Z8" s="1419">
        <v>7.97</v>
      </c>
      <c r="AA8" s="1419"/>
      <c r="AB8" s="1413" t="s">
        <v>51</v>
      </c>
      <c r="AC8" s="1413">
        <v>9</v>
      </c>
      <c r="AD8" s="1419">
        <f t="shared" si="5"/>
        <v>15.497222222222222</v>
      </c>
      <c r="AE8" s="1419">
        <f t="shared" si="6"/>
        <v>49.254181413555656</v>
      </c>
      <c r="AF8" s="1920">
        <f t="shared" si="7"/>
        <v>49.029828036735246</v>
      </c>
      <c r="AG8" s="2256">
        <f t="shared" si="15"/>
        <v>1.5958354777992032</v>
      </c>
      <c r="AH8" s="2257">
        <f t="shared" si="16"/>
        <v>1.5885664283902219</v>
      </c>
      <c r="AI8" s="2031">
        <f t="shared" si="8"/>
        <v>434.22269182425288</v>
      </c>
      <c r="AJ8" s="1416">
        <f t="shared" si="9"/>
        <v>377.32133154003736</v>
      </c>
      <c r="AK8" s="1416">
        <f t="shared" si="10"/>
        <v>314.43444295003115</v>
      </c>
      <c r="AL8" s="1923">
        <f t="shared" si="11"/>
        <v>251.54755436002492</v>
      </c>
      <c r="AM8" s="1912">
        <f t="shared" si="12"/>
        <v>2279.24917480266</v>
      </c>
      <c r="AN8" s="1914">
        <f t="shared" si="13"/>
        <v>1982.919910495692</v>
      </c>
    </row>
    <row r="9" spans="1:41" ht="12.75" customHeight="1" x14ac:dyDescent="0.2">
      <c r="A9" s="2012"/>
      <c r="B9" s="1925" t="s">
        <v>160</v>
      </c>
      <c r="C9" s="1926">
        <v>3.4</v>
      </c>
      <c r="D9" s="2006" t="s">
        <v>39</v>
      </c>
      <c r="E9" s="2018" t="s">
        <v>326</v>
      </c>
      <c r="F9" s="1995">
        <f>AG14</f>
        <v>16.467651596412026</v>
      </c>
      <c r="G9" s="1996">
        <f>AH14</f>
        <v>16.240105625445242</v>
      </c>
      <c r="H9" s="2024"/>
      <c r="I9" s="1927">
        <v>1.734</v>
      </c>
      <c r="J9" s="1928"/>
      <c r="K9" s="1928"/>
      <c r="L9" s="1929"/>
      <c r="M9" s="2039">
        <f t="shared" si="0"/>
        <v>0.43176599999999998</v>
      </c>
      <c r="N9" s="1928">
        <f t="shared" si="1"/>
        <v>0.69359999999999999</v>
      </c>
      <c r="O9" s="1930">
        <f t="shared" si="2"/>
        <v>17.166682213931448</v>
      </c>
      <c r="P9" s="1927">
        <f t="shared" si="3"/>
        <v>16.939209193111463</v>
      </c>
      <c r="Q9" s="1912">
        <f t="shared" si="14"/>
        <v>1245.8600311035982</v>
      </c>
      <c r="R9" s="1912">
        <f t="shared" si="4"/>
        <v>1092.1407126563649</v>
      </c>
      <c r="S9" s="1928">
        <v>1</v>
      </c>
      <c r="T9" s="1928" t="s">
        <v>50</v>
      </c>
      <c r="U9" s="1928">
        <v>6.3</v>
      </c>
      <c r="V9" s="1928" t="s">
        <v>47</v>
      </c>
      <c r="W9" s="1928">
        <v>35</v>
      </c>
      <c r="X9" s="1928"/>
      <c r="Y9" s="1928">
        <v>6.3</v>
      </c>
      <c r="Z9" s="1927">
        <v>7.94</v>
      </c>
      <c r="AA9" s="1927"/>
      <c r="AB9" s="1928" t="s">
        <v>51</v>
      </c>
      <c r="AC9" s="1928">
        <v>9</v>
      </c>
      <c r="AD9" s="1927">
        <f t="shared" si="5"/>
        <v>15.43888888888889</v>
      </c>
      <c r="AE9" s="1927">
        <f t="shared" si="6"/>
        <v>32.602999578874815</v>
      </c>
      <c r="AF9" s="1931">
        <f t="shared" si="7"/>
        <v>32.375473702607849</v>
      </c>
      <c r="AG9" s="2268">
        <f t="shared" si="15"/>
        <v>1.056337186355544</v>
      </c>
      <c r="AH9" s="2269">
        <f t="shared" si="16"/>
        <v>1.0489653479644943</v>
      </c>
      <c r="AI9" s="2032">
        <f t="shared" si="8"/>
        <v>655.99127421552203</v>
      </c>
      <c r="AJ9" s="1912">
        <f t="shared" si="9"/>
        <v>571.42021055617238</v>
      </c>
      <c r="AK9" s="1912">
        <f t="shared" si="10"/>
        <v>476.18350879681032</v>
      </c>
      <c r="AL9" s="1913">
        <f t="shared" si="11"/>
        <v>380.94680703744825</v>
      </c>
      <c r="AM9" s="1912">
        <f t="shared" si="12"/>
        <v>3443.3197494861183</v>
      </c>
      <c r="AN9" s="1914">
        <f t="shared" si="13"/>
        <v>3002.9590644843897</v>
      </c>
    </row>
    <row r="10" spans="1:41" ht="12.75" customHeight="1" thickBot="1" x14ac:dyDescent="0.25">
      <c r="A10" s="2013"/>
      <c r="B10" s="2000" t="s">
        <v>160</v>
      </c>
      <c r="C10" s="2007">
        <v>3.4</v>
      </c>
      <c r="D10" s="2008" t="s">
        <v>39</v>
      </c>
      <c r="E10" s="2019" t="s">
        <v>326</v>
      </c>
      <c r="F10" s="2009">
        <f>AG15</f>
        <v>16.392443979021444</v>
      </c>
      <c r="G10" s="2021">
        <f>AH15</f>
        <v>16.164951553596101</v>
      </c>
      <c r="H10" s="2025"/>
      <c r="I10" s="1933">
        <v>1.734</v>
      </c>
      <c r="J10" s="1934"/>
      <c r="K10" s="1934"/>
      <c r="L10" s="1935"/>
      <c r="M10" s="2040">
        <f t="shared" si="0"/>
        <v>0.43176599999999998</v>
      </c>
      <c r="N10" s="1934">
        <f t="shared" si="1"/>
        <v>0.69359999999999999</v>
      </c>
      <c r="O10" s="1936">
        <f t="shared" si="2"/>
        <v>17.091498492870979</v>
      </c>
      <c r="P10" s="1933">
        <f t="shared" si="3"/>
        <v>16.86407964770131</v>
      </c>
      <c r="Q10" s="1937">
        <f t="shared" si="14"/>
        <v>1251.3404395708808</v>
      </c>
      <c r="R10" s="1937">
        <f t="shared" si="4"/>
        <v>1097.0062041020826</v>
      </c>
      <c r="S10" s="1934">
        <v>2</v>
      </c>
      <c r="T10" s="1934" t="s">
        <v>50</v>
      </c>
      <c r="U10" s="1934">
        <v>6.3</v>
      </c>
      <c r="V10" s="1934" t="s">
        <v>47</v>
      </c>
      <c r="W10" s="1934">
        <v>35</v>
      </c>
      <c r="X10" s="1934"/>
      <c r="Y10" s="1934">
        <v>6.3</v>
      </c>
      <c r="Z10" s="1933">
        <v>8.14</v>
      </c>
      <c r="AA10" s="1933"/>
      <c r="AB10" s="1934" t="s">
        <v>51</v>
      </c>
      <c r="AC10" s="1934">
        <v>9</v>
      </c>
      <c r="AD10" s="1933">
        <f t="shared" si="5"/>
        <v>15.827777777777779</v>
      </c>
      <c r="AE10" s="1933">
        <f t="shared" si="6"/>
        <v>32.91665360447665</v>
      </c>
      <c r="AF10" s="1938">
        <f t="shared" si="7"/>
        <v>32.689180886614281</v>
      </c>
      <c r="AG10" s="2270">
        <f t="shared" si="15"/>
        <v>1.0664995767850434</v>
      </c>
      <c r="AH10" s="2271">
        <f t="shared" si="16"/>
        <v>1.0591294607263027</v>
      </c>
      <c r="AI10" s="2033">
        <f t="shared" si="8"/>
        <v>649.74050807174274</v>
      </c>
      <c r="AJ10" s="1939">
        <f t="shared" si="9"/>
        <v>565.93648106904584</v>
      </c>
      <c r="AK10" s="1939">
        <f t="shared" si="10"/>
        <v>471.6137342242049</v>
      </c>
      <c r="AL10" s="1940">
        <f t="shared" si="11"/>
        <v>377.29098737936391</v>
      </c>
      <c r="AM10" s="1937">
        <f t="shared" si="12"/>
        <v>3410.5092726424532</v>
      </c>
      <c r="AN10" s="1941">
        <f t="shared" si="13"/>
        <v>2974.1406662787699</v>
      </c>
    </row>
    <row r="11" spans="1:41" ht="12.75" customHeight="1" x14ac:dyDescent="0.2">
      <c r="A11" s="2011"/>
      <c r="B11" s="1902" t="s">
        <v>631</v>
      </c>
      <c r="C11" s="2035">
        <v>1.2</v>
      </c>
      <c r="D11" s="2004" t="s">
        <v>39</v>
      </c>
      <c r="E11" s="2017" t="s">
        <v>326</v>
      </c>
      <c r="F11" s="1993">
        <f>AG14</f>
        <v>16.467651596412026</v>
      </c>
      <c r="G11" s="1994">
        <f>AH14</f>
        <v>16.240105625445242</v>
      </c>
      <c r="H11" s="2022"/>
      <c r="I11" s="1908">
        <v>13.4</v>
      </c>
      <c r="J11" s="1905"/>
      <c r="K11" s="1905"/>
      <c r="L11" s="1906"/>
      <c r="M11" s="2037">
        <f t="shared" si="0"/>
        <v>3.3366000000000002</v>
      </c>
      <c r="N11" s="1905">
        <f t="shared" si="1"/>
        <v>5.36</v>
      </c>
      <c r="O11" s="1907">
        <f t="shared" si="2"/>
        <v>22.08119729032709</v>
      </c>
      <c r="P11" s="1908">
        <f t="shared" si="3"/>
        <v>21.856291144436909</v>
      </c>
      <c r="Q11" s="1908">
        <f t="shared" si="14"/>
        <v>968.57443714626618</v>
      </c>
      <c r="R11" s="1908">
        <f t="shared" si="4"/>
        <v>846.43821212588546</v>
      </c>
      <c r="S11" s="1905">
        <v>1</v>
      </c>
      <c r="T11" s="1905" t="s">
        <v>85</v>
      </c>
      <c r="U11" s="1905">
        <v>4</v>
      </c>
      <c r="V11" s="1905" t="s">
        <v>47</v>
      </c>
      <c r="W11" s="1905">
        <v>35</v>
      </c>
      <c r="X11" s="1905"/>
      <c r="Y11" s="1905">
        <v>6.3</v>
      </c>
      <c r="Z11" s="2036">
        <v>6.14</v>
      </c>
      <c r="AA11" s="1908"/>
      <c r="AB11" s="1905"/>
      <c r="AC11" s="1905">
        <v>5</v>
      </c>
      <c r="AD11" s="1908">
        <f t="shared" si="5"/>
        <v>18.803750000000001</v>
      </c>
      <c r="AE11" s="1908">
        <f t="shared" si="6"/>
        <v>40.768170123871315</v>
      </c>
      <c r="AF11" s="1911">
        <f t="shared" si="7"/>
        <v>40.541391798528863</v>
      </c>
      <c r="AG11" s="2266">
        <f t="shared" si="15"/>
        <v>1.3208887120134305</v>
      </c>
      <c r="AH11" s="2267">
        <f t="shared" si="16"/>
        <v>1.3135410942723351</v>
      </c>
      <c r="AI11" s="2030">
        <f t="shared" si="8"/>
        <v>524.60738787172477</v>
      </c>
      <c r="AJ11" s="1909">
        <f t="shared" si="9"/>
        <v>456.32375158544295</v>
      </c>
      <c r="AK11" s="1909">
        <f t="shared" si="10"/>
        <v>380.26979298786915</v>
      </c>
      <c r="AL11" s="1909">
        <f t="shared" si="11"/>
        <v>304.2158343902953</v>
      </c>
      <c r="AM11" s="1909">
        <f t="shared" si="12"/>
        <v>2753.6814137432489</v>
      </c>
      <c r="AN11" s="2027">
        <f t="shared" si="13"/>
        <v>2398.097793617193</v>
      </c>
    </row>
    <row r="12" spans="1:41" ht="12.75" customHeight="1" thickBot="1" x14ac:dyDescent="0.25">
      <c r="A12" s="2014"/>
      <c r="B12" s="1932" t="s">
        <v>631</v>
      </c>
      <c r="C12" s="2015">
        <v>1.2</v>
      </c>
      <c r="D12" s="2016" t="s">
        <v>39</v>
      </c>
      <c r="E12" s="2020" t="s">
        <v>326</v>
      </c>
      <c r="F12" s="1997">
        <f>AG15</f>
        <v>16.392443979021444</v>
      </c>
      <c r="G12" s="1998">
        <f>AH15</f>
        <v>16.164951553596101</v>
      </c>
      <c r="H12" s="2015"/>
      <c r="I12" s="1969">
        <v>13.4</v>
      </c>
      <c r="J12" s="1968"/>
      <c r="K12" s="1968"/>
      <c r="L12" s="2042"/>
      <c r="M12" s="2041">
        <f t="shared" si="0"/>
        <v>3.3366000000000002</v>
      </c>
      <c r="N12" s="1968">
        <f t="shared" si="1"/>
        <v>5.36</v>
      </c>
      <c r="O12" s="2028">
        <f t="shared" si="2"/>
        <v>22.006856173030855</v>
      </c>
      <c r="P12" s="1969">
        <f t="shared" si="3"/>
        <v>21.782021002300478</v>
      </c>
      <c r="Q12" s="1969">
        <f t="shared" si="14"/>
        <v>971.84636773352861</v>
      </c>
      <c r="R12" s="1969">
        <f t="shared" si="4"/>
        <v>849.32431191973183</v>
      </c>
      <c r="S12" s="1968">
        <v>2</v>
      </c>
      <c r="T12" s="1968" t="s">
        <v>85</v>
      </c>
      <c r="U12" s="1968">
        <v>4</v>
      </c>
      <c r="V12" s="1968" t="s">
        <v>47</v>
      </c>
      <c r="W12" s="1968">
        <v>35</v>
      </c>
      <c r="X12" s="1968"/>
      <c r="Y12" s="1968">
        <v>6.3</v>
      </c>
      <c r="Z12" s="1969">
        <v>6.44</v>
      </c>
      <c r="AA12" s="1969"/>
      <c r="AB12" s="1968"/>
      <c r="AC12" s="1968">
        <v>5</v>
      </c>
      <c r="AD12" s="1969">
        <f t="shared" si="5"/>
        <v>19.7225</v>
      </c>
      <c r="AE12" s="1969">
        <f t="shared" si="6"/>
        <v>41.608939876220916</v>
      </c>
      <c r="AF12" s="1975">
        <f t="shared" si="7"/>
        <v>41.382184079942633</v>
      </c>
      <c r="AG12" s="2258">
        <f t="shared" si="15"/>
        <v>1.3481296519895576</v>
      </c>
      <c r="AH12" s="2259">
        <f t="shared" si="16"/>
        <v>1.3407827641901413</v>
      </c>
      <c r="AI12" s="2034">
        <f t="shared" si="8"/>
        <v>514.00692496894965</v>
      </c>
      <c r="AJ12" s="1972">
        <f t="shared" si="9"/>
        <v>447.05228617855124</v>
      </c>
      <c r="AK12" s="1972">
        <f t="shared" si="10"/>
        <v>372.54357181545936</v>
      </c>
      <c r="AL12" s="1972">
        <f t="shared" si="11"/>
        <v>298.03485745236748</v>
      </c>
      <c r="AM12" s="1972">
        <f t="shared" si="12"/>
        <v>2698.0392357120386</v>
      </c>
      <c r="AN12" s="2029">
        <f t="shared" si="13"/>
        <v>2349.3738763137076</v>
      </c>
    </row>
    <row r="13" spans="1:41" ht="66" customHeight="1" thickBot="1" x14ac:dyDescent="0.25">
      <c r="A13" s="1942"/>
      <c r="B13" s="1943"/>
      <c r="C13" s="2002" t="s">
        <v>441</v>
      </c>
      <c r="D13" s="2003"/>
      <c r="E13" s="1999" t="s">
        <v>5</v>
      </c>
      <c r="F13" s="2553" t="s">
        <v>617</v>
      </c>
      <c r="G13" s="2553"/>
      <c r="M13" s="2554" t="s">
        <v>469</v>
      </c>
      <c r="N13" s="2554"/>
      <c r="O13" s="2544" t="s">
        <v>618</v>
      </c>
      <c r="P13" s="2544"/>
      <c r="Q13" s="2545" t="s">
        <v>611</v>
      </c>
      <c r="R13" s="2545"/>
      <c r="Z13" s="1428" t="s">
        <v>613</v>
      </c>
      <c r="AA13" s="1428" t="s">
        <v>614</v>
      </c>
      <c r="AE13" s="2546" t="s">
        <v>621</v>
      </c>
      <c r="AF13" s="2546"/>
      <c r="AG13" s="2546" t="s">
        <v>622</v>
      </c>
      <c r="AH13" s="2546"/>
      <c r="AM13" s="99"/>
      <c r="AN13" s="2010"/>
    </row>
    <row r="14" spans="1:41" ht="27" customHeight="1" x14ac:dyDescent="0.2">
      <c r="A14" s="1944"/>
      <c r="B14" s="2547" t="s">
        <v>619</v>
      </c>
      <c r="C14" s="1945">
        <v>1</v>
      </c>
      <c r="D14" s="1946" t="s">
        <v>39</v>
      </c>
      <c r="E14" s="2549" t="s">
        <v>442</v>
      </c>
      <c r="F14" s="1990">
        <v>6.5019999999999998</v>
      </c>
      <c r="G14" s="1990">
        <v>22.358000000000001</v>
      </c>
      <c r="H14" s="1947"/>
      <c r="I14" s="1904"/>
      <c r="J14" s="1905">
        <v>164.56200000000001</v>
      </c>
      <c r="K14" s="1905"/>
      <c r="L14" s="1905"/>
      <c r="M14" s="1908">
        <f>0.314*H14+0.249*I14+0.195*J14+0.159*K14+0.06*L14</f>
        <v>32.089590000000001</v>
      </c>
      <c r="N14" s="1905">
        <f>0.4*SUM(H14:L14)</f>
        <v>65.82480000000001</v>
      </c>
      <c r="O14" s="2260">
        <f>(120.6/1.73/(Q14/1000))</f>
        <v>82.498204330129639</v>
      </c>
      <c r="P14" s="2261">
        <f>120.6/(2*(R14/1000))</f>
        <v>64.56102783725909</v>
      </c>
      <c r="Q14" s="2237">
        <v>845</v>
      </c>
      <c r="R14" s="2237">
        <v>934</v>
      </c>
      <c r="S14" s="1905">
        <v>1</v>
      </c>
      <c r="T14" s="1905" t="s">
        <v>625</v>
      </c>
      <c r="U14" s="1905">
        <v>25</v>
      </c>
      <c r="V14" s="1910" t="s">
        <v>623</v>
      </c>
      <c r="W14" s="1950">
        <v>115</v>
      </c>
      <c r="X14" s="1910">
        <v>38.5</v>
      </c>
      <c r="Y14" s="1910">
        <v>6.6</v>
      </c>
      <c r="Z14" s="1908">
        <v>10.28</v>
      </c>
      <c r="AA14" s="1908"/>
      <c r="AB14" s="1905" t="s">
        <v>626</v>
      </c>
      <c r="AC14" s="1905">
        <v>19</v>
      </c>
      <c r="AD14" s="1908">
        <f>Z14/100*W14*W14/U14</f>
        <v>54.3812</v>
      </c>
      <c r="AE14" s="1908">
        <f>SQRT(POWER(M14,2)+POWER(O14+AD14+F14,2))</f>
        <v>146.9284482122105</v>
      </c>
      <c r="AF14" s="2234">
        <f>SQRT(POWER(M14,2)+POWER(P14+AD14+G14,2))</f>
        <v>144.89822694991622</v>
      </c>
      <c r="AG14" s="2254">
        <f>AE14*POWER(X14/W14,2)</f>
        <v>16.467651596412026</v>
      </c>
      <c r="AH14" s="2255">
        <f>AF14*POWER(X14/W14,2)</f>
        <v>16.240105625445242</v>
      </c>
      <c r="AI14" s="1953" t="s">
        <v>615</v>
      </c>
      <c r="AJ14" s="1954"/>
      <c r="AK14" s="1954"/>
      <c r="AL14" s="1954"/>
      <c r="AM14" s="1954"/>
      <c r="AN14" s="1955"/>
    </row>
    <row r="15" spans="1:41" ht="27" customHeight="1" x14ac:dyDescent="0.2">
      <c r="A15" s="1956"/>
      <c r="B15" s="2548"/>
      <c r="C15" s="1957">
        <v>2</v>
      </c>
      <c r="D15" s="1414" t="s">
        <v>39</v>
      </c>
      <c r="E15" s="2550"/>
      <c r="F15" s="1991">
        <v>6.5019999999999998</v>
      </c>
      <c r="G15" s="1991">
        <v>22.358000000000001</v>
      </c>
      <c r="H15" s="1418"/>
      <c r="I15" s="1918"/>
      <c r="J15" s="1413">
        <v>164.56200000000001</v>
      </c>
      <c r="K15" s="1413"/>
      <c r="L15" s="1413"/>
      <c r="M15" s="1419">
        <f>0.314*H15+0.249*I15+0.195*J15+0.159*K15+0.06*L15</f>
        <v>32.089590000000001</v>
      </c>
      <c r="N15" s="2233">
        <f>0.4*SUM(H15:L15)</f>
        <v>65.82480000000001</v>
      </c>
      <c r="O15" s="2262">
        <f>(120.6/1.73/(Q15/1000))</f>
        <v>82.498204330129639</v>
      </c>
      <c r="P15" s="2263">
        <f>120.6/(2*(R15/1000))</f>
        <v>64.56102783725909</v>
      </c>
      <c r="Q15" s="2238">
        <v>845</v>
      </c>
      <c r="R15" s="2239">
        <v>934</v>
      </c>
      <c r="S15" s="1413">
        <v>2</v>
      </c>
      <c r="T15" s="1413" t="s">
        <v>624</v>
      </c>
      <c r="U15" s="1413">
        <v>25</v>
      </c>
      <c r="V15" s="1413" t="s">
        <v>623</v>
      </c>
      <c r="W15" s="1416">
        <v>115</v>
      </c>
      <c r="X15" s="1413">
        <v>38.5</v>
      </c>
      <c r="Y15" s="1413">
        <v>6.6</v>
      </c>
      <c r="Z15" s="1419">
        <v>10.15</v>
      </c>
      <c r="AA15" s="1419"/>
      <c r="AB15" s="1413" t="s">
        <v>626</v>
      </c>
      <c r="AC15" s="1413">
        <v>19</v>
      </c>
      <c r="AD15" s="1419">
        <f>Z15/100*W15*W15/U15</f>
        <v>53.6935</v>
      </c>
      <c r="AE15" s="1419">
        <f>SQRT(POWER(M15,2)+POWER(O15+AD15+F15,2))</f>
        <v>146.25742730481267</v>
      </c>
      <c r="AF15" s="2235">
        <f>SQRT(POWER(M15,2)+POWER(P15+AD15+G15,2))</f>
        <v>144.2276837890426</v>
      </c>
      <c r="AG15" s="2256">
        <f>AE15*POWER(X15/W15,2)</f>
        <v>16.392443979021444</v>
      </c>
      <c r="AH15" s="2257">
        <f>AF15*POWER(X15/W15,2)</f>
        <v>16.164951553596101</v>
      </c>
      <c r="AI15" s="1960" t="s">
        <v>615</v>
      </c>
      <c r="AJ15" s="1961"/>
      <c r="AK15" s="1961"/>
      <c r="AL15" s="1961"/>
      <c r="AM15" s="1961"/>
      <c r="AN15" s="1962"/>
    </row>
    <row r="16" spans="1:41" ht="29.25" customHeight="1" x14ac:dyDescent="0.2">
      <c r="A16" s="1956"/>
      <c r="B16" s="2548" t="s">
        <v>620</v>
      </c>
      <c r="C16" s="1957">
        <v>1</v>
      </c>
      <c r="D16" s="1414" t="s">
        <v>39</v>
      </c>
      <c r="E16" s="2550" t="s">
        <v>442</v>
      </c>
      <c r="F16" s="1991">
        <v>6.5019999999999998</v>
      </c>
      <c r="G16" s="1991">
        <v>22.358000000000001</v>
      </c>
      <c r="H16" s="1418"/>
      <c r="I16" s="1918"/>
      <c r="J16" s="1413">
        <v>164.56200000000001</v>
      </c>
      <c r="K16" s="1413"/>
      <c r="L16" s="1413"/>
      <c r="M16" s="1419">
        <f>0.314*H16+0.249*I16+0.195*J16+0.159*K16+0.06*L16</f>
        <v>32.089590000000001</v>
      </c>
      <c r="N16" s="2233">
        <f>0.4*SUM(H16:L16)</f>
        <v>65.82480000000001</v>
      </c>
      <c r="O16" s="2262">
        <f>(120.6/1.73/(Q16/1000))</f>
        <v>82.498204330129639</v>
      </c>
      <c r="P16" s="2263">
        <f>120.6/(2*(R16/1000))</f>
        <v>64.56102783725909</v>
      </c>
      <c r="Q16" s="2238">
        <v>845</v>
      </c>
      <c r="R16" s="2239">
        <v>934</v>
      </c>
      <c r="S16" s="1413">
        <v>1</v>
      </c>
      <c r="T16" s="1413" t="s">
        <v>625</v>
      </c>
      <c r="U16" s="1413">
        <v>25</v>
      </c>
      <c r="V16" s="1413" t="s">
        <v>623</v>
      </c>
      <c r="W16" s="1416">
        <v>115</v>
      </c>
      <c r="X16" s="1413">
        <v>38.5</v>
      </c>
      <c r="Y16" s="1413">
        <v>6.6</v>
      </c>
      <c r="Z16" s="1419"/>
      <c r="AA16" s="1419">
        <v>18.23</v>
      </c>
      <c r="AB16" s="1413" t="s">
        <v>626</v>
      </c>
      <c r="AC16" s="1413">
        <v>19</v>
      </c>
      <c r="AD16" s="1419">
        <f>AA16/100*W16*W16/U16</f>
        <v>96.436700000000002</v>
      </c>
      <c r="AE16" s="1419">
        <f>SQRT(POWER(M16,2)+POWER(O16+AD16+F16,2))</f>
        <v>188.19295224293009</v>
      </c>
      <c r="AF16" s="2235">
        <f>SQRT(POWER(M16,2)+POWER(P16+AD16+G16,2))</f>
        <v>186.14259243144522</v>
      </c>
      <c r="AG16" s="2256">
        <f>AE16*POWER(Y16/W16,2)</f>
        <v>0.61986275990185513</v>
      </c>
      <c r="AH16" s="2257">
        <f>AF16*POWER(Y16/W16,2)</f>
        <v>0.61310936304829888</v>
      </c>
      <c r="AI16" s="1960" t="s">
        <v>616</v>
      </c>
      <c r="AJ16" s="1961"/>
      <c r="AK16" s="1961"/>
      <c r="AL16" s="1961"/>
      <c r="AM16" s="1961"/>
      <c r="AN16" s="1962"/>
    </row>
    <row r="17" spans="1:40" ht="32.25" customHeight="1" thickBot="1" x14ac:dyDescent="0.25">
      <c r="A17" s="1963"/>
      <c r="B17" s="2551"/>
      <c r="C17" s="1964">
        <v>2</v>
      </c>
      <c r="D17" s="1965" t="s">
        <v>39</v>
      </c>
      <c r="E17" s="2552"/>
      <c r="F17" s="1992">
        <v>6.5019999999999998</v>
      </c>
      <c r="G17" s="1992">
        <v>22.358000000000001</v>
      </c>
      <c r="H17" s="1966"/>
      <c r="I17" s="1967"/>
      <c r="J17" s="1968">
        <v>164.56200000000001</v>
      </c>
      <c r="K17" s="1968"/>
      <c r="L17" s="1968"/>
      <c r="M17" s="1969">
        <f>0.314*H17+0.249*I17+0.195*J17+0.159*K17+0.06*L17</f>
        <v>32.089590000000001</v>
      </c>
      <c r="N17" s="1968">
        <f>0.4*SUM(H17:L17)</f>
        <v>65.82480000000001</v>
      </c>
      <c r="O17" s="2264">
        <f>(120.6/1.73/(Q17/1000))</f>
        <v>82.498204330129639</v>
      </c>
      <c r="P17" s="2265">
        <f>120.6/(2*(R17/1000))</f>
        <v>64.56102783725909</v>
      </c>
      <c r="Q17" s="2240">
        <v>845</v>
      </c>
      <c r="R17" s="2240">
        <v>934</v>
      </c>
      <c r="S17" s="1968">
        <v>2</v>
      </c>
      <c r="T17" s="1968" t="s">
        <v>624</v>
      </c>
      <c r="U17" s="1968">
        <v>25</v>
      </c>
      <c r="V17" s="1973" t="s">
        <v>623</v>
      </c>
      <c r="W17" s="1974">
        <v>115</v>
      </c>
      <c r="X17" s="1973">
        <v>38.5</v>
      </c>
      <c r="Y17" s="1973">
        <v>6.6</v>
      </c>
      <c r="Z17" s="1969"/>
      <c r="AA17" s="1969">
        <v>18.34</v>
      </c>
      <c r="AB17" s="1968" t="s">
        <v>626</v>
      </c>
      <c r="AC17" s="1968">
        <v>19</v>
      </c>
      <c r="AD17" s="1969">
        <f>AA17/100*W17*W17/U17</f>
        <v>97.018600000000006</v>
      </c>
      <c r="AE17" s="1969">
        <f>SQRT(POWER(M17,2)+POWER(O17+AD17+F17,2))</f>
        <v>188.76635651190378</v>
      </c>
      <c r="AF17" s="2236">
        <f>SQRT(POWER(M17,2)+POWER(P17+AD17+G17,2))</f>
        <v>186.71580736714859</v>
      </c>
      <c r="AG17" s="2258">
        <f>AE17*POWER(Y17/W17,2)</f>
        <v>0.62175141698741232</v>
      </c>
      <c r="AH17" s="2259">
        <f>AF17*POWER(Y17/W17,2)</f>
        <v>0.61499739651516006</v>
      </c>
      <c r="AI17" s="1978" t="s">
        <v>616</v>
      </c>
      <c r="AJ17" s="1979"/>
      <c r="AK17" s="1979"/>
      <c r="AL17" s="1979"/>
      <c r="AM17" s="1979"/>
      <c r="AN17" s="1980"/>
    </row>
  </sheetData>
  <mergeCells count="39">
    <mergeCell ref="E16:E17"/>
    <mergeCell ref="B14:B15"/>
    <mergeCell ref="U2:U3"/>
    <mergeCell ref="AD2:AD3"/>
    <mergeCell ref="F13:G13"/>
    <mergeCell ref="M13:N13"/>
    <mergeCell ref="F2:G2"/>
    <mergeCell ref="B16:B17"/>
    <mergeCell ref="V2:V4"/>
    <mergeCell ref="W2:W3"/>
    <mergeCell ref="X2:X3"/>
    <mergeCell ref="AE13:AF13"/>
    <mergeCell ref="AG13:AH13"/>
    <mergeCell ref="AM2:AN2"/>
    <mergeCell ref="Y2:Y3"/>
    <mergeCell ref="AB2:AB3"/>
    <mergeCell ref="AC2:AC3"/>
    <mergeCell ref="AI2:AJ2"/>
    <mergeCell ref="Z2:Z3"/>
    <mergeCell ref="AE2:AF2"/>
    <mergeCell ref="AA2:AA3"/>
    <mergeCell ref="AL2:AL3"/>
    <mergeCell ref="AK2:AK3"/>
    <mergeCell ref="E14:E15"/>
    <mergeCell ref="O13:P13"/>
    <mergeCell ref="Q13:R13"/>
    <mergeCell ref="A1:AH1"/>
    <mergeCell ref="A2:A4"/>
    <mergeCell ref="B2:B4"/>
    <mergeCell ref="C2:C4"/>
    <mergeCell ref="D2:D4"/>
    <mergeCell ref="E2:E4"/>
    <mergeCell ref="AG2:AH2"/>
    <mergeCell ref="Q2:R2"/>
    <mergeCell ref="S2:S4"/>
    <mergeCell ref="T2:T4"/>
    <mergeCell ref="H2:L2"/>
    <mergeCell ref="M2:N3"/>
    <mergeCell ref="O2:P2"/>
  </mergeCells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F0084-E1BB-40B0-B1E1-DC60AB350E2E}">
  <sheetPr codeName="Лист17"/>
  <dimension ref="A1:AO98"/>
  <sheetViews>
    <sheetView zoomScale="115" zoomScaleNormal="115" zoomScalePageLayoutView="85" workbookViewId="0">
      <selection activeCell="G12" sqref="G12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0" width="5.5703125" style="188" customWidth="1"/>
    <col min="11" max="12" width="5.5703125" style="189" customWidth="1"/>
    <col min="13" max="14" width="6.7109375" style="186" customWidth="1"/>
    <col min="15" max="16" width="6.7109375" style="100" customWidth="1"/>
    <col min="17" max="18" width="6.7109375" style="190" customWidth="1"/>
    <col min="19" max="16384" width="9.140625" style="100"/>
  </cols>
  <sheetData>
    <row r="1" spans="1:41" ht="36.75" customHeight="1" thickBot="1" x14ac:dyDescent="0.25">
      <c r="A1" s="2302" t="s">
        <v>359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69"/>
      <c r="T1" s="269"/>
      <c r="U1" s="269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</row>
    <row r="2" spans="1:41" s="101" customFormat="1" ht="69.75" customHeight="1" x14ac:dyDescent="0.2">
      <c r="A2" s="2303" t="s">
        <v>0</v>
      </c>
      <c r="B2" s="2306" t="s">
        <v>394</v>
      </c>
      <c r="C2" s="2306" t="s">
        <v>10</v>
      </c>
      <c r="D2" s="2312" t="s">
        <v>4</v>
      </c>
      <c r="E2" s="2315" t="s">
        <v>395</v>
      </c>
      <c r="F2" s="2315" t="s">
        <v>225</v>
      </c>
      <c r="G2" s="2318" t="s">
        <v>396</v>
      </c>
      <c r="H2" s="2319"/>
      <c r="I2" s="2320" t="s">
        <v>230</v>
      </c>
      <c r="J2" s="2321"/>
      <c r="K2" s="2321"/>
      <c r="L2" s="2322"/>
      <c r="M2" s="2323" t="s">
        <v>360</v>
      </c>
      <c r="N2" s="2324"/>
      <c r="O2" s="2347" t="s">
        <v>232</v>
      </c>
      <c r="P2" s="2348"/>
      <c r="Q2" s="2328" t="s">
        <v>231</v>
      </c>
      <c r="R2" s="2829"/>
    </row>
    <row r="3" spans="1:41" s="101" customFormat="1" ht="36" customHeight="1" x14ac:dyDescent="0.2">
      <c r="A3" s="2304"/>
      <c r="B3" s="2307"/>
      <c r="C3" s="2307"/>
      <c r="D3" s="2313"/>
      <c r="E3" s="2316"/>
      <c r="F3" s="2316"/>
      <c r="G3" s="102" t="s">
        <v>220</v>
      </c>
      <c r="H3" s="103" t="s">
        <v>29</v>
      </c>
      <c r="I3" s="611" t="s">
        <v>226</v>
      </c>
      <c r="J3" s="612" t="s">
        <v>227</v>
      </c>
      <c r="K3" s="402" t="s">
        <v>228</v>
      </c>
      <c r="L3" s="403" t="s">
        <v>229</v>
      </c>
      <c r="M3" s="2325"/>
      <c r="N3" s="2326"/>
      <c r="O3" s="107" t="s">
        <v>216</v>
      </c>
      <c r="P3" s="108" t="s">
        <v>217</v>
      </c>
      <c r="Q3" s="109" t="s">
        <v>218</v>
      </c>
      <c r="R3" s="111" t="s">
        <v>219</v>
      </c>
    </row>
    <row r="4" spans="1:41" s="101" customFormat="1" ht="13.5" thickBot="1" x14ac:dyDescent="0.25">
      <c r="A4" s="2305"/>
      <c r="B4" s="2308"/>
      <c r="C4" s="2308"/>
      <c r="D4" s="2314"/>
      <c r="E4" s="2317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6" t="s">
        <v>31</v>
      </c>
      <c r="L4" s="117" t="s">
        <v>31</v>
      </c>
      <c r="M4" s="118" t="s">
        <v>30</v>
      </c>
      <c r="N4" s="116" t="s">
        <v>30</v>
      </c>
      <c r="O4" s="613" t="s">
        <v>30</v>
      </c>
      <c r="P4" s="614" t="s">
        <v>30</v>
      </c>
      <c r="Q4" s="125" t="s">
        <v>35</v>
      </c>
      <c r="R4" s="126" t="s">
        <v>35</v>
      </c>
    </row>
    <row r="5" spans="1:41" ht="12.75" customHeight="1" x14ac:dyDescent="0.2">
      <c r="A5" s="127">
        <v>1</v>
      </c>
      <c r="B5" s="2306" t="s">
        <v>52</v>
      </c>
      <c r="C5" s="2482" t="s">
        <v>361</v>
      </c>
      <c r="D5" s="128" t="s">
        <v>39</v>
      </c>
      <c r="E5" s="2827" t="s">
        <v>52</v>
      </c>
      <c r="F5" s="655">
        <v>1</v>
      </c>
      <c r="G5" s="615">
        <f>СР1!AH5</f>
        <v>0.90312430089092977</v>
      </c>
      <c r="H5" s="616">
        <f>СР1!AI5</f>
        <v>0.99604324207060935</v>
      </c>
      <c r="I5" s="131">
        <v>0.03</v>
      </c>
      <c r="J5" s="132"/>
      <c r="K5" s="133"/>
      <c r="L5" s="134"/>
      <c r="M5" s="620">
        <f>0.163*I5+0.222*J5+0.077*K5+0.246*L5</f>
        <v>4.8900000000000002E-3</v>
      </c>
      <c r="N5" s="616">
        <f>0.039*I5+0.039*J5+0.071*K5+0.4*L5</f>
        <v>1.17E-3</v>
      </c>
      <c r="O5" s="617">
        <f>SQRT(M5^2+(G5+N5)^2)</f>
        <v>0.904307522209019</v>
      </c>
      <c r="P5" s="140">
        <f>SQRT(M5^2+(H5+N5)^2)</f>
        <v>0.99722523146026332</v>
      </c>
      <c r="Q5" s="356">
        <f>6300/(SQRT(3)*O5)</f>
        <v>4022.2010837746034</v>
      </c>
      <c r="R5" s="618">
        <f>6300/(2*P5)</f>
        <v>3158.7648413060824</v>
      </c>
    </row>
    <row r="6" spans="1:41" ht="12.75" customHeight="1" x14ac:dyDescent="0.2">
      <c r="A6" s="144">
        <v>1</v>
      </c>
      <c r="B6" s="2359"/>
      <c r="C6" s="2363"/>
      <c r="D6" s="145" t="s">
        <v>39</v>
      </c>
      <c r="E6" s="2824"/>
      <c r="F6" s="146">
        <v>2</v>
      </c>
      <c r="G6" s="275">
        <f>СР1!AH6</f>
        <v>0.89618428424429997</v>
      </c>
      <c r="H6" s="278">
        <f>СР1!AI6</f>
        <v>0.98910220186756637</v>
      </c>
      <c r="I6" s="147">
        <v>2.5000000000000001E-2</v>
      </c>
      <c r="J6" s="148"/>
      <c r="K6" s="149"/>
      <c r="L6" s="150"/>
      <c r="M6" s="620">
        <f t="shared" ref="M6:M20" si="0">0.163*I6+0.222*J6+0.077*K6+0.246*L6</f>
        <v>4.0750000000000005E-3</v>
      </c>
      <c r="N6" s="616">
        <f t="shared" ref="N6:N20" si="1">0.039*I6+0.039*J6+0.071*K6+0.4*L6</f>
        <v>9.7500000000000006E-4</v>
      </c>
      <c r="O6" s="157">
        <f t="shared" ref="O6:O20" si="2">SQRT(M6^2+(G6+N6)^2)</f>
        <v>0.89716853875442193</v>
      </c>
      <c r="P6" s="158">
        <f t="shared" ref="P6:P20" si="3">SQRT(M6^2+(H6+N6)^2)</f>
        <v>0.99008558785738809</v>
      </c>
      <c r="Q6" s="542">
        <f t="shared" ref="Q6:Q20" si="4">6300/(SQRT(3)*O6)</f>
        <v>4054.2066944795824</v>
      </c>
      <c r="R6" s="619">
        <f t="shared" ref="R6:R20" si="5">6300/(2*P6)</f>
        <v>3181.5431298387166</v>
      </c>
    </row>
    <row r="7" spans="1:41" ht="12.75" customHeight="1" x14ac:dyDescent="0.2">
      <c r="A7" s="161">
        <v>1</v>
      </c>
      <c r="B7" s="2358" t="s">
        <v>69</v>
      </c>
      <c r="C7" s="2483" t="s">
        <v>361</v>
      </c>
      <c r="D7" s="145" t="s">
        <v>39</v>
      </c>
      <c r="E7" s="2823" t="s">
        <v>69</v>
      </c>
      <c r="F7" s="146">
        <v>1</v>
      </c>
      <c r="G7" s="275">
        <f>СР1!AH7</f>
        <v>0.57982287546439171</v>
      </c>
      <c r="H7" s="278">
        <f>СР1!AI7</f>
        <v>0.6728099252179589</v>
      </c>
      <c r="I7" s="147"/>
      <c r="J7" s="148">
        <v>0.11</v>
      </c>
      <c r="K7" s="149"/>
      <c r="L7" s="150"/>
      <c r="M7" s="620">
        <f t="shared" si="0"/>
        <v>2.4420000000000001E-2</v>
      </c>
      <c r="N7" s="616">
        <f t="shared" si="1"/>
        <v>4.2900000000000004E-3</v>
      </c>
      <c r="O7" s="157">
        <f t="shared" si="2"/>
        <v>0.58462311593305993</v>
      </c>
      <c r="P7" s="158">
        <f t="shared" si="3"/>
        <v>0.67754014281824337</v>
      </c>
      <c r="Q7" s="542">
        <f t="shared" si="4"/>
        <v>6221.6265432636756</v>
      </c>
      <c r="R7" s="619">
        <f t="shared" si="5"/>
        <v>4649.1710246089697</v>
      </c>
    </row>
    <row r="8" spans="1:41" ht="12.75" customHeight="1" x14ac:dyDescent="0.2">
      <c r="A8" s="161">
        <v>1</v>
      </c>
      <c r="B8" s="2359"/>
      <c r="C8" s="2363"/>
      <c r="D8" s="145" t="s">
        <v>39</v>
      </c>
      <c r="E8" s="2824"/>
      <c r="F8" s="146">
        <v>2</v>
      </c>
      <c r="G8" s="275">
        <f>СР1!AH8</f>
        <v>0.58738278697268242</v>
      </c>
      <c r="H8" s="278">
        <f>СР1!AI8</f>
        <v>0.68036985937929051</v>
      </c>
      <c r="I8" s="147"/>
      <c r="J8" s="148">
        <v>0.11</v>
      </c>
      <c r="K8" s="149"/>
      <c r="L8" s="150"/>
      <c r="M8" s="620">
        <f t="shared" si="0"/>
        <v>2.4420000000000001E-2</v>
      </c>
      <c r="N8" s="616">
        <f t="shared" si="1"/>
        <v>4.2900000000000004E-3</v>
      </c>
      <c r="O8" s="157">
        <f t="shared" si="2"/>
        <v>0.59217651358697199</v>
      </c>
      <c r="P8" s="158">
        <f t="shared" si="3"/>
        <v>0.68509521925442596</v>
      </c>
      <c r="Q8" s="542">
        <f t="shared" si="4"/>
        <v>6142.2677401751389</v>
      </c>
      <c r="R8" s="619">
        <f t="shared" si="5"/>
        <v>4597.9010091882928</v>
      </c>
    </row>
    <row r="9" spans="1:41" ht="12.75" customHeight="1" x14ac:dyDescent="0.2">
      <c r="A9" s="161">
        <v>1</v>
      </c>
      <c r="B9" s="2358" t="s">
        <v>75</v>
      </c>
      <c r="C9" s="2483" t="s">
        <v>353</v>
      </c>
      <c r="D9" s="145" t="s">
        <v>39</v>
      </c>
      <c r="E9" s="2823" t="s">
        <v>75</v>
      </c>
      <c r="F9" s="146">
        <v>1</v>
      </c>
      <c r="G9" s="275">
        <f>СР1!AH11</f>
        <v>0.60215533113654329</v>
      </c>
      <c r="H9" s="278">
        <f>СР1!AI11</f>
        <v>0.69502756779868802</v>
      </c>
      <c r="I9" s="147">
        <v>7.0000000000000007E-2</v>
      </c>
      <c r="J9" s="148"/>
      <c r="K9" s="149"/>
      <c r="L9" s="150"/>
      <c r="M9" s="620">
        <f t="shared" si="0"/>
        <v>1.1410000000000002E-2</v>
      </c>
      <c r="N9" s="616">
        <f t="shared" si="1"/>
        <v>2.7300000000000002E-3</v>
      </c>
      <c r="O9" s="157">
        <f t="shared" si="2"/>
        <v>0.60499293543327071</v>
      </c>
      <c r="P9" s="158">
        <f t="shared" si="3"/>
        <v>0.69785085191632512</v>
      </c>
      <c r="Q9" s="542">
        <f t="shared" si="4"/>
        <v>6012.1473869604033</v>
      </c>
      <c r="R9" s="619">
        <f t="shared" si="5"/>
        <v>4513.8585004947399</v>
      </c>
    </row>
    <row r="10" spans="1:41" ht="12.75" customHeight="1" x14ac:dyDescent="0.2">
      <c r="A10" s="161">
        <v>1</v>
      </c>
      <c r="B10" s="2359"/>
      <c r="C10" s="2363"/>
      <c r="D10" s="145" t="s">
        <v>39</v>
      </c>
      <c r="E10" s="2824"/>
      <c r="F10" s="146">
        <v>2</v>
      </c>
      <c r="G10" s="275">
        <f>СР1!AH12</f>
        <v>0.64053341608081626</v>
      </c>
      <c r="H10" s="278">
        <f>СР1!AI12</f>
        <v>0.73341829264080949</v>
      </c>
      <c r="I10" s="147">
        <v>0.06</v>
      </c>
      <c r="J10" s="148"/>
      <c r="K10" s="149"/>
      <c r="L10" s="150"/>
      <c r="M10" s="620">
        <f t="shared" si="0"/>
        <v>9.7800000000000005E-3</v>
      </c>
      <c r="N10" s="616">
        <f t="shared" si="1"/>
        <v>2.3400000000000001E-3</v>
      </c>
      <c r="O10" s="157">
        <f t="shared" si="2"/>
        <v>0.64294780309401345</v>
      </c>
      <c r="P10" s="158">
        <f t="shared" si="3"/>
        <v>0.73582328964889332</v>
      </c>
      <c r="Q10" s="542">
        <f t="shared" si="4"/>
        <v>5657.2348150053267</v>
      </c>
      <c r="R10" s="619">
        <f t="shared" si="5"/>
        <v>4280.9191341348533</v>
      </c>
    </row>
    <row r="11" spans="1:41" ht="12.75" customHeight="1" x14ac:dyDescent="0.2">
      <c r="A11" s="161">
        <v>1</v>
      </c>
      <c r="B11" s="2358" t="s">
        <v>224</v>
      </c>
      <c r="C11" s="2362" t="s">
        <v>352</v>
      </c>
      <c r="D11" s="145" t="s">
        <v>39</v>
      </c>
      <c r="E11" s="2823" t="s">
        <v>86</v>
      </c>
      <c r="F11" s="146">
        <v>1</v>
      </c>
      <c r="G11" s="275">
        <f>СР1!AH19</f>
        <v>0.89602043647637952</v>
      </c>
      <c r="H11" s="278">
        <f>СР1!AI19</f>
        <v>0.9862962391854293</v>
      </c>
      <c r="I11" s="147"/>
      <c r="J11" s="148"/>
      <c r="K11" s="149">
        <v>0.16</v>
      </c>
      <c r="L11" s="150">
        <v>1.32</v>
      </c>
      <c r="M11" s="620">
        <f t="shared" si="0"/>
        <v>0.33704000000000001</v>
      </c>
      <c r="N11" s="616">
        <f t="shared" si="1"/>
        <v>0.53936000000000006</v>
      </c>
      <c r="O11" s="157">
        <f t="shared" si="2"/>
        <v>1.4744195329074836</v>
      </c>
      <c r="P11" s="158">
        <f t="shared" si="3"/>
        <v>1.5624413338635881</v>
      </c>
      <c r="Q11" s="542">
        <f t="shared" si="4"/>
        <v>2466.9414740606771</v>
      </c>
      <c r="R11" s="619">
        <f t="shared" si="5"/>
        <v>2016.0756962379598</v>
      </c>
    </row>
    <row r="12" spans="1:41" ht="12.75" customHeight="1" thickBot="1" x14ac:dyDescent="0.25">
      <c r="A12" s="144">
        <v>1</v>
      </c>
      <c r="B12" s="2308"/>
      <c r="C12" s="2364"/>
      <c r="D12" s="281" t="s">
        <v>39</v>
      </c>
      <c r="E12" s="2828"/>
      <c r="F12" s="654">
        <v>2</v>
      </c>
      <c r="G12" s="621">
        <f>СР1!AH20</f>
        <v>0.89292421642786757</v>
      </c>
      <c r="H12" s="622">
        <f>СР1!AI20</f>
        <v>0.98319054385776183</v>
      </c>
      <c r="I12" s="410"/>
      <c r="J12" s="623"/>
      <c r="K12" s="624">
        <v>0.16</v>
      </c>
      <c r="L12" s="625">
        <v>1.62</v>
      </c>
      <c r="M12" s="626">
        <f t="shared" si="0"/>
        <v>0.41084000000000004</v>
      </c>
      <c r="N12" s="627">
        <f t="shared" si="1"/>
        <v>0.65936000000000017</v>
      </c>
      <c r="O12" s="175">
        <f t="shared" si="2"/>
        <v>1.6057321676329086</v>
      </c>
      <c r="P12" s="176">
        <f t="shared" si="3"/>
        <v>1.6931514388049964</v>
      </c>
      <c r="Q12" s="628">
        <f t="shared" si="4"/>
        <v>2265.2013637221835</v>
      </c>
      <c r="R12" s="629">
        <f t="shared" si="5"/>
        <v>1860.4360648467616</v>
      </c>
    </row>
    <row r="13" spans="1:41" ht="12.75" customHeight="1" x14ac:dyDescent="0.2">
      <c r="A13" s="257">
        <v>1</v>
      </c>
      <c r="B13" s="2478" t="s">
        <v>52</v>
      </c>
      <c r="C13" s="2484" t="s">
        <v>361</v>
      </c>
      <c r="D13" s="643" t="s">
        <v>35</v>
      </c>
      <c r="E13" s="2825" t="s">
        <v>52</v>
      </c>
      <c r="F13" s="231">
        <v>1</v>
      </c>
      <c r="G13" s="630">
        <f>СР1!AH25</f>
        <v>0.97516630745264798</v>
      </c>
      <c r="H13" s="631">
        <f>СР1!AI25</f>
        <v>1.066751509502017</v>
      </c>
      <c r="I13" s="234">
        <v>0.03</v>
      </c>
      <c r="J13" s="235"/>
      <c r="K13" s="236"/>
      <c r="L13" s="251"/>
      <c r="M13" s="632">
        <f t="shared" si="0"/>
        <v>4.8900000000000002E-3</v>
      </c>
      <c r="N13" s="631">
        <f t="shared" si="1"/>
        <v>1.17E-3</v>
      </c>
      <c r="O13" s="139">
        <f t="shared" si="2"/>
        <v>0.97634855320744518</v>
      </c>
      <c r="P13" s="633">
        <f t="shared" si="3"/>
        <v>1.0679327050695031</v>
      </c>
      <c r="Q13" s="356">
        <f t="shared" si="4"/>
        <v>3725.4182268674108</v>
      </c>
      <c r="R13" s="618">
        <f t="shared" si="5"/>
        <v>2949.6240587509601</v>
      </c>
    </row>
    <row r="14" spans="1:41" ht="12.75" customHeight="1" x14ac:dyDescent="0.2">
      <c r="A14" s="256">
        <v>1</v>
      </c>
      <c r="B14" s="2366"/>
      <c r="C14" s="2372"/>
      <c r="D14" s="644" t="s">
        <v>35</v>
      </c>
      <c r="E14" s="2826"/>
      <c r="F14" s="210">
        <v>2</v>
      </c>
      <c r="G14" s="308">
        <f>СР1!AH26</f>
        <v>0.96822947117962155</v>
      </c>
      <c r="H14" s="634">
        <f>СР1!AI26</f>
        <v>1.059813203011158</v>
      </c>
      <c r="I14" s="213">
        <v>2.5000000000000001E-2</v>
      </c>
      <c r="J14" s="214"/>
      <c r="K14" s="215"/>
      <c r="L14" s="216"/>
      <c r="M14" s="635">
        <f t="shared" si="0"/>
        <v>4.0750000000000005E-3</v>
      </c>
      <c r="N14" s="636">
        <f t="shared" si="1"/>
        <v>9.7500000000000006E-4</v>
      </c>
      <c r="O14" s="157">
        <f t="shared" si="2"/>
        <v>0.96921303776804912</v>
      </c>
      <c r="P14" s="637">
        <f t="shared" si="3"/>
        <v>1.0607960300041859</v>
      </c>
      <c r="Q14" s="542">
        <f t="shared" si="4"/>
        <v>3752.8454056610803</v>
      </c>
      <c r="R14" s="619">
        <f t="shared" si="5"/>
        <v>2969.4681266742391</v>
      </c>
    </row>
    <row r="15" spans="1:41" ht="12.75" customHeight="1" x14ac:dyDescent="0.2">
      <c r="A15" s="255">
        <v>1</v>
      </c>
      <c r="B15" s="2369" t="s">
        <v>69</v>
      </c>
      <c r="C15" s="2373" t="s">
        <v>361</v>
      </c>
      <c r="D15" s="644" t="s">
        <v>35</v>
      </c>
      <c r="E15" s="2821" t="s">
        <v>69</v>
      </c>
      <c r="F15" s="210">
        <v>1</v>
      </c>
      <c r="G15" s="308">
        <f>СР1!AH27</f>
        <v>0.76834456269187135</v>
      </c>
      <c r="H15" s="634">
        <f>СР1!AI27</f>
        <v>0.85952938191859563</v>
      </c>
      <c r="I15" s="213"/>
      <c r="J15" s="214">
        <v>0.11</v>
      </c>
      <c r="K15" s="215"/>
      <c r="L15" s="216"/>
      <c r="M15" s="635">
        <f t="shared" si="0"/>
        <v>2.4420000000000001E-2</v>
      </c>
      <c r="N15" s="636">
        <f t="shared" si="1"/>
        <v>4.2900000000000004E-3</v>
      </c>
      <c r="O15" s="157">
        <f t="shared" si="2"/>
        <v>0.77302037739380414</v>
      </c>
      <c r="P15" s="637">
        <f t="shared" si="3"/>
        <v>0.8641644872234826</v>
      </c>
      <c r="Q15" s="542">
        <f t="shared" si="4"/>
        <v>4705.3179997112402</v>
      </c>
      <c r="R15" s="619">
        <f t="shared" si="5"/>
        <v>3645.1393763249785</v>
      </c>
    </row>
    <row r="16" spans="1:41" ht="12.75" customHeight="1" x14ac:dyDescent="0.2">
      <c r="A16" s="255">
        <v>1</v>
      </c>
      <c r="B16" s="2366"/>
      <c r="C16" s="2372"/>
      <c r="D16" s="644" t="s">
        <v>35</v>
      </c>
      <c r="E16" s="2826"/>
      <c r="F16" s="210">
        <v>2</v>
      </c>
      <c r="G16" s="308">
        <f>СР1!AH28</f>
        <v>0.7758582236943572</v>
      </c>
      <c r="H16" s="634">
        <f>СР1!AI28</f>
        <v>0.86705233848791574</v>
      </c>
      <c r="I16" s="213"/>
      <c r="J16" s="214">
        <v>0.11</v>
      </c>
      <c r="K16" s="215"/>
      <c r="L16" s="216"/>
      <c r="M16" s="635">
        <f t="shared" si="0"/>
        <v>2.4420000000000001E-2</v>
      </c>
      <c r="N16" s="636">
        <f t="shared" si="1"/>
        <v>4.2900000000000004E-3</v>
      </c>
      <c r="O16" s="157">
        <f t="shared" si="2"/>
        <v>0.78053032441632964</v>
      </c>
      <c r="P16" s="637">
        <f t="shared" si="3"/>
        <v>0.87168446541256517</v>
      </c>
      <c r="Q16" s="542">
        <f t="shared" si="4"/>
        <v>4660.0453334270815</v>
      </c>
      <c r="R16" s="619">
        <f t="shared" si="5"/>
        <v>3613.6929416415792</v>
      </c>
    </row>
    <row r="17" spans="1:18" ht="12.75" customHeight="1" x14ac:dyDescent="0.2">
      <c r="A17" s="255">
        <v>1</v>
      </c>
      <c r="B17" s="2369" t="s">
        <v>75</v>
      </c>
      <c r="C17" s="2373" t="s">
        <v>353</v>
      </c>
      <c r="D17" s="644" t="s">
        <v>35</v>
      </c>
      <c r="E17" s="2821" t="s">
        <v>75</v>
      </c>
      <c r="F17" s="210">
        <v>1</v>
      </c>
      <c r="G17" s="308">
        <f>СР1!AH31</f>
        <v>0.69135811982065942</v>
      </c>
      <c r="H17" s="634">
        <f>СР1!AI31</f>
        <v>0.78279254600766179</v>
      </c>
      <c r="I17" s="213">
        <v>7.0000000000000007E-2</v>
      </c>
      <c r="J17" s="214"/>
      <c r="K17" s="215"/>
      <c r="L17" s="216"/>
      <c r="M17" s="635">
        <f t="shared" si="0"/>
        <v>1.1410000000000002E-2</v>
      </c>
      <c r="N17" s="636">
        <f t="shared" si="1"/>
        <v>2.7300000000000002E-3</v>
      </c>
      <c r="O17" s="157">
        <f t="shared" si="2"/>
        <v>0.69418189703864941</v>
      </c>
      <c r="P17" s="637">
        <f t="shared" si="3"/>
        <v>0.78560540883216878</v>
      </c>
      <c r="Q17" s="542">
        <f t="shared" si="4"/>
        <v>5239.7026073587331</v>
      </c>
      <c r="R17" s="619">
        <f t="shared" si="5"/>
        <v>4009.6465281248388</v>
      </c>
    </row>
    <row r="18" spans="1:18" ht="12.75" customHeight="1" x14ac:dyDescent="0.2">
      <c r="A18" s="255">
        <v>1</v>
      </c>
      <c r="B18" s="2366"/>
      <c r="C18" s="2372"/>
      <c r="D18" s="644" t="s">
        <v>35</v>
      </c>
      <c r="E18" s="2826"/>
      <c r="F18" s="210">
        <v>2</v>
      </c>
      <c r="G18" s="308">
        <f>СР1!AH32</f>
        <v>0.72967229638376507</v>
      </c>
      <c r="H18" s="634">
        <f>СР1!AI32</f>
        <v>0.82113167486899274</v>
      </c>
      <c r="I18" s="213">
        <v>0.06</v>
      </c>
      <c r="J18" s="214"/>
      <c r="K18" s="215"/>
      <c r="L18" s="216"/>
      <c r="M18" s="635">
        <f t="shared" si="0"/>
        <v>9.7800000000000005E-3</v>
      </c>
      <c r="N18" s="636">
        <f t="shared" si="1"/>
        <v>2.3400000000000001E-3</v>
      </c>
      <c r="O18" s="157">
        <f t="shared" si="2"/>
        <v>0.73207762597762349</v>
      </c>
      <c r="P18" s="637">
        <f t="shared" si="3"/>
        <v>0.8235297491357213</v>
      </c>
      <c r="Q18" s="542">
        <f t="shared" si="4"/>
        <v>4968.4713298502302</v>
      </c>
      <c r="R18" s="619">
        <f t="shared" si="5"/>
        <v>3824.9984330327648</v>
      </c>
    </row>
    <row r="19" spans="1:18" ht="12.75" customHeight="1" x14ac:dyDescent="0.2">
      <c r="A19" s="255">
        <v>1</v>
      </c>
      <c r="B19" s="2369" t="s">
        <v>224</v>
      </c>
      <c r="C19" s="2371" t="s">
        <v>352</v>
      </c>
      <c r="D19" s="644" t="s">
        <v>35</v>
      </c>
      <c r="E19" s="2821" t="s">
        <v>86</v>
      </c>
      <c r="F19" s="210">
        <v>1</v>
      </c>
      <c r="G19" s="308">
        <f>СР1!AH41</f>
        <v>0.8805547946857496</v>
      </c>
      <c r="H19" s="634">
        <f>СР1!AI41</f>
        <v>0.97168057176464262</v>
      </c>
      <c r="I19" s="213"/>
      <c r="J19" s="214"/>
      <c r="K19" s="215">
        <v>0.16</v>
      </c>
      <c r="L19" s="216">
        <v>1.32</v>
      </c>
      <c r="M19" s="635">
        <f t="shared" si="0"/>
        <v>0.33704000000000001</v>
      </c>
      <c r="N19" s="636">
        <f t="shared" si="1"/>
        <v>0.53936000000000006</v>
      </c>
      <c r="O19" s="157">
        <f t="shared" si="2"/>
        <v>1.4593676664115436</v>
      </c>
      <c r="P19" s="637">
        <f t="shared" si="3"/>
        <v>1.5481729784228953</v>
      </c>
      <c r="Q19" s="542">
        <f t="shared" si="4"/>
        <v>2492.3854211724856</v>
      </c>
      <c r="R19" s="619">
        <f t="shared" si="5"/>
        <v>2034.6563619840892</v>
      </c>
    </row>
    <row r="20" spans="1:18" ht="12.75" customHeight="1" thickBot="1" x14ac:dyDescent="0.25">
      <c r="A20" s="258">
        <v>1</v>
      </c>
      <c r="B20" s="2381"/>
      <c r="C20" s="2382"/>
      <c r="D20" s="645" t="s">
        <v>35</v>
      </c>
      <c r="E20" s="2822"/>
      <c r="F20" s="240">
        <v>2</v>
      </c>
      <c r="G20" s="638">
        <f>СР1!AH42</f>
        <v>0.87747472049288278</v>
      </c>
      <c r="H20" s="639">
        <f>СР1!AI42</f>
        <v>0.96858786271812369</v>
      </c>
      <c r="I20" s="242"/>
      <c r="J20" s="243"/>
      <c r="K20" s="244">
        <v>0.16</v>
      </c>
      <c r="L20" s="249">
        <v>1.62</v>
      </c>
      <c r="M20" s="640">
        <f t="shared" si="0"/>
        <v>0.41084000000000004</v>
      </c>
      <c r="N20" s="641">
        <f t="shared" si="1"/>
        <v>0.65936000000000017</v>
      </c>
      <c r="O20" s="175">
        <f t="shared" si="2"/>
        <v>1.5908018304340856</v>
      </c>
      <c r="P20" s="642">
        <f t="shared" si="3"/>
        <v>1.678988906850938</v>
      </c>
      <c r="Q20" s="628">
        <f t="shared" si="4"/>
        <v>2286.4612211956801</v>
      </c>
      <c r="R20" s="629">
        <f t="shared" si="5"/>
        <v>1876.1291317332448</v>
      </c>
    </row>
    <row r="21" spans="1:18" x14ac:dyDescent="0.2">
      <c r="E21" s="187"/>
      <c r="F21" s="187"/>
      <c r="M21" s="188"/>
    </row>
    <row r="22" spans="1:18" ht="15.75" x14ac:dyDescent="0.2">
      <c r="B22" s="192" t="s">
        <v>158</v>
      </c>
      <c r="C22" s="192"/>
      <c r="D22" s="2378">
        <v>42647</v>
      </c>
      <c r="E22" s="2378"/>
      <c r="F22" s="186"/>
    </row>
    <row r="23" spans="1:18" x14ac:dyDescent="0.2">
      <c r="B23" s="185" t="s">
        <v>328</v>
      </c>
      <c r="D23" s="2380" t="s">
        <v>189</v>
      </c>
      <c r="E23" s="2380"/>
    </row>
    <row r="24" spans="1:18" ht="13.5" thickBot="1" x14ac:dyDescent="0.25"/>
    <row r="25" spans="1:18" ht="12.75" customHeight="1" x14ac:dyDescent="0.2">
      <c r="A25" s="257">
        <v>1</v>
      </c>
      <c r="B25" s="2478" t="s">
        <v>582</v>
      </c>
      <c r="C25" s="2484"/>
      <c r="D25" s="643" t="s">
        <v>35</v>
      </c>
      <c r="E25" s="2825" t="s">
        <v>584</v>
      </c>
      <c r="F25" s="231">
        <v>1</v>
      </c>
      <c r="G25" s="630">
        <v>1.1399999999999999</v>
      </c>
      <c r="H25" s="631">
        <v>1.21</v>
      </c>
      <c r="I25" s="234"/>
      <c r="J25" s="235"/>
      <c r="K25" s="236">
        <v>0.22</v>
      </c>
      <c r="L25" s="251">
        <v>0.24</v>
      </c>
      <c r="M25" s="632">
        <f>0.163*I25+0.222*J25+0.077*K25+0.246*L25</f>
        <v>7.5979999999999992E-2</v>
      </c>
      <c r="N25" s="631">
        <f>0.039*I25+0.039*J25+0.071*K25+0.4*L25</f>
        <v>0.11162</v>
      </c>
      <c r="O25" s="139">
        <f>SQRT(M25^2+(G25+N25)^2)</f>
        <v>1.2539240745754905</v>
      </c>
      <c r="P25" s="633">
        <f>SQRT(M25^2+(H25+N25)^2)</f>
        <v>1.323802245352379</v>
      </c>
      <c r="Q25" s="356">
        <f>6300/(SQRT(3)*O25)</f>
        <v>2900.7391832125354</v>
      </c>
      <c r="R25" s="618">
        <f>6300/(2*P25)</f>
        <v>2379.5094856947539</v>
      </c>
    </row>
    <row r="26" spans="1:18" ht="12.75" customHeight="1" x14ac:dyDescent="0.2">
      <c r="A26" s="256">
        <v>1</v>
      </c>
      <c r="B26" s="2366"/>
      <c r="C26" s="2372"/>
      <c r="D26" s="644" t="s">
        <v>35</v>
      </c>
      <c r="E26" s="2826"/>
      <c r="F26" s="210">
        <v>2</v>
      </c>
      <c r="G26" s="308">
        <v>1.1299999999999999</v>
      </c>
      <c r="H26" s="634">
        <v>1.21</v>
      </c>
      <c r="I26" s="213"/>
      <c r="J26" s="214"/>
      <c r="K26" s="215">
        <v>0.22</v>
      </c>
      <c r="L26" s="216">
        <v>0.22</v>
      </c>
      <c r="M26" s="635">
        <f>0.163*I26+0.222*J26+0.077*K26+0.246*L26</f>
        <v>7.1059999999999998E-2</v>
      </c>
      <c r="N26" s="636">
        <f>0.039*I26+0.039*J26+0.071*K26+0.4*L26</f>
        <v>0.10362</v>
      </c>
      <c r="O26" s="157">
        <f>SQRT(M26^2+(G26+N26)^2)</f>
        <v>1.2356649335479257</v>
      </c>
      <c r="P26" s="637">
        <f>SQRT(M26^2+(H26+N26)^2)</f>
        <v>1.315540583942586</v>
      </c>
      <c r="Q26" s="542">
        <f>6300/(SQRT(3)*O26)</f>
        <v>2943.6027495341787</v>
      </c>
      <c r="R26" s="619">
        <f>6300/(2*P26)</f>
        <v>2394.4529256251931</v>
      </c>
    </row>
    <row r="27" spans="1:18" ht="12.75" customHeight="1" x14ac:dyDescent="0.2">
      <c r="A27" s="255">
        <v>1</v>
      </c>
      <c r="B27" s="2369" t="s">
        <v>583</v>
      </c>
      <c r="C27" s="2373"/>
      <c r="D27" s="644" t="s">
        <v>35</v>
      </c>
      <c r="E27" s="2821" t="s">
        <v>584</v>
      </c>
      <c r="F27" s="210">
        <v>1</v>
      </c>
      <c r="G27" s="308">
        <v>1.1399999999999999</v>
      </c>
      <c r="H27" s="634">
        <v>1.21</v>
      </c>
      <c r="I27" s="213"/>
      <c r="J27" s="214"/>
      <c r="K27" s="215">
        <v>0.35</v>
      </c>
      <c r="L27" s="216">
        <v>0.31</v>
      </c>
      <c r="M27" s="635">
        <f>0.163*I27+0.222*J27+0.077*K27+0.246*L27</f>
        <v>0.10321</v>
      </c>
      <c r="N27" s="636">
        <f>0.039*I27+0.039*J27+0.071*K27+0.4*L27</f>
        <v>0.14884999999999998</v>
      </c>
      <c r="O27" s="157">
        <f>SQRT(M27^2+(G27+N27)^2)</f>
        <v>1.2929758801307933</v>
      </c>
      <c r="P27" s="637">
        <f>SQRT(M27^2+(H27+N27)^2)</f>
        <v>1.362763965842948</v>
      </c>
      <c r="Q27" s="542">
        <f>6300/(SQRT(3)*O27)</f>
        <v>2813.1280341646466</v>
      </c>
      <c r="R27" s="619">
        <f>6300/(2*P27)</f>
        <v>2311.4787879290188</v>
      </c>
    </row>
    <row r="28" spans="1:18" ht="12.75" customHeight="1" x14ac:dyDescent="0.2">
      <c r="A28" s="255">
        <v>1</v>
      </c>
      <c r="B28" s="2366"/>
      <c r="C28" s="2372"/>
      <c r="D28" s="644" t="s">
        <v>35</v>
      </c>
      <c r="E28" s="2826"/>
      <c r="F28" s="210">
        <v>2</v>
      </c>
      <c r="G28" s="308">
        <v>1.1299999999999999</v>
      </c>
      <c r="H28" s="634">
        <v>1.21</v>
      </c>
      <c r="I28" s="213"/>
      <c r="J28" s="214"/>
      <c r="K28" s="215">
        <v>0.35</v>
      </c>
      <c r="L28" s="216">
        <v>0.28999999999999998</v>
      </c>
      <c r="M28" s="635">
        <f>0.163*I28+0.222*J28+0.077*K28+0.246*L28</f>
        <v>9.8290000000000002E-2</v>
      </c>
      <c r="N28" s="636">
        <f>0.039*I28+0.039*J28+0.071*K28+0.4*L28</f>
        <v>0.14084999999999998</v>
      </c>
      <c r="O28" s="157">
        <f>SQRT(M28^2+(G28+N28)^2)</f>
        <v>1.2746453022704001</v>
      </c>
      <c r="P28" s="637">
        <f>SQRT(M28^2+(H28+N28)^2)</f>
        <v>1.3544211481662563</v>
      </c>
      <c r="Q28" s="542">
        <f>6300/(SQRT(3)*O28)</f>
        <v>2853.5834160419895</v>
      </c>
      <c r="R28" s="619">
        <f>6300/(2*P28)</f>
        <v>2325.7167862926303</v>
      </c>
    </row>
    <row r="95" spans="1:1" x14ac:dyDescent="0.2">
      <c r="A95" s="195"/>
    </row>
    <row r="96" spans="1:1" x14ac:dyDescent="0.2">
      <c r="A96" s="195"/>
    </row>
    <row r="97" spans="1:1" x14ac:dyDescent="0.2">
      <c r="A97" s="195"/>
    </row>
    <row r="98" spans="1:1" x14ac:dyDescent="0.2">
      <c r="A98" s="195"/>
    </row>
  </sheetData>
  <mergeCells count="44">
    <mergeCell ref="B25:B26"/>
    <mergeCell ref="C25:C26"/>
    <mergeCell ref="E25:E26"/>
    <mergeCell ref="B27:B28"/>
    <mergeCell ref="C27:C28"/>
    <mergeCell ref="E27:E28"/>
    <mergeCell ref="D23:E23"/>
    <mergeCell ref="O2:P2"/>
    <mergeCell ref="Q2:R2"/>
    <mergeCell ref="D22:E22"/>
    <mergeCell ref="F2:F4"/>
    <mergeCell ref="D2:D4"/>
    <mergeCell ref="E2:E4"/>
    <mergeCell ref="B19:B20"/>
    <mergeCell ref="A1:R1"/>
    <mergeCell ref="G2:H2"/>
    <mergeCell ref="I2:L2"/>
    <mergeCell ref="M2:N3"/>
    <mergeCell ref="C2:C4"/>
    <mergeCell ref="B5:B6"/>
    <mergeCell ref="E5:E6"/>
    <mergeCell ref="E9:E10"/>
    <mergeCell ref="E11:E12"/>
    <mergeCell ref="A2:A4"/>
    <mergeCell ref="B2:B4"/>
    <mergeCell ref="B7:B8"/>
    <mergeCell ref="B9:B10"/>
    <mergeCell ref="B11:B12"/>
    <mergeCell ref="B13:B14"/>
    <mergeCell ref="B15:B16"/>
    <mergeCell ref="B17:B18"/>
    <mergeCell ref="E19:E20"/>
    <mergeCell ref="C5:C6"/>
    <mergeCell ref="C13:C14"/>
    <mergeCell ref="C7:C8"/>
    <mergeCell ref="C15:C16"/>
    <mergeCell ref="C9:C10"/>
    <mergeCell ref="C17:C18"/>
    <mergeCell ref="C11:C12"/>
    <mergeCell ref="C19:C20"/>
    <mergeCell ref="E7:E8"/>
    <mergeCell ref="E13:E14"/>
    <mergeCell ref="E15:E16"/>
    <mergeCell ref="E17:E18"/>
  </mergeCells>
  <pageMargins left="0.39370078740157483" right="0.39370078740157483" top="0.39370078740157483" bottom="0.31496062992125984" header="0.35433070866141736" footer="0.15748031496062992"/>
  <pageSetup paperSize="9" orientation="landscape" r:id="rId1"/>
  <headerFooter>
    <oddFooter xml:space="preserve">&amp;L&amp;8&amp;Z&amp;F
&amp;C
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B3EA-C48E-455F-B937-4750821D3F42}">
  <sheetPr codeName="Лист18"/>
  <dimension ref="A1:AO115"/>
  <sheetViews>
    <sheetView showWhiteSpace="0" zoomScaleNormal="100" workbookViewId="0">
      <selection activeCell="G15" sqref="G15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4" width="5.5703125" style="188" customWidth="1"/>
    <col min="15" max="16" width="5.5703125" style="189" customWidth="1"/>
    <col min="17" max="18" width="6.7109375" style="186" customWidth="1"/>
    <col min="19" max="20" width="6.7109375" style="100" customWidth="1"/>
    <col min="21" max="22" width="6.7109375" style="190" customWidth="1"/>
    <col min="23" max="16384" width="9.140625" style="100"/>
  </cols>
  <sheetData>
    <row r="1" spans="1:41" ht="36.75" customHeight="1" thickBot="1" x14ac:dyDescent="0.25">
      <c r="A1" s="2302" t="s">
        <v>362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</row>
    <row r="2" spans="1:41" s="101" customFormat="1" ht="69.75" customHeight="1" x14ac:dyDescent="0.2">
      <c r="A2" s="2303" t="s">
        <v>0</v>
      </c>
      <c r="B2" s="2306" t="s">
        <v>394</v>
      </c>
      <c r="C2" s="2306" t="s">
        <v>10</v>
      </c>
      <c r="D2" s="2312" t="s">
        <v>4</v>
      </c>
      <c r="E2" s="2315" t="s">
        <v>397</v>
      </c>
      <c r="F2" s="2315" t="s">
        <v>225</v>
      </c>
      <c r="G2" s="2318" t="s">
        <v>398</v>
      </c>
      <c r="H2" s="2319"/>
      <c r="I2" s="2320" t="s">
        <v>230</v>
      </c>
      <c r="J2" s="2321"/>
      <c r="K2" s="2321"/>
      <c r="L2" s="2321"/>
      <c r="M2" s="2321"/>
      <c r="N2" s="2321"/>
      <c r="O2" s="2321"/>
      <c r="P2" s="2322"/>
      <c r="Q2" s="2323" t="s">
        <v>360</v>
      </c>
      <c r="R2" s="2324"/>
      <c r="S2" s="2347" t="s">
        <v>232</v>
      </c>
      <c r="T2" s="2348"/>
      <c r="U2" s="2328" t="s">
        <v>231</v>
      </c>
      <c r="V2" s="2829"/>
    </row>
    <row r="3" spans="1:41" s="101" customFormat="1" ht="36" customHeight="1" x14ac:dyDescent="0.2">
      <c r="A3" s="2304"/>
      <c r="B3" s="2307"/>
      <c r="C3" s="2307"/>
      <c r="D3" s="2313"/>
      <c r="E3" s="2316"/>
      <c r="F3" s="2316"/>
      <c r="G3" s="102" t="s">
        <v>220</v>
      </c>
      <c r="H3" s="103" t="s">
        <v>29</v>
      </c>
      <c r="I3" s="611" t="s">
        <v>244</v>
      </c>
      <c r="J3" s="612" t="s">
        <v>243</v>
      </c>
      <c r="K3" s="612" t="s">
        <v>245</v>
      </c>
      <c r="L3" s="612" t="s">
        <v>246</v>
      </c>
      <c r="M3" s="612" t="s">
        <v>247</v>
      </c>
      <c r="N3" s="612" t="s">
        <v>248</v>
      </c>
      <c r="O3" s="402" t="s">
        <v>249</v>
      </c>
      <c r="P3" s="403" t="s">
        <v>250</v>
      </c>
      <c r="Q3" s="2325"/>
      <c r="R3" s="2326"/>
      <c r="S3" s="107" t="s">
        <v>216</v>
      </c>
      <c r="T3" s="108" t="s">
        <v>217</v>
      </c>
      <c r="U3" s="109" t="s">
        <v>218</v>
      </c>
      <c r="V3" s="111" t="s">
        <v>219</v>
      </c>
    </row>
    <row r="4" spans="1:41" s="101" customFormat="1" ht="13.5" thickBot="1" x14ac:dyDescent="0.25">
      <c r="A4" s="2305"/>
      <c r="B4" s="2308"/>
      <c r="C4" s="2307"/>
      <c r="D4" s="2314"/>
      <c r="E4" s="2317"/>
      <c r="F4" s="2317"/>
      <c r="G4" s="112" t="s">
        <v>30</v>
      </c>
      <c r="H4" s="113" t="s">
        <v>30</v>
      </c>
      <c r="I4" s="114" t="s">
        <v>31</v>
      </c>
      <c r="J4" s="657" t="s">
        <v>31</v>
      </c>
      <c r="K4" s="657" t="s">
        <v>31</v>
      </c>
      <c r="L4" s="657" t="s">
        <v>31</v>
      </c>
      <c r="M4" s="657" t="s">
        <v>31</v>
      </c>
      <c r="N4" s="115" t="s">
        <v>31</v>
      </c>
      <c r="O4" s="116" t="s">
        <v>31</v>
      </c>
      <c r="P4" s="117" t="s">
        <v>31</v>
      </c>
      <c r="Q4" s="118" t="s">
        <v>30</v>
      </c>
      <c r="R4" s="116" t="s">
        <v>30</v>
      </c>
      <c r="S4" s="613" t="s">
        <v>30</v>
      </c>
      <c r="T4" s="614" t="s">
        <v>30</v>
      </c>
      <c r="U4" s="125" t="s">
        <v>35</v>
      </c>
      <c r="V4" s="126" t="s">
        <v>35</v>
      </c>
    </row>
    <row r="5" spans="1:41" ht="12.75" customHeight="1" x14ac:dyDescent="0.2">
      <c r="A5" s="658">
        <v>2</v>
      </c>
      <c r="B5" s="2309" t="s">
        <v>365</v>
      </c>
      <c r="C5" s="2836" t="s">
        <v>341</v>
      </c>
      <c r="D5" s="128" t="s">
        <v>39</v>
      </c>
      <c r="E5" s="2827" t="s">
        <v>237</v>
      </c>
      <c r="F5" s="655">
        <v>1</v>
      </c>
      <c r="G5" s="615">
        <v>0.29899999999999999</v>
      </c>
      <c r="H5" s="616">
        <v>0.33</v>
      </c>
      <c r="I5" s="131"/>
      <c r="J5" s="659"/>
      <c r="K5" s="659"/>
      <c r="L5" s="659"/>
      <c r="M5" s="659"/>
      <c r="N5" s="132"/>
      <c r="O5" s="133">
        <v>2.5000000000000001E-2</v>
      </c>
      <c r="P5" s="134"/>
      <c r="Q5" s="620">
        <f>0.099*I5+0.077*J5+0.061*K5+0.039*L5+0.129*M5+0.065*N5+0.105*O5+0.0655*P5</f>
        <v>2.6250000000000002E-3</v>
      </c>
      <c r="R5" s="620">
        <f>0.073*I5+0.038*J5+0.037*K5+0.036*L5+0.038*M5+0.036*N5+0.4*O5+0.2*P5</f>
        <v>1.0000000000000002E-2</v>
      </c>
      <c r="S5" s="617">
        <f>SQRT(Q5^2+(G5+R5)^2)</f>
        <v>0.30901114967748333</v>
      </c>
      <c r="T5" s="140">
        <f>SQRT(Q5^2+(H5+R5)^2)</f>
        <v>0.34001013312105866</v>
      </c>
      <c r="U5" s="356">
        <f>6300/(SQRT(3)*S5)</f>
        <v>11770.79435383131</v>
      </c>
      <c r="V5" s="618">
        <f>6300/(2*T5)</f>
        <v>9264.4297717987738</v>
      </c>
    </row>
    <row r="6" spans="1:41" ht="12.75" customHeight="1" x14ac:dyDescent="0.2">
      <c r="A6" s="144">
        <v>2</v>
      </c>
      <c r="B6" s="2830"/>
      <c r="C6" s="2837"/>
      <c r="D6" s="145" t="s">
        <v>39</v>
      </c>
      <c r="E6" s="2824"/>
      <c r="F6" s="146">
        <v>2</v>
      </c>
      <c r="G6" s="275">
        <v>0.29899999999999999</v>
      </c>
      <c r="H6" s="278">
        <v>0.33</v>
      </c>
      <c r="I6" s="147"/>
      <c r="J6" s="660"/>
      <c r="K6" s="660"/>
      <c r="L6" s="660"/>
      <c r="M6" s="660"/>
      <c r="N6" s="148"/>
      <c r="O6" s="149">
        <v>2.5000000000000001E-2</v>
      </c>
      <c r="P6" s="150"/>
      <c r="Q6" s="620">
        <f t="shared" ref="Q6:Q36" si="0">0.099*I6+0.077*J6+0.061*K6+0.039*L6+0.129*M6+0.065*N6+0.105*O6+0.0655*P6</f>
        <v>2.6250000000000002E-3</v>
      </c>
      <c r="R6" s="620">
        <f t="shared" ref="R6:R36" si="1">0.073*I6+0.038*J6+0.037*K6+0.036*L6+0.038*M6+0.036*N6+0.4*O6+0.2*P6</f>
        <v>1.0000000000000002E-2</v>
      </c>
      <c r="S6" s="157">
        <f>SQRT(Q6^2+(G6+R6)^2)</f>
        <v>0.30901114967748333</v>
      </c>
      <c r="T6" s="158">
        <f>SQRT(Q6^2+(H6+R6)^2)</f>
        <v>0.34001013312105866</v>
      </c>
      <c r="U6" s="542">
        <f t="shared" ref="U6:U26" si="2">6300/(SQRT(3)*S6)</f>
        <v>11770.79435383131</v>
      </c>
      <c r="V6" s="619">
        <f t="shared" ref="V6:V26" si="3">6300/(2*T6)</f>
        <v>9264.4297717987738</v>
      </c>
    </row>
    <row r="7" spans="1:41" ht="12.75" customHeight="1" x14ac:dyDescent="0.2">
      <c r="A7" s="144">
        <v>2</v>
      </c>
      <c r="B7" s="2831" t="s">
        <v>233</v>
      </c>
      <c r="C7" s="2838" t="s">
        <v>354</v>
      </c>
      <c r="D7" s="145" t="s">
        <v>39</v>
      </c>
      <c r="E7" s="2823" t="s">
        <v>238</v>
      </c>
      <c r="F7" s="146">
        <v>1</v>
      </c>
      <c r="G7" s="275">
        <f>S5</f>
        <v>0.30901114967748333</v>
      </c>
      <c r="H7" s="278">
        <f>T5</f>
        <v>0.34001013312105866</v>
      </c>
      <c r="I7" s="147"/>
      <c r="J7" s="660"/>
      <c r="K7" s="660"/>
      <c r="L7" s="660"/>
      <c r="M7" s="660"/>
      <c r="N7" s="148">
        <v>0.34</v>
      </c>
      <c r="O7" s="149"/>
      <c r="P7" s="150"/>
      <c r="Q7" s="620">
        <f t="shared" si="0"/>
        <v>2.2100000000000002E-2</v>
      </c>
      <c r="R7" s="620">
        <f t="shared" si="1"/>
        <v>1.2239999999999999E-2</v>
      </c>
      <c r="S7" s="157">
        <f t="shared" ref="S7:S26" si="4">SQRT(Q7^2+(G7+R7)^2)</f>
        <v>0.32201042090141241</v>
      </c>
      <c r="T7" s="158">
        <f t="shared" ref="T7:T26" si="5">SQRT(Q7^2+(H7+R7)^2)</f>
        <v>0.35294272380062391</v>
      </c>
      <c r="U7" s="542">
        <f t="shared" si="2"/>
        <v>11295.617966998187</v>
      </c>
      <c r="V7" s="619">
        <f t="shared" si="3"/>
        <v>8924.9608720632641</v>
      </c>
    </row>
    <row r="8" spans="1:41" ht="12.75" customHeight="1" x14ac:dyDescent="0.2">
      <c r="A8" s="144">
        <v>2</v>
      </c>
      <c r="B8" s="2830"/>
      <c r="C8" s="2839"/>
      <c r="D8" s="145" t="s">
        <v>39</v>
      </c>
      <c r="E8" s="2824"/>
      <c r="F8" s="146">
        <v>2</v>
      </c>
      <c r="G8" s="275">
        <f>S6</f>
        <v>0.30901114967748333</v>
      </c>
      <c r="H8" s="278">
        <f>T6</f>
        <v>0.34001013312105866</v>
      </c>
      <c r="I8" s="147"/>
      <c r="J8" s="660"/>
      <c r="K8" s="660"/>
      <c r="L8" s="660"/>
      <c r="M8" s="660"/>
      <c r="N8" s="148">
        <v>0.34</v>
      </c>
      <c r="O8" s="149"/>
      <c r="P8" s="150"/>
      <c r="Q8" s="620">
        <f t="shared" si="0"/>
        <v>2.2100000000000002E-2</v>
      </c>
      <c r="R8" s="620">
        <f t="shared" si="1"/>
        <v>1.2239999999999999E-2</v>
      </c>
      <c r="S8" s="157">
        <f t="shared" si="4"/>
        <v>0.32201042090141241</v>
      </c>
      <c r="T8" s="158">
        <f t="shared" si="5"/>
        <v>0.35294272380062391</v>
      </c>
      <c r="U8" s="542">
        <f t="shared" si="2"/>
        <v>11295.617966998187</v>
      </c>
      <c r="V8" s="619">
        <f t="shared" si="3"/>
        <v>8924.9608720632641</v>
      </c>
    </row>
    <row r="9" spans="1:41" ht="12.75" customHeight="1" x14ac:dyDescent="0.2">
      <c r="A9" s="144">
        <v>2</v>
      </c>
      <c r="B9" s="2831" t="s">
        <v>48</v>
      </c>
      <c r="C9" s="2838" t="s">
        <v>354</v>
      </c>
      <c r="D9" s="145" t="s">
        <v>39</v>
      </c>
      <c r="E9" s="2823" t="s">
        <v>238</v>
      </c>
      <c r="F9" s="146">
        <v>1</v>
      </c>
      <c r="G9" s="275">
        <f>S5</f>
        <v>0.30901114967748333</v>
      </c>
      <c r="H9" s="278">
        <f>T5</f>
        <v>0.34001013312105866</v>
      </c>
      <c r="I9" s="147"/>
      <c r="J9" s="660"/>
      <c r="K9" s="660"/>
      <c r="L9" s="660"/>
      <c r="M9" s="660"/>
      <c r="N9" s="148">
        <v>0.4</v>
      </c>
      <c r="O9" s="149"/>
      <c r="P9" s="150"/>
      <c r="Q9" s="620">
        <f t="shared" si="0"/>
        <v>2.6000000000000002E-2</v>
      </c>
      <c r="R9" s="620">
        <f t="shared" si="1"/>
        <v>1.44E-2</v>
      </c>
      <c r="S9" s="157">
        <f t="shared" si="4"/>
        <v>0.32445457576633363</v>
      </c>
      <c r="T9" s="158">
        <f t="shared" si="5"/>
        <v>0.35536255072655942</v>
      </c>
      <c r="U9" s="542">
        <f t="shared" si="2"/>
        <v>11210.526734917019</v>
      </c>
      <c r="V9" s="619">
        <f t="shared" si="3"/>
        <v>8864.1867117388756</v>
      </c>
    </row>
    <row r="10" spans="1:41" ht="12.75" customHeight="1" x14ac:dyDescent="0.2">
      <c r="A10" s="144">
        <v>2</v>
      </c>
      <c r="B10" s="2830"/>
      <c r="C10" s="2839"/>
      <c r="D10" s="145" t="s">
        <v>39</v>
      </c>
      <c r="E10" s="2824"/>
      <c r="F10" s="146">
        <v>2</v>
      </c>
      <c r="G10" s="275">
        <f>S6</f>
        <v>0.30901114967748333</v>
      </c>
      <c r="H10" s="278">
        <f>T6</f>
        <v>0.34001013312105866</v>
      </c>
      <c r="I10" s="147"/>
      <c r="J10" s="660"/>
      <c r="K10" s="660"/>
      <c r="L10" s="660"/>
      <c r="M10" s="660"/>
      <c r="N10" s="148">
        <v>0.4</v>
      </c>
      <c r="O10" s="149"/>
      <c r="P10" s="150"/>
      <c r="Q10" s="620">
        <f t="shared" si="0"/>
        <v>2.6000000000000002E-2</v>
      </c>
      <c r="R10" s="620">
        <f t="shared" si="1"/>
        <v>1.44E-2</v>
      </c>
      <c r="S10" s="157">
        <f t="shared" si="4"/>
        <v>0.32445457576633363</v>
      </c>
      <c r="T10" s="158">
        <f t="shared" si="5"/>
        <v>0.35536255072655942</v>
      </c>
      <c r="U10" s="542">
        <f t="shared" si="2"/>
        <v>11210.526734917019</v>
      </c>
      <c r="V10" s="619">
        <f t="shared" si="3"/>
        <v>8864.1867117388756</v>
      </c>
    </row>
    <row r="11" spans="1:41" ht="12.75" customHeight="1" x14ac:dyDescent="0.2">
      <c r="A11" s="144">
        <v>2</v>
      </c>
      <c r="B11" s="2831" t="s">
        <v>364</v>
      </c>
      <c r="C11" s="2837" t="s">
        <v>361</v>
      </c>
      <c r="D11" s="145" t="s">
        <v>39</v>
      </c>
      <c r="E11" s="2823" t="s">
        <v>239</v>
      </c>
      <c r="F11" s="146">
        <v>1</v>
      </c>
      <c r="G11" s="275">
        <v>0.30199999999999999</v>
      </c>
      <c r="H11" s="278">
        <v>0.317</v>
      </c>
      <c r="I11" s="147"/>
      <c r="J11" s="660"/>
      <c r="K11" s="660"/>
      <c r="L11" s="660"/>
      <c r="M11" s="660"/>
      <c r="N11" s="148"/>
      <c r="O11" s="149"/>
      <c r="P11" s="150"/>
      <c r="Q11" s="620">
        <f t="shared" si="0"/>
        <v>0</v>
      </c>
      <c r="R11" s="620">
        <f t="shared" si="1"/>
        <v>0</v>
      </c>
      <c r="S11" s="157">
        <f t="shared" si="4"/>
        <v>0.30199999999999999</v>
      </c>
      <c r="T11" s="158">
        <f t="shared" si="5"/>
        <v>0.317</v>
      </c>
      <c r="U11" s="542">
        <f t="shared" si="2"/>
        <v>12044.061906935902</v>
      </c>
      <c r="V11" s="619">
        <f t="shared" si="3"/>
        <v>9936.9085173501571</v>
      </c>
    </row>
    <row r="12" spans="1:41" ht="12.75" customHeight="1" x14ac:dyDescent="0.2">
      <c r="A12" s="144">
        <v>2</v>
      </c>
      <c r="B12" s="2830"/>
      <c r="C12" s="2837"/>
      <c r="D12" s="145" t="s">
        <v>39</v>
      </c>
      <c r="E12" s="2824"/>
      <c r="F12" s="146">
        <v>2</v>
      </c>
      <c r="G12" s="275">
        <v>0.30199999999999999</v>
      </c>
      <c r="H12" s="278">
        <v>0.317</v>
      </c>
      <c r="I12" s="147"/>
      <c r="J12" s="660"/>
      <c r="K12" s="660"/>
      <c r="L12" s="660"/>
      <c r="M12" s="660"/>
      <c r="N12" s="148"/>
      <c r="O12" s="149"/>
      <c r="P12" s="150"/>
      <c r="Q12" s="620">
        <f t="shared" si="0"/>
        <v>0</v>
      </c>
      <c r="R12" s="620">
        <f t="shared" si="1"/>
        <v>0</v>
      </c>
      <c r="S12" s="157">
        <f t="shared" si="4"/>
        <v>0.30199999999999999</v>
      </c>
      <c r="T12" s="158">
        <f t="shared" si="5"/>
        <v>0.317</v>
      </c>
      <c r="U12" s="542">
        <f t="shared" si="2"/>
        <v>12044.061906935902</v>
      </c>
      <c r="V12" s="619">
        <f t="shared" si="3"/>
        <v>9936.9085173501571</v>
      </c>
    </row>
    <row r="13" spans="1:41" ht="12.75" customHeight="1" x14ac:dyDescent="0.2">
      <c r="A13" s="144">
        <v>2</v>
      </c>
      <c r="B13" s="2831" t="s">
        <v>234</v>
      </c>
      <c r="C13" s="2837" t="s">
        <v>352</v>
      </c>
      <c r="D13" s="145" t="s">
        <v>39</v>
      </c>
      <c r="E13" s="2823" t="s">
        <v>240</v>
      </c>
      <c r="F13" s="146">
        <v>1</v>
      </c>
      <c r="G13" s="275">
        <f>S11</f>
        <v>0.30199999999999999</v>
      </c>
      <c r="H13" s="278">
        <f>T11</f>
        <v>0.317</v>
      </c>
      <c r="I13" s="147"/>
      <c r="J13" s="660"/>
      <c r="K13" s="660"/>
      <c r="L13" s="660"/>
      <c r="M13" s="660">
        <v>0.1</v>
      </c>
      <c r="N13" s="148"/>
      <c r="O13" s="149"/>
      <c r="P13" s="150"/>
      <c r="Q13" s="620">
        <f t="shared" si="0"/>
        <v>1.2900000000000002E-2</v>
      </c>
      <c r="R13" s="620">
        <f t="shared" si="1"/>
        <v>3.8E-3</v>
      </c>
      <c r="S13" s="157">
        <f t="shared" si="4"/>
        <v>0.30607196866096709</v>
      </c>
      <c r="T13" s="158">
        <f t="shared" si="5"/>
        <v>0.32105926244230987</v>
      </c>
      <c r="U13" s="542">
        <f t="shared" si="2"/>
        <v>11883.828211408838</v>
      </c>
      <c r="V13" s="619">
        <f t="shared" si="3"/>
        <v>9811.2727726271823</v>
      </c>
    </row>
    <row r="14" spans="1:41" ht="12.75" customHeight="1" x14ac:dyDescent="0.2">
      <c r="A14" s="144">
        <v>2</v>
      </c>
      <c r="B14" s="2830"/>
      <c r="C14" s="2837"/>
      <c r="D14" s="145" t="s">
        <v>39</v>
      </c>
      <c r="E14" s="2824"/>
      <c r="F14" s="146">
        <v>2</v>
      </c>
      <c r="G14" s="275">
        <f>S12</f>
        <v>0.30199999999999999</v>
      </c>
      <c r="H14" s="278">
        <f>T12</f>
        <v>0.317</v>
      </c>
      <c r="I14" s="147"/>
      <c r="J14" s="660"/>
      <c r="K14" s="660"/>
      <c r="L14" s="660"/>
      <c r="M14" s="660">
        <v>0.08</v>
      </c>
      <c r="N14" s="148"/>
      <c r="O14" s="149"/>
      <c r="P14" s="150"/>
      <c r="Q14" s="620">
        <f t="shared" si="0"/>
        <v>1.0320000000000001E-2</v>
      </c>
      <c r="R14" s="620">
        <f t="shared" si="1"/>
        <v>3.0400000000000002E-3</v>
      </c>
      <c r="S14" s="157">
        <f t="shared" si="4"/>
        <v>0.30521452127970577</v>
      </c>
      <c r="T14" s="158">
        <f t="shared" si="5"/>
        <v>0.32020634597084424</v>
      </c>
      <c r="U14" s="542">
        <f t="shared" si="2"/>
        <v>11917.213770315107</v>
      </c>
      <c r="V14" s="619">
        <f t="shared" si="3"/>
        <v>9837.4065337443899</v>
      </c>
    </row>
    <row r="15" spans="1:41" ht="12.75" customHeight="1" x14ac:dyDescent="0.2">
      <c r="A15" s="144">
        <v>2</v>
      </c>
      <c r="B15" s="2831" t="s">
        <v>363</v>
      </c>
      <c r="C15" s="2837" t="s">
        <v>342</v>
      </c>
      <c r="D15" s="145" t="s">
        <v>39</v>
      </c>
      <c r="E15" s="2823" t="s">
        <v>241</v>
      </c>
      <c r="F15" s="146">
        <v>1</v>
      </c>
      <c r="G15" s="275">
        <v>0.30099999999999999</v>
      </c>
      <c r="H15" s="278">
        <v>0.36599999999999999</v>
      </c>
      <c r="I15" s="147"/>
      <c r="J15" s="660"/>
      <c r="K15" s="660"/>
      <c r="L15" s="660"/>
      <c r="M15" s="660"/>
      <c r="N15" s="148"/>
      <c r="O15" s="149"/>
      <c r="P15" s="150">
        <v>3.5000000000000003E-2</v>
      </c>
      <c r="Q15" s="620">
        <f t="shared" si="0"/>
        <v>2.2925000000000003E-3</v>
      </c>
      <c r="R15" s="620">
        <f t="shared" si="1"/>
        <v>7.000000000000001E-3</v>
      </c>
      <c r="S15" s="157">
        <f t="shared" si="4"/>
        <v>0.30800853162899561</v>
      </c>
      <c r="T15" s="158">
        <f t="shared" si="5"/>
        <v>0.37300704491503911</v>
      </c>
      <c r="U15" s="542">
        <f t="shared" si="2"/>
        <v>11809.110210868686</v>
      </c>
      <c r="V15" s="619">
        <f t="shared" si="3"/>
        <v>8444.8807145652827</v>
      </c>
    </row>
    <row r="16" spans="1:41" ht="12.75" customHeight="1" x14ac:dyDescent="0.2">
      <c r="A16" s="144">
        <v>2</v>
      </c>
      <c r="B16" s="2830"/>
      <c r="C16" s="2837"/>
      <c r="D16" s="145" t="s">
        <v>39</v>
      </c>
      <c r="E16" s="2824"/>
      <c r="F16" s="146">
        <v>2</v>
      </c>
      <c r="G16" s="275">
        <v>0.30099999999999999</v>
      </c>
      <c r="H16" s="278">
        <v>0.36599999999999999</v>
      </c>
      <c r="I16" s="147"/>
      <c r="J16" s="660"/>
      <c r="K16" s="660"/>
      <c r="L16" s="660"/>
      <c r="M16" s="660"/>
      <c r="N16" s="148"/>
      <c r="O16" s="149"/>
      <c r="P16" s="150">
        <v>3.5000000000000003E-2</v>
      </c>
      <c r="Q16" s="620">
        <f t="shared" si="0"/>
        <v>2.2925000000000003E-3</v>
      </c>
      <c r="R16" s="620">
        <f t="shared" si="1"/>
        <v>7.000000000000001E-3</v>
      </c>
      <c r="S16" s="157">
        <f t="shared" si="4"/>
        <v>0.30800853162899561</v>
      </c>
      <c r="T16" s="158">
        <f t="shared" si="5"/>
        <v>0.37300704491503911</v>
      </c>
      <c r="U16" s="542">
        <f t="shared" si="2"/>
        <v>11809.110210868686</v>
      </c>
      <c r="V16" s="619">
        <f t="shared" si="3"/>
        <v>8444.8807145652827</v>
      </c>
    </row>
    <row r="17" spans="1:22" ht="12.75" customHeight="1" x14ac:dyDescent="0.2">
      <c r="A17" s="144">
        <v>2</v>
      </c>
      <c r="B17" s="2831" t="s">
        <v>235</v>
      </c>
      <c r="C17" s="2837" t="s">
        <v>342</v>
      </c>
      <c r="D17" s="145" t="s">
        <v>39</v>
      </c>
      <c r="E17" s="2823" t="s">
        <v>152</v>
      </c>
      <c r="F17" s="146">
        <v>1</v>
      </c>
      <c r="G17" s="275">
        <f>СР2!AF23</f>
        <v>1.1547351131314774</v>
      </c>
      <c r="H17" s="278">
        <f>СР2!AG23</f>
        <v>1.2121529265892017</v>
      </c>
      <c r="I17" s="147">
        <v>0.38</v>
      </c>
      <c r="J17" s="660"/>
      <c r="K17" s="660"/>
      <c r="L17" s="660"/>
      <c r="M17" s="660"/>
      <c r="N17" s="148"/>
      <c r="O17" s="149"/>
      <c r="P17" s="150"/>
      <c r="Q17" s="620">
        <f t="shared" si="0"/>
        <v>3.7620000000000001E-2</v>
      </c>
      <c r="R17" s="620">
        <f t="shared" si="1"/>
        <v>2.7739999999999997E-2</v>
      </c>
      <c r="S17" s="157">
        <f t="shared" si="4"/>
        <v>1.1830733948387566</v>
      </c>
      <c r="T17" s="158">
        <f t="shared" si="5"/>
        <v>1.2404635157093238</v>
      </c>
      <c r="U17" s="542">
        <f t="shared" si="2"/>
        <v>3074.4556607921841</v>
      </c>
      <c r="V17" s="619">
        <f t="shared" si="3"/>
        <v>2539.3733552886979</v>
      </c>
    </row>
    <row r="18" spans="1:22" ht="12.75" customHeight="1" x14ac:dyDescent="0.2">
      <c r="A18" s="144">
        <v>2</v>
      </c>
      <c r="B18" s="2830"/>
      <c r="C18" s="2837"/>
      <c r="D18" s="145" t="s">
        <v>39</v>
      </c>
      <c r="E18" s="2824"/>
      <c r="F18" s="146">
        <v>2</v>
      </c>
      <c r="G18" s="275">
        <f>СР2!AF24</f>
        <v>0.93094132314274602</v>
      </c>
      <c r="H18" s="278">
        <f>СР2!AG24</f>
        <v>0.98831101776453256</v>
      </c>
      <c r="I18" s="147">
        <v>0.38</v>
      </c>
      <c r="J18" s="660"/>
      <c r="K18" s="660"/>
      <c r="L18" s="660"/>
      <c r="M18" s="660"/>
      <c r="N18" s="148"/>
      <c r="O18" s="149"/>
      <c r="P18" s="150"/>
      <c r="Q18" s="620">
        <f t="shared" si="0"/>
        <v>3.7620000000000001E-2</v>
      </c>
      <c r="R18" s="620">
        <f t="shared" si="1"/>
        <v>2.7739999999999997E-2</v>
      </c>
      <c r="S18" s="157">
        <f t="shared" si="4"/>
        <v>0.95941916998917953</v>
      </c>
      <c r="T18" s="158">
        <f t="shared" si="5"/>
        <v>1.0167472326494635</v>
      </c>
      <c r="U18" s="542">
        <f t="shared" si="2"/>
        <v>3791.1549087930616</v>
      </c>
      <c r="V18" s="619">
        <f t="shared" si="3"/>
        <v>3098.1151448936398</v>
      </c>
    </row>
    <row r="19" spans="1:22" ht="12.75" customHeight="1" x14ac:dyDescent="0.2">
      <c r="A19" s="144">
        <v>2</v>
      </c>
      <c r="B19" s="2831" t="s">
        <v>48</v>
      </c>
      <c r="C19" s="2837" t="s">
        <v>342</v>
      </c>
      <c r="D19" s="145" t="s">
        <v>39</v>
      </c>
      <c r="E19" s="2823" t="s">
        <v>152</v>
      </c>
      <c r="F19" s="146">
        <v>1</v>
      </c>
      <c r="G19" s="275">
        <f>СР2!AF23</f>
        <v>1.1547351131314774</v>
      </c>
      <c r="H19" s="278">
        <f>СР2!AG23</f>
        <v>1.2121529265892017</v>
      </c>
      <c r="I19" s="147"/>
      <c r="J19" s="660">
        <v>0.12</v>
      </c>
      <c r="K19" s="660"/>
      <c r="L19" s="660"/>
      <c r="M19" s="660"/>
      <c r="N19" s="148"/>
      <c r="O19" s="149"/>
      <c r="P19" s="150"/>
      <c r="Q19" s="620">
        <f t="shared" si="0"/>
        <v>9.2399999999999999E-3</v>
      </c>
      <c r="R19" s="620">
        <f t="shared" si="1"/>
        <v>4.5599999999999998E-3</v>
      </c>
      <c r="S19" s="157">
        <f t="shared" si="4"/>
        <v>1.1593319356122838</v>
      </c>
      <c r="T19" s="158">
        <f t="shared" si="5"/>
        <v>1.2167480114342739</v>
      </c>
      <c r="U19" s="542">
        <f t="shared" si="2"/>
        <v>3137.4161136807238</v>
      </c>
      <c r="V19" s="619">
        <f t="shared" si="3"/>
        <v>2588.8680075070383</v>
      </c>
    </row>
    <row r="20" spans="1:22" ht="12.75" customHeight="1" x14ac:dyDescent="0.2">
      <c r="A20" s="144">
        <v>2</v>
      </c>
      <c r="B20" s="2830"/>
      <c r="C20" s="2837"/>
      <c r="D20" s="145" t="s">
        <v>39</v>
      </c>
      <c r="E20" s="2824"/>
      <c r="F20" s="146">
        <v>2</v>
      </c>
      <c r="G20" s="275">
        <f>СР2!AF24</f>
        <v>0.93094132314274602</v>
      </c>
      <c r="H20" s="278">
        <f>СР2!AG24</f>
        <v>0.98831101776453256</v>
      </c>
      <c r="I20" s="147"/>
      <c r="J20" s="660">
        <v>0.12</v>
      </c>
      <c r="K20" s="660"/>
      <c r="L20" s="660"/>
      <c r="M20" s="660"/>
      <c r="N20" s="148"/>
      <c r="O20" s="149"/>
      <c r="P20" s="150"/>
      <c r="Q20" s="620">
        <f t="shared" si="0"/>
        <v>9.2399999999999999E-3</v>
      </c>
      <c r="R20" s="620">
        <f t="shared" si="1"/>
        <v>4.5599999999999998E-3</v>
      </c>
      <c r="S20" s="157">
        <f t="shared" si="4"/>
        <v>0.93554695403375054</v>
      </c>
      <c r="T20" s="158">
        <f t="shared" si="5"/>
        <v>0.99291401214645914</v>
      </c>
      <c r="U20" s="542">
        <f t="shared" si="2"/>
        <v>3887.8932588170492</v>
      </c>
      <c r="V20" s="619">
        <f t="shared" si="3"/>
        <v>3172.4801558499521</v>
      </c>
    </row>
    <row r="21" spans="1:22" ht="12.75" customHeight="1" x14ac:dyDescent="0.2">
      <c r="A21" s="144">
        <v>2</v>
      </c>
      <c r="B21" s="2831" t="s">
        <v>236</v>
      </c>
      <c r="C21" s="2837" t="s">
        <v>341</v>
      </c>
      <c r="D21" s="145" t="s">
        <v>39</v>
      </c>
      <c r="E21" s="2823" t="s">
        <v>153</v>
      </c>
      <c r="F21" s="146">
        <v>1</v>
      </c>
      <c r="G21" s="275">
        <f>СР2!AF25</f>
        <v>0.83890387821190548</v>
      </c>
      <c r="H21" s="278">
        <f>СР2!AG25</f>
        <v>0.85127251777542778</v>
      </c>
      <c r="I21" s="147"/>
      <c r="J21" s="660"/>
      <c r="K21" s="660">
        <v>0.2</v>
      </c>
      <c r="L21" s="660"/>
      <c r="M21" s="660"/>
      <c r="N21" s="148"/>
      <c r="O21" s="149"/>
      <c r="P21" s="150"/>
      <c r="Q21" s="620">
        <f t="shared" si="0"/>
        <v>1.2200000000000001E-2</v>
      </c>
      <c r="R21" s="620">
        <f t="shared" si="1"/>
        <v>7.4000000000000003E-3</v>
      </c>
      <c r="S21" s="157">
        <f t="shared" si="4"/>
        <v>0.84639180896114041</v>
      </c>
      <c r="T21" s="158">
        <f t="shared" si="5"/>
        <v>0.85875918206607393</v>
      </c>
      <c r="U21" s="542">
        <f t="shared" si="2"/>
        <v>4297.4266260433988</v>
      </c>
      <c r="V21" s="619">
        <f t="shared" si="3"/>
        <v>3668.0830502696567</v>
      </c>
    </row>
    <row r="22" spans="1:22" ht="12.75" customHeight="1" x14ac:dyDescent="0.2">
      <c r="A22" s="144">
        <v>2</v>
      </c>
      <c r="B22" s="2830"/>
      <c r="C22" s="2837"/>
      <c r="D22" s="145" t="s">
        <v>39</v>
      </c>
      <c r="E22" s="2824"/>
      <c r="F22" s="146">
        <v>2</v>
      </c>
      <c r="G22" s="275">
        <f>СР2!AF26</f>
        <v>0.83940864918327351</v>
      </c>
      <c r="H22" s="278">
        <f>СР2!AG26</f>
        <v>0.85012540622815158</v>
      </c>
      <c r="I22" s="147"/>
      <c r="J22" s="660"/>
      <c r="K22" s="660">
        <v>0.2</v>
      </c>
      <c r="L22" s="660"/>
      <c r="M22" s="660"/>
      <c r="N22" s="148"/>
      <c r="O22" s="149"/>
      <c r="P22" s="150"/>
      <c r="Q22" s="620">
        <f t="shared" si="0"/>
        <v>1.2200000000000001E-2</v>
      </c>
      <c r="R22" s="620">
        <f t="shared" si="1"/>
        <v>7.4000000000000003E-3</v>
      </c>
      <c r="S22" s="157">
        <f t="shared" si="4"/>
        <v>0.84689652752364053</v>
      </c>
      <c r="T22" s="158">
        <f t="shared" si="5"/>
        <v>0.85761218643787729</v>
      </c>
      <c r="U22" s="542">
        <f t="shared" si="2"/>
        <v>4294.8655209748858</v>
      </c>
      <c r="V22" s="619">
        <f t="shared" si="3"/>
        <v>3672.9888518534667</v>
      </c>
    </row>
    <row r="23" spans="1:22" ht="12.75" customHeight="1" x14ac:dyDescent="0.2">
      <c r="A23" s="144">
        <v>2</v>
      </c>
      <c r="B23" s="2831" t="s">
        <v>59</v>
      </c>
      <c r="C23" s="2837" t="s">
        <v>361</v>
      </c>
      <c r="D23" s="145" t="s">
        <v>39</v>
      </c>
      <c r="E23" s="2823" t="s">
        <v>59</v>
      </c>
      <c r="F23" s="146">
        <v>1</v>
      </c>
      <c r="G23" s="275">
        <f>СР2!AF27</f>
        <v>0.68014406500558278</v>
      </c>
      <c r="H23" s="278">
        <f>СР2!AG27</f>
        <v>0.69956394424226465</v>
      </c>
      <c r="I23" s="147"/>
      <c r="J23" s="660"/>
      <c r="K23" s="660"/>
      <c r="L23" s="660">
        <v>0.08</v>
      </c>
      <c r="M23" s="660"/>
      <c r="N23" s="148"/>
      <c r="O23" s="149"/>
      <c r="P23" s="150"/>
      <c r="Q23" s="620">
        <f t="shared" si="0"/>
        <v>3.1199999999999999E-3</v>
      </c>
      <c r="R23" s="620">
        <f t="shared" si="1"/>
        <v>2.8799999999999997E-3</v>
      </c>
      <c r="S23" s="157">
        <f t="shared" si="4"/>
        <v>0.68303119092523923</v>
      </c>
      <c r="T23" s="158">
        <f t="shared" si="5"/>
        <v>0.70245087315956112</v>
      </c>
      <c r="U23" s="542">
        <f t="shared" si="2"/>
        <v>5325.242454839462</v>
      </c>
      <c r="V23" s="619">
        <f t="shared" si="3"/>
        <v>4484.2993586606026</v>
      </c>
    </row>
    <row r="24" spans="1:22" ht="12.75" customHeight="1" x14ac:dyDescent="0.2">
      <c r="A24" s="144">
        <v>2</v>
      </c>
      <c r="B24" s="2830"/>
      <c r="C24" s="2837"/>
      <c r="D24" s="145" t="s">
        <v>39</v>
      </c>
      <c r="E24" s="2824"/>
      <c r="F24" s="146">
        <v>2</v>
      </c>
      <c r="G24" s="275">
        <f>СР2!AF28</f>
        <v>0.68563129473503359</v>
      </c>
      <c r="H24" s="278">
        <f>СР2!AG28</f>
        <v>0.70505498033097713</v>
      </c>
      <c r="I24" s="147"/>
      <c r="J24" s="660"/>
      <c r="K24" s="660"/>
      <c r="L24" s="660">
        <v>0.08</v>
      </c>
      <c r="M24" s="660"/>
      <c r="N24" s="148"/>
      <c r="O24" s="149"/>
      <c r="P24" s="150"/>
      <c r="Q24" s="620">
        <f t="shared" si="0"/>
        <v>3.1199999999999999E-3</v>
      </c>
      <c r="R24" s="620">
        <f t="shared" si="1"/>
        <v>2.8799999999999997E-3</v>
      </c>
      <c r="S24" s="157">
        <f t="shared" si="4"/>
        <v>0.68851836386382048</v>
      </c>
      <c r="T24" s="158">
        <f t="shared" si="5"/>
        <v>0.70794185550525324</v>
      </c>
      <c r="U24" s="542">
        <f t="shared" si="2"/>
        <v>5282.8027352572572</v>
      </c>
      <c r="V24" s="619">
        <f t="shared" si="3"/>
        <v>4449.5179590022499</v>
      </c>
    </row>
    <row r="25" spans="1:22" ht="12.75" customHeight="1" x14ac:dyDescent="0.2">
      <c r="A25" s="144">
        <v>2</v>
      </c>
      <c r="B25" s="2831" t="s">
        <v>114</v>
      </c>
      <c r="C25" s="2837" t="s">
        <v>342</v>
      </c>
      <c r="D25" s="145" t="s">
        <v>39</v>
      </c>
      <c r="E25" s="2823" t="s">
        <v>242</v>
      </c>
      <c r="F25" s="146">
        <v>1</v>
      </c>
      <c r="G25" s="275">
        <f>СР2!AF29</f>
        <v>0.72460823264923946</v>
      </c>
      <c r="H25" s="278">
        <f>СР2!AG29</f>
        <v>0.71786483347477892</v>
      </c>
      <c r="I25" s="147"/>
      <c r="J25" s="660"/>
      <c r="K25" s="660"/>
      <c r="L25" s="660">
        <v>0.35199999999999998</v>
      </c>
      <c r="M25" s="660"/>
      <c r="N25" s="148"/>
      <c r="O25" s="149"/>
      <c r="P25" s="150"/>
      <c r="Q25" s="967">
        <f t="shared" si="0"/>
        <v>1.3727999999999999E-2</v>
      </c>
      <c r="R25" s="967">
        <f t="shared" si="1"/>
        <v>1.2671999999999998E-2</v>
      </c>
      <c r="S25" s="157">
        <f t="shared" si="4"/>
        <v>0.73740802778334102</v>
      </c>
      <c r="T25" s="158">
        <f t="shared" si="5"/>
        <v>0.73066580804589243</v>
      </c>
      <c r="U25" s="360">
        <f t="shared" si="2"/>
        <v>4932.5564122598962</v>
      </c>
      <c r="V25" s="1049">
        <f t="shared" si="3"/>
        <v>4311.1364529625716</v>
      </c>
    </row>
    <row r="26" spans="1:22" ht="12.75" customHeight="1" thickBot="1" x14ac:dyDescent="0.25">
      <c r="A26" s="196">
        <v>2</v>
      </c>
      <c r="B26" s="2311"/>
      <c r="C26" s="2362"/>
      <c r="D26" s="281" t="s">
        <v>39</v>
      </c>
      <c r="E26" s="2828"/>
      <c r="F26" s="654">
        <v>2</v>
      </c>
      <c r="G26" s="621">
        <f>СР2!AF30</f>
        <v>0.72267449361664615</v>
      </c>
      <c r="H26" s="622">
        <f>СР2!AG30</f>
        <v>0.71592128588287796</v>
      </c>
      <c r="I26" s="410"/>
      <c r="J26" s="661"/>
      <c r="K26" s="661"/>
      <c r="L26" s="661">
        <v>0.35199999999999998</v>
      </c>
      <c r="M26" s="661"/>
      <c r="N26" s="623"/>
      <c r="O26" s="624"/>
      <c r="P26" s="625"/>
      <c r="Q26" s="626">
        <f t="shared" si="0"/>
        <v>1.3727999999999999E-2</v>
      </c>
      <c r="R26" s="626">
        <f t="shared" si="1"/>
        <v>1.2671999999999998E-2</v>
      </c>
      <c r="S26" s="181">
        <f t="shared" si="4"/>
        <v>0.73547462475485603</v>
      </c>
      <c r="T26" s="182">
        <f t="shared" si="5"/>
        <v>0.72872260443711312</v>
      </c>
      <c r="U26" s="662">
        <f t="shared" si="2"/>
        <v>4945.5230316164989</v>
      </c>
      <c r="V26" s="663">
        <f t="shared" si="3"/>
        <v>4322.6324815780254</v>
      </c>
    </row>
    <row r="27" spans="1:22" ht="12.75" customHeight="1" x14ac:dyDescent="0.2">
      <c r="A27" s="257">
        <v>2</v>
      </c>
      <c r="B27" s="2832" t="s">
        <v>235</v>
      </c>
      <c r="C27" s="2842" t="s">
        <v>342</v>
      </c>
      <c r="D27" s="643" t="s">
        <v>35</v>
      </c>
      <c r="E27" s="2825" t="s">
        <v>152</v>
      </c>
      <c r="F27" s="231">
        <v>1</v>
      </c>
      <c r="G27" s="630">
        <f>СР2!AF49</f>
        <v>1.2503227235671823</v>
      </c>
      <c r="H27" s="631">
        <f>СР2!AG49</f>
        <v>1.2623272380544921</v>
      </c>
      <c r="I27" s="234">
        <v>0.38</v>
      </c>
      <c r="J27" s="664"/>
      <c r="K27" s="664"/>
      <c r="L27" s="664"/>
      <c r="M27" s="664"/>
      <c r="N27" s="235"/>
      <c r="O27" s="236"/>
      <c r="P27" s="251"/>
      <c r="Q27" s="567">
        <f t="shared" si="0"/>
        <v>3.7620000000000001E-2</v>
      </c>
      <c r="R27" s="677">
        <f t="shared" si="1"/>
        <v>2.7739999999999997E-2</v>
      </c>
      <c r="S27" s="139">
        <f t="shared" ref="S27:S36" si="6">SQRT(Q27^2+(G27+R27)^2)</f>
        <v>1.2786162793316704</v>
      </c>
      <c r="T27" s="140">
        <f t="shared" ref="T27:T36" si="7">SQRT(Q27^2+(H27+R27)^2)</f>
        <v>1.2906156449933288</v>
      </c>
      <c r="U27" s="319">
        <f t="shared" ref="U27:U36" si="8">6300/(SQRT(3)*S27)</f>
        <v>2844.7210900488876</v>
      </c>
      <c r="V27" s="665">
        <f t="shared" ref="V27:V36" si="9">6300/(2*T27)</f>
        <v>2440.6956573165376</v>
      </c>
    </row>
    <row r="28" spans="1:22" ht="12.75" customHeight="1" x14ac:dyDescent="0.2">
      <c r="A28" s="256">
        <v>2</v>
      </c>
      <c r="B28" s="2833"/>
      <c r="C28" s="2840"/>
      <c r="D28" s="644" t="s">
        <v>35</v>
      </c>
      <c r="E28" s="2826"/>
      <c r="F28" s="210">
        <v>2</v>
      </c>
      <c r="G28" s="308">
        <f>СР2!AF50</f>
        <v>1.2301795402540745</v>
      </c>
      <c r="H28" s="634">
        <f>СР2!AG50</f>
        <v>1.2405673903501009</v>
      </c>
      <c r="I28" s="213">
        <v>0.38</v>
      </c>
      <c r="J28" s="666"/>
      <c r="K28" s="666"/>
      <c r="L28" s="666"/>
      <c r="M28" s="666"/>
      <c r="N28" s="214"/>
      <c r="O28" s="215"/>
      <c r="P28" s="216"/>
      <c r="Q28" s="678">
        <f t="shared" si="0"/>
        <v>3.7620000000000001E-2</v>
      </c>
      <c r="R28" s="679">
        <f t="shared" si="1"/>
        <v>2.7739999999999997E-2</v>
      </c>
      <c r="S28" s="157">
        <f t="shared" si="6"/>
        <v>1.2584819562286234</v>
      </c>
      <c r="T28" s="158">
        <f t="shared" si="7"/>
        <v>1.2688652019882505</v>
      </c>
      <c r="U28" s="341">
        <f t="shared" si="8"/>
        <v>2890.2334895565782</v>
      </c>
      <c r="V28" s="667">
        <f t="shared" si="9"/>
        <v>2482.5332076757263</v>
      </c>
    </row>
    <row r="29" spans="1:22" ht="12.75" customHeight="1" x14ac:dyDescent="0.2">
      <c r="A29" s="256">
        <v>2</v>
      </c>
      <c r="B29" s="2834" t="s">
        <v>48</v>
      </c>
      <c r="C29" s="2840" t="s">
        <v>342</v>
      </c>
      <c r="D29" s="644" t="s">
        <v>35</v>
      </c>
      <c r="E29" s="2821" t="s">
        <v>152</v>
      </c>
      <c r="F29" s="210">
        <v>1</v>
      </c>
      <c r="G29" s="308">
        <f>СР2!AF49</f>
        <v>1.2503227235671823</v>
      </c>
      <c r="H29" s="634">
        <f>СР2!AG49</f>
        <v>1.2623272380544921</v>
      </c>
      <c r="I29" s="213"/>
      <c r="J29" s="666">
        <v>0.12</v>
      </c>
      <c r="K29" s="666"/>
      <c r="L29" s="666"/>
      <c r="M29" s="666"/>
      <c r="N29" s="214"/>
      <c r="O29" s="215"/>
      <c r="P29" s="216"/>
      <c r="Q29" s="678">
        <f t="shared" si="0"/>
        <v>9.2399999999999999E-3</v>
      </c>
      <c r="R29" s="679">
        <f t="shared" si="1"/>
        <v>4.5599999999999998E-3</v>
      </c>
      <c r="S29" s="157">
        <f t="shared" si="6"/>
        <v>1.2549167412650886</v>
      </c>
      <c r="T29" s="158">
        <f t="shared" si="7"/>
        <v>1.2669209334229738</v>
      </c>
      <c r="U29" s="341">
        <f t="shared" si="8"/>
        <v>2898.4446348431475</v>
      </c>
      <c r="V29" s="667">
        <f t="shared" si="9"/>
        <v>2486.3430044440997</v>
      </c>
    </row>
    <row r="30" spans="1:22" ht="12.75" customHeight="1" x14ac:dyDescent="0.2">
      <c r="A30" s="256">
        <v>2</v>
      </c>
      <c r="B30" s="2833"/>
      <c r="C30" s="2840"/>
      <c r="D30" s="644" t="s">
        <v>35</v>
      </c>
      <c r="E30" s="2826"/>
      <c r="F30" s="210">
        <v>2</v>
      </c>
      <c r="G30" s="308">
        <f>СР2!AF50</f>
        <v>1.2301795402540745</v>
      </c>
      <c r="H30" s="634">
        <f>СР2!AG50</f>
        <v>1.2405673903501009</v>
      </c>
      <c r="I30" s="213"/>
      <c r="J30" s="666">
        <v>0.12</v>
      </c>
      <c r="K30" s="666"/>
      <c r="L30" s="666"/>
      <c r="M30" s="666"/>
      <c r="N30" s="214"/>
      <c r="O30" s="215"/>
      <c r="P30" s="216"/>
      <c r="Q30" s="678">
        <f t="shared" si="0"/>
        <v>9.2399999999999999E-3</v>
      </c>
      <c r="R30" s="679">
        <f t="shared" si="1"/>
        <v>4.5599999999999998E-3</v>
      </c>
      <c r="S30" s="157">
        <f t="shared" si="6"/>
        <v>1.2347741128914402</v>
      </c>
      <c r="T30" s="158">
        <f t="shared" si="7"/>
        <v>1.2451616745628065</v>
      </c>
      <c r="U30" s="341">
        <f t="shared" si="8"/>
        <v>2945.7263947470124</v>
      </c>
      <c r="V30" s="667">
        <f t="shared" si="9"/>
        <v>2529.7919654538105</v>
      </c>
    </row>
    <row r="31" spans="1:22" ht="12.75" customHeight="1" x14ac:dyDescent="0.2">
      <c r="A31" s="256">
        <v>2</v>
      </c>
      <c r="B31" s="2834" t="s">
        <v>236</v>
      </c>
      <c r="C31" s="2840" t="s">
        <v>341</v>
      </c>
      <c r="D31" s="500" t="s">
        <v>35</v>
      </c>
      <c r="E31" s="2821" t="s">
        <v>153</v>
      </c>
      <c r="F31" s="210">
        <v>1</v>
      </c>
      <c r="G31" s="308">
        <f>СР2!AF51</f>
        <v>1.6833099513286862</v>
      </c>
      <c r="H31" s="634">
        <f>СР2!AG51</f>
        <v>1.7394822939708767</v>
      </c>
      <c r="I31" s="213"/>
      <c r="J31" s="666"/>
      <c r="K31" s="666">
        <v>0.2</v>
      </c>
      <c r="L31" s="666"/>
      <c r="M31" s="666"/>
      <c r="N31" s="214"/>
      <c r="O31" s="215"/>
      <c r="P31" s="216"/>
      <c r="Q31" s="635">
        <f>0.099*I31+0.077*J31+0.061*K31+0.039*L31+0.129*M31+0.065*N31+0.105*O31+0.0655*P31</f>
        <v>1.2200000000000001E-2</v>
      </c>
      <c r="R31" s="635">
        <f>0.073*I31+0.038*J31+0.037*K31+0.036*L31+0.038*M31+0.036*N31+0.4*O31+0.2*P31</f>
        <v>7.4000000000000003E-3</v>
      </c>
      <c r="S31" s="157">
        <f t="shared" si="6"/>
        <v>1.69075396776759</v>
      </c>
      <c r="T31" s="158">
        <f t="shared" si="7"/>
        <v>1.7469248950624503</v>
      </c>
      <c r="U31" s="341">
        <f t="shared" si="8"/>
        <v>2151.292716288704</v>
      </c>
      <c r="V31" s="667">
        <f t="shared" si="9"/>
        <v>1803.1685328334574</v>
      </c>
    </row>
    <row r="32" spans="1:22" ht="12.75" customHeight="1" x14ac:dyDescent="0.2">
      <c r="A32" s="256">
        <v>2</v>
      </c>
      <c r="B32" s="2833"/>
      <c r="C32" s="2840"/>
      <c r="D32" s="500" t="s">
        <v>35</v>
      </c>
      <c r="E32" s="2826"/>
      <c r="F32" s="210">
        <v>2</v>
      </c>
      <c r="G32" s="308">
        <f>СР2!AF52</f>
        <v>1.486003188490181</v>
      </c>
      <c r="H32" s="634">
        <f>СР2!AG52</f>
        <v>1.5417979271483615</v>
      </c>
      <c r="I32" s="213"/>
      <c r="J32" s="666"/>
      <c r="K32" s="666">
        <v>0.2</v>
      </c>
      <c r="L32" s="666"/>
      <c r="M32" s="666"/>
      <c r="N32" s="214"/>
      <c r="O32" s="215"/>
      <c r="P32" s="216"/>
      <c r="Q32" s="635">
        <f>0.099*I32+0.077*J32+0.061*K32+0.039*L32+0.129*M32+0.065*N32+0.105*O32+0.0655*P32</f>
        <v>1.2200000000000001E-2</v>
      </c>
      <c r="R32" s="635">
        <f>0.073*I32+0.038*J32+0.037*K32+0.036*L32+0.038*M32+0.036*N32+0.4*O32+0.2*P32</f>
        <v>7.4000000000000003E-3</v>
      </c>
      <c r="S32" s="157">
        <f t="shared" si="6"/>
        <v>1.4934530201491574</v>
      </c>
      <c r="T32" s="158">
        <f t="shared" si="7"/>
        <v>1.5492459641647547</v>
      </c>
      <c r="U32" s="341">
        <f t="shared" si="8"/>
        <v>2435.5012489990272</v>
      </c>
      <c r="V32" s="667">
        <f t="shared" si="9"/>
        <v>2033.2471878977979</v>
      </c>
    </row>
    <row r="33" spans="1:22" ht="12.75" customHeight="1" x14ac:dyDescent="0.2">
      <c r="A33" s="256">
        <v>2</v>
      </c>
      <c r="B33" s="2834" t="s">
        <v>59</v>
      </c>
      <c r="C33" s="2840" t="s">
        <v>361</v>
      </c>
      <c r="D33" s="644" t="s">
        <v>35</v>
      </c>
      <c r="E33" s="2821" t="s">
        <v>59</v>
      </c>
      <c r="F33" s="210">
        <v>1</v>
      </c>
      <c r="G33" s="308">
        <f>СР2!AF53</f>
        <v>0.7191770655628883</v>
      </c>
      <c r="H33" s="634">
        <f>СР2!AG53</f>
        <v>0.71244022340293323</v>
      </c>
      <c r="I33" s="213"/>
      <c r="J33" s="666"/>
      <c r="K33" s="666"/>
      <c r="L33" s="666">
        <v>0.08</v>
      </c>
      <c r="M33" s="666"/>
      <c r="N33" s="214"/>
      <c r="O33" s="215"/>
      <c r="P33" s="216"/>
      <c r="Q33" s="678">
        <f t="shared" si="0"/>
        <v>3.1199999999999999E-3</v>
      </c>
      <c r="R33" s="679">
        <f t="shared" si="1"/>
        <v>2.8799999999999997E-3</v>
      </c>
      <c r="S33" s="157">
        <f t="shared" si="6"/>
        <v>0.72206380627288691</v>
      </c>
      <c r="T33" s="158">
        <f t="shared" si="7"/>
        <v>0.7153270275959257</v>
      </c>
      <c r="U33" s="341">
        <f t="shared" si="8"/>
        <v>5037.3757336896742</v>
      </c>
      <c r="V33" s="667">
        <f t="shared" si="9"/>
        <v>4403.5802905232513</v>
      </c>
    </row>
    <row r="34" spans="1:22" ht="12.75" customHeight="1" x14ac:dyDescent="0.2">
      <c r="A34" s="255">
        <v>2</v>
      </c>
      <c r="B34" s="2833"/>
      <c r="C34" s="2840"/>
      <c r="D34" s="644" t="s">
        <v>35</v>
      </c>
      <c r="E34" s="2826"/>
      <c r="F34" s="210">
        <v>2</v>
      </c>
      <c r="G34" s="308">
        <f>СР2!AF54</f>
        <v>0.72462767929206329</v>
      </c>
      <c r="H34" s="634">
        <f>СР2!AG54</f>
        <v>0.71787803581637877</v>
      </c>
      <c r="I34" s="213"/>
      <c r="J34" s="666"/>
      <c r="K34" s="666"/>
      <c r="L34" s="666">
        <v>0.08</v>
      </c>
      <c r="M34" s="666"/>
      <c r="N34" s="214"/>
      <c r="O34" s="215"/>
      <c r="P34" s="216"/>
      <c r="Q34" s="678">
        <f t="shared" si="0"/>
        <v>3.1199999999999999E-3</v>
      </c>
      <c r="R34" s="679">
        <f t="shared" si="1"/>
        <v>2.8799999999999997E-3</v>
      </c>
      <c r="S34" s="157">
        <f t="shared" si="6"/>
        <v>0.72751436949995951</v>
      </c>
      <c r="T34" s="158">
        <f t="shared" si="7"/>
        <v>0.72076478867511573</v>
      </c>
      <c r="U34" s="341">
        <f t="shared" si="8"/>
        <v>4999.6355376384699</v>
      </c>
      <c r="V34" s="667">
        <f t="shared" si="9"/>
        <v>4370.3577775909644</v>
      </c>
    </row>
    <row r="35" spans="1:22" ht="12.75" customHeight="1" x14ac:dyDescent="0.2">
      <c r="A35" s="256">
        <v>2</v>
      </c>
      <c r="B35" s="2834" t="s">
        <v>114</v>
      </c>
      <c r="C35" s="2840" t="s">
        <v>342</v>
      </c>
      <c r="D35" s="500" t="s">
        <v>35</v>
      </c>
      <c r="E35" s="2821" t="s">
        <v>242</v>
      </c>
      <c r="F35" s="210">
        <v>1</v>
      </c>
      <c r="G35" s="308">
        <f>СР2!AF55</f>
        <v>0.69337912525488943</v>
      </c>
      <c r="H35" s="634">
        <f>СР2!AG55</f>
        <v>0.71279842500610613</v>
      </c>
      <c r="I35" s="213"/>
      <c r="J35" s="666"/>
      <c r="K35" s="666"/>
      <c r="L35" s="666">
        <v>0.35199999999999998</v>
      </c>
      <c r="M35" s="666"/>
      <c r="N35" s="214"/>
      <c r="O35" s="215"/>
      <c r="P35" s="216"/>
      <c r="Q35" s="568">
        <f t="shared" si="0"/>
        <v>1.3727999999999999E-2</v>
      </c>
      <c r="R35" s="1050">
        <f t="shared" si="1"/>
        <v>1.2671999999999998E-2</v>
      </c>
      <c r="S35" s="157">
        <f t="shared" si="6"/>
        <v>0.70618457180661742</v>
      </c>
      <c r="T35" s="158">
        <f t="shared" si="7"/>
        <v>0.72560030012572374</v>
      </c>
      <c r="U35" s="320">
        <f t="shared" si="8"/>
        <v>5150.6459374910946</v>
      </c>
      <c r="V35" s="1051">
        <f t="shared" si="9"/>
        <v>4341.233044493234</v>
      </c>
    </row>
    <row r="36" spans="1:22" ht="12.75" customHeight="1" thickBot="1" x14ac:dyDescent="0.25">
      <c r="A36" s="258">
        <v>2</v>
      </c>
      <c r="B36" s="2835"/>
      <c r="C36" s="2841"/>
      <c r="D36" s="645" t="s">
        <v>35</v>
      </c>
      <c r="E36" s="2822"/>
      <c r="F36" s="240">
        <v>2</v>
      </c>
      <c r="G36" s="638">
        <f>СР2!AF56</f>
        <v>0.69141971967892668</v>
      </c>
      <c r="H36" s="639">
        <f>СР2!AG56</f>
        <v>0.71083766075865418</v>
      </c>
      <c r="I36" s="242"/>
      <c r="J36" s="668"/>
      <c r="K36" s="668"/>
      <c r="L36" s="668">
        <v>0.35199999999999998</v>
      </c>
      <c r="M36" s="668"/>
      <c r="N36" s="243"/>
      <c r="O36" s="244"/>
      <c r="P36" s="249"/>
      <c r="Q36" s="680">
        <f t="shared" si="0"/>
        <v>1.3727999999999999E-2</v>
      </c>
      <c r="R36" s="681">
        <f t="shared" si="1"/>
        <v>1.2671999999999998E-2</v>
      </c>
      <c r="S36" s="175">
        <f t="shared" si="6"/>
        <v>0.70422553752645767</v>
      </c>
      <c r="T36" s="176">
        <f t="shared" si="7"/>
        <v>0.72363988778611621</v>
      </c>
      <c r="U36" s="669">
        <f t="shared" si="8"/>
        <v>5164.9741482969002</v>
      </c>
      <c r="V36" s="670">
        <f t="shared" si="9"/>
        <v>4352.99387605211</v>
      </c>
    </row>
    <row r="37" spans="1:22" ht="9.75" customHeight="1" x14ac:dyDescent="0.2">
      <c r="E37" s="187"/>
      <c r="F37" s="187"/>
      <c r="Q37" s="188"/>
    </row>
    <row r="38" spans="1:22" ht="15.75" x14ac:dyDescent="0.2">
      <c r="B38" s="192" t="s">
        <v>158</v>
      </c>
      <c r="C38" s="192"/>
      <c r="D38" s="2378">
        <v>42647</v>
      </c>
      <c r="E38" s="2379"/>
      <c r="F38" s="187"/>
      <c r="Q38" s="193"/>
      <c r="R38" s="193"/>
    </row>
    <row r="39" spans="1:22" x14ac:dyDescent="0.2">
      <c r="B39" s="185" t="s">
        <v>328</v>
      </c>
      <c r="D39" s="2380" t="s">
        <v>189</v>
      </c>
      <c r="E39" s="2380"/>
      <c r="F39" s="186"/>
    </row>
    <row r="41" spans="1:22" x14ac:dyDescent="0.2">
      <c r="B41" s="671"/>
      <c r="C41" s="671"/>
    </row>
    <row r="44" spans="1:22" x14ac:dyDescent="0.2">
      <c r="P44" s="100"/>
      <c r="Q44" s="100"/>
      <c r="R44" s="100"/>
    </row>
    <row r="112" spans="1:1" x14ac:dyDescent="0.2">
      <c r="A112" s="195"/>
    </row>
    <row r="113" spans="1:1" x14ac:dyDescent="0.2">
      <c r="A113" s="195"/>
    </row>
    <row r="114" spans="1:1" x14ac:dyDescent="0.2">
      <c r="A114" s="195"/>
    </row>
    <row r="115" spans="1:1" x14ac:dyDescent="0.2">
      <c r="A115" s="195"/>
    </row>
  </sheetData>
  <mergeCells count="62">
    <mergeCell ref="C33:C34"/>
    <mergeCell ref="C31:C32"/>
    <mergeCell ref="E33:E34"/>
    <mergeCell ref="E35:E36"/>
    <mergeCell ref="C5:C6"/>
    <mergeCell ref="C7:C8"/>
    <mergeCell ref="C9:C10"/>
    <mergeCell ref="C11:C12"/>
    <mergeCell ref="C13:C14"/>
    <mergeCell ref="C15:C16"/>
    <mergeCell ref="C17:C18"/>
    <mergeCell ref="C19:C20"/>
    <mergeCell ref="C35:C36"/>
    <mergeCell ref="C21:C22"/>
    <mergeCell ref="C23:C24"/>
    <mergeCell ref="C25:C26"/>
    <mergeCell ref="C27:C28"/>
    <mergeCell ref="C29:C30"/>
    <mergeCell ref="D39:E39"/>
    <mergeCell ref="B2:B4"/>
    <mergeCell ref="D2:D4"/>
    <mergeCell ref="E2:E4"/>
    <mergeCell ref="F2:F4"/>
    <mergeCell ref="B9:B10"/>
    <mergeCell ref="B17:B18"/>
    <mergeCell ref="B19:B20"/>
    <mergeCell ref="B21:B22"/>
    <mergeCell ref="B23:B24"/>
    <mergeCell ref="B25:B26"/>
    <mergeCell ref="B27:B28"/>
    <mergeCell ref="B29:B30"/>
    <mergeCell ref="B33:B34"/>
    <mergeCell ref="B35:B36"/>
    <mergeCell ref="B31:B32"/>
    <mergeCell ref="D38:E38"/>
    <mergeCell ref="G2:H2"/>
    <mergeCell ref="B11:B12"/>
    <mergeCell ref="B13:B14"/>
    <mergeCell ref="B15:B16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31:E32"/>
    <mergeCell ref="A1:V1"/>
    <mergeCell ref="I2:P2"/>
    <mergeCell ref="Q2:R3"/>
    <mergeCell ref="S2:T2"/>
    <mergeCell ref="U2:V2"/>
    <mergeCell ref="A2:A4"/>
    <mergeCell ref="C2:C4"/>
    <mergeCell ref="B5:B6"/>
    <mergeCell ref="B7:B8"/>
    <mergeCell ref="E27:E28"/>
    <mergeCell ref="E29:E30"/>
  </mergeCells>
  <pageMargins left="0.19685039370078741" right="0.19685039370078741" top="0.39370078740157483" bottom="0.5" header="0.35433070866141736" footer="0.15748031496062992"/>
  <pageSetup paperSize="9" orientation="landscape" r:id="rId1"/>
  <headerFooter>
    <oddFooter>&amp;L&amp;8&amp;Z&amp;F</oddFooter>
  </headerFooter>
  <ignoredErrors>
    <ignoredError sqref="G28:H28 G18:H18" formula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4BD29-F06F-455D-8D38-5C22BDE34BBE}">
  <sheetPr codeName="Лист19"/>
  <dimension ref="A1:AM126"/>
  <sheetViews>
    <sheetView zoomScale="145" zoomScaleNormal="145" workbookViewId="0">
      <selection activeCell="Q55" sqref="Q55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7.42578125" style="100" customWidth="1"/>
    <col min="6" max="6" width="4" style="100" customWidth="1"/>
    <col min="7" max="8" width="7" style="100" customWidth="1"/>
    <col min="9" max="11" width="5.5703125" style="188" customWidth="1"/>
    <col min="12" max="14" width="5.5703125" style="189" customWidth="1"/>
    <col min="15" max="16" width="6.7109375" style="186" customWidth="1"/>
    <col min="17" max="18" width="6.7109375" style="100" customWidth="1"/>
    <col min="19" max="20" width="6.7109375" style="190" customWidth="1"/>
    <col min="21" max="16384" width="9.140625" style="100"/>
  </cols>
  <sheetData>
    <row r="1" spans="1:39" ht="36.75" customHeight="1" thickBot="1" x14ac:dyDescent="0.25">
      <c r="A1" s="2302" t="s">
        <v>366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69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</row>
    <row r="2" spans="1:39" s="101" customFormat="1" ht="69.75" customHeight="1" x14ac:dyDescent="0.2">
      <c r="A2" s="2303" t="s">
        <v>0</v>
      </c>
      <c r="B2" s="2306" t="s">
        <v>399</v>
      </c>
      <c r="C2" s="2306" t="s">
        <v>10</v>
      </c>
      <c r="D2" s="2312" t="s">
        <v>4</v>
      </c>
      <c r="E2" s="2315" t="s">
        <v>400</v>
      </c>
      <c r="F2" s="2315" t="s">
        <v>225</v>
      </c>
      <c r="G2" s="2318" t="s">
        <v>412</v>
      </c>
      <c r="H2" s="2319"/>
      <c r="I2" s="2536" t="s">
        <v>230</v>
      </c>
      <c r="J2" s="2323"/>
      <c r="K2" s="2323"/>
      <c r="L2" s="2323"/>
      <c r="M2" s="2323"/>
      <c r="N2" s="2537"/>
      <c r="O2" s="2323" t="s">
        <v>360</v>
      </c>
      <c r="P2" s="2324"/>
      <c r="Q2" s="2347" t="s">
        <v>232</v>
      </c>
      <c r="R2" s="2348"/>
      <c r="S2" s="2328" t="s">
        <v>231</v>
      </c>
      <c r="T2" s="2829"/>
    </row>
    <row r="3" spans="1:39" s="101" customFormat="1" ht="36" customHeight="1" x14ac:dyDescent="0.2">
      <c r="A3" s="2304"/>
      <c r="B3" s="2307"/>
      <c r="C3" s="2307"/>
      <c r="D3" s="2313"/>
      <c r="E3" s="2316"/>
      <c r="F3" s="2316"/>
      <c r="G3" s="102" t="s">
        <v>220</v>
      </c>
      <c r="H3" s="103" t="s">
        <v>29</v>
      </c>
      <c r="I3" s="611" t="s">
        <v>258</v>
      </c>
      <c r="J3" s="612" t="s">
        <v>259</v>
      </c>
      <c r="K3" s="612" t="s">
        <v>260</v>
      </c>
      <c r="L3" s="402" t="s">
        <v>261</v>
      </c>
      <c r="M3" s="685" t="s">
        <v>262</v>
      </c>
      <c r="N3" s="403" t="s">
        <v>367</v>
      </c>
      <c r="O3" s="2325"/>
      <c r="P3" s="2326"/>
      <c r="Q3" s="107" t="s">
        <v>216</v>
      </c>
      <c r="R3" s="108" t="s">
        <v>217</v>
      </c>
      <c r="S3" s="109" t="s">
        <v>218</v>
      </c>
      <c r="T3" s="111" t="s">
        <v>219</v>
      </c>
    </row>
    <row r="4" spans="1:39" s="101" customFormat="1" ht="13.5" thickBot="1" x14ac:dyDescent="0.25">
      <c r="A4" s="2305"/>
      <c r="B4" s="2308"/>
      <c r="C4" s="2308"/>
      <c r="D4" s="2314"/>
      <c r="E4" s="2317"/>
      <c r="F4" s="2317"/>
      <c r="G4" s="112" t="s">
        <v>30</v>
      </c>
      <c r="H4" s="113" t="s">
        <v>30</v>
      </c>
      <c r="I4" s="114" t="s">
        <v>31</v>
      </c>
      <c r="J4" s="657" t="s">
        <v>31</v>
      </c>
      <c r="K4" s="657" t="s">
        <v>31</v>
      </c>
      <c r="L4" s="116" t="s">
        <v>31</v>
      </c>
      <c r="M4" s="122" t="s">
        <v>31</v>
      </c>
      <c r="N4" s="117" t="s">
        <v>31</v>
      </c>
      <c r="O4" s="118" t="s">
        <v>30</v>
      </c>
      <c r="P4" s="116" t="s">
        <v>30</v>
      </c>
      <c r="Q4" s="123" t="s">
        <v>30</v>
      </c>
      <c r="R4" s="124" t="s">
        <v>30</v>
      </c>
      <c r="S4" s="125" t="s">
        <v>35</v>
      </c>
      <c r="T4" s="126" t="s">
        <v>35</v>
      </c>
    </row>
    <row r="5" spans="1:39" ht="12.75" customHeight="1" x14ac:dyDescent="0.2">
      <c r="A5" s="658">
        <v>3</v>
      </c>
      <c r="B5" s="2306" t="s">
        <v>253</v>
      </c>
      <c r="C5" s="2482" t="s">
        <v>361</v>
      </c>
      <c r="D5" s="128" t="s">
        <v>39</v>
      </c>
      <c r="E5" s="2827" t="s">
        <v>102</v>
      </c>
      <c r="F5" s="655">
        <v>1</v>
      </c>
      <c r="G5" s="615">
        <f>'СР1(1)'!AG5</f>
        <v>0.72247236889234412</v>
      </c>
      <c r="H5" s="616">
        <f>'СР1(1)'!AH5</f>
        <v>0.73376465925292444</v>
      </c>
      <c r="I5" s="131"/>
      <c r="J5" s="659">
        <v>0.71</v>
      </c>
      <c r="K5" s="659"/>
      <c r="L5" s="133"/>
      <c r="M5" s="686"/>
      <c r="N5" s="134"/>
      <c r="O5" s="620">
        <f>0.129*I5+0.129*J5+0.163*K5+0.084*L5+0.0215*M5+0.039*N5</f>
        <v>9.1590000000000005E-2</v>
      </c>
      <c r="P5" s="620">
        <f>0.071*I5+0.071*J5+0.039*K5+0.037*L5+0.0118*M5+0.036*N5</f>
        <v>5.040999999999999E-2</v>
      </c>
      <c r="Q5" s="617">
        <f t="shared" ref="Q5:Q37" si="0">SQRT(O5^2+(G5+P5)^2)</f>
        <v>0.77829035985590966</v>
      </c>
      <c r="R5" s="140">
        <f t="shared" ref="R5:R37" si="1">SQRT(O5^2+(H5+P5)^2)</f>
        <v>0.78950530353788007</v>
      </c>
      <c r="S5" s="356">
        <f>6300/(SQRT(3)*Q5)</f>
        <v>4673.4572127657384</v>
      </c>
      <c r="T5" s="618">
        <f>6300/(2*R5)</f>
        <v>3989.8402023196345</v>
      </c>
    </row>
    <row r="6" spans="1:39" ht="12.75" customHeight="1" x14ac:dyDescent="0.2">
      <c r="A6" s="144">
        <v>3</v>
      </c>
      <c r="B6" s="2307"/>
      <c r="C6" s="2483"/>
      <c r="D6" s="145" t="s">
        <v>39</v>
      </c>
      <c r="E6" s="2824"/>
      <c r="F6" s="146">
        <v>2</v>
      </c>
      <c r="G6" s="275">
        <f>'СР1(1)'!AG6</f>
        <v>0.47749064195612462</v>
      </c>
      <c r="H6" s="278">
        <f>'СР1(1)'!AH6</f>
        <v>0.48727431429213924</v>
      </c>
      <c r="I6" s="147"/>
      <c r="J6" s="660">
        <v>0.71</v>
      </c>
      <c r="K6" s="660"/>
      <c r="L6" s="149"/>
      <c r="M6" s="687"/>
      <c r="N6" s="134"/>
      <c r="O6" s="620">
        <f t="shared" ref="O6:O37" si="2">0.129*I6+0.129*J6+0.163*K6+0.084*L6+0.0215*M6+0.039*N6</f>
        <v>9.1590000000000005E-2</v>
      </c>
      <c r="P6" s="620">
        <f t="shared" ref="P6:P37" si="3">0.071*I6+0.071*J6+0.039*K6+0.037*L6+0.0118*M6+0.036*N6</f>
        <v>5.040999999999999E-2</v>
      </c>
      <c r="Q6" s="157">
        <f t="shared" si="0"/>
        <v>0.53578709939460889</v>
      </c>
      <c r="R6" s="158">
        <f t="shared" si="1"/>
        <v>0.54542932625208929</v>
      </c>
      <c r="S6" s="542">
        <f t="shared" ref="S6:S37" si="4">6300/(SQRT(3)*Q6)</f>
        <v>6788.7164510016592</v>
      </c>
      <c r="T6" s="619">
        <f t="shared" ref="T6:T37" si="5">6300/(2*R6)</f>
        <v>5775.2670206517587</v>
      </c>
    </row>
    <row r="7" spans="1:39" ht="12.75" customHeight="1" x14ac:dyDescent="0.2">
      <c r="A7" s="144">
        <v>3</v>
      </c>
      <c r="B7" s="2359"/>
      <c r="C7" s="2363"/>
      <c r="D7" s="145" t="s">
        <v>39</v>
      </c>
      <c r="E7" s="146" t="s">
        <v>155</v>
      </c>
      <c r="F7" s="146">
        <v>2</v>
      </c>
      <c r="G7" s="275">
        <f>'СР1(1)'!AG8</f>
        <v>0.49571860244643445</v>
      </c>
      <c r="H7" s="278">
        <f>'СР1(1)'!AH8</f>
        <v>0.50650363353690098</v>
      </c>
      <c r="I7" s="147"/>
      <c r="J7" s="660"/>
      <c r="K7" s="660">
        <v>0.55000000000000004</v>
      </c>
      <c r="L7" s="149"/>
      <c r="M7" s="687"/>
      <c r="N7" s="134"/>
      <c r="O7" s="620">
        <f t="shared" si="2"/>
        <v>8.9650000000000007E-2</v>
      </c>
      <c r="P7" s="620">
        <f t="shared" si="3"/>
        <v>2.145E-2</v>
      </c>
      <c r="Q7" s="157">
        <f t="shared" si="0"/>
        <v>0.52488140170556452</v>
      </c>
      <c r="R7" s="158">
        <f t="shared" si="1"/>
        <v>0.53551112188713346</v>
      </c>
      <c r="S7" s="542">
        <f t="shared" si="4"/>
        <v>6929.7686755055047</v>
      </c>
      <c r="T7" s="619">
        <f t="shared" si="5"/>
        <v>5882.2307721629486</v>
      </c>
    </row>
    <row r="8" spans="1:39" ht="12.75" customHeight="1" x14ac:dyDescent="0.2">
      <c r="A8" s="144">
        <v>3</v>
      </c>
      <c r="B8" s="2358" t="s">
        <v>254</v>
      </c>
      <c r="C8" s="2362" t="s">
        <v>361</v>
      </c>
      <c r="D8" s="145" t="s">
        <v>39</v>
      </c>
      <c r="E8" s="2823" t="s">
        <v>102</v>
      </c>
      <c r="F8" s="146">
        <v>1</v>
      </c>
      <c r="G8" s="275">
        <f>'СР1(1)'!AG5</f>
        <v>0.72247236889234412</v>
      </c>
      <c r="H8" s="278">
        <f>'СР1(1)'!AH5</f>
        <v>0.73376465925292444</v>
      </c>
      <c r="I8" s="147"/>
      <c r="J8" s="660"/>
      <c r="K8" s="660"/>
      <c r="L8" s="149">
        <v>0.36</v>
      </c>
      <c r="M8" s="687"/>
      <c r="N8" s="134"/>
      <c r="O8" s="620">
        <f t="shared" si="2"/>
        <v>3.024E-2</v>
      </c>
      <c r="P8" s="620">
        <f t="shared" si="3"/>
        <v>1.3319999999999999E-2</v>
      </c>
      <c r="Q8" s="157">
        <f t="shared" si="0"/>
        <v>0.7364135167962409</v>
      </c>
      <c r="R8" s="158">
        <f t="shared" si="1"/>
        <v>0.74769642615907839</v>
      </c>
      <c r="S8" s="542">
        <f t="shared" si="4"/>
        <v>4939.217726093224</v>
      </c>
      <c r="T8" s="619">
        <f t="shared" si="5"/>
        <v>4212.9397570904166</v>
      </c>
    </row>
    <row r="9" spans="1:39" ht="12.75" customHeight="1" x14ac:dyDescent="0.2">
      <c r="A9" s="144">
        <v>3</v>
      </c>
      <c r="B9" s="2307"/>
      <c r="C9" s="2483"/>
      <c r="D9" s="145" t="s">
        <v>39</v>
      </c>
      <c r="E9" s="2824"/>
      <c r="F9" s="146">
        <v>2</v>
      </c>
      <c r="G9" s="275">
        <f>'СР1(1)'!AG6</f>
        <v>0.47749064195612462</v>
      </c>
      <c r="H9" s="278">
        <f>'СР1(1)'!AH6</f>
        <v>0.48727431429213924</v>
      </c>
      <c r="I9" s="147"/>
      <c r="J9" s="660"/>
      <c r="K9" s="660"/>
      <c r="L9" s="149">
        <v>0.36</v>
      </c>
      <c r="M9" s="687"/>
      <c r="N9" s="134"/>
      <c r="O9" s="620">
        <f t="shared" si="2"/>
        <v>3.024E-2</v>
      </c>
      <c r="P9" s="620">
        <f t="shared" si="3"/>
        <v>1.3319999999999999E-2</v>
      </c>
      <c r="Q9" s="157">
        <f t="shared" si="0"/>
        <v>0.49174133836538814</v>
      </c>
      <c r="R9" s="158">
        <f t="shared" si="1"/>
        <v>0.5015068544911595</v>
      </c>
      <c r="S9" s="542">
        <f t="shared" si="4"/>
        <v>7396.7885392461021</v>
      </c>
      <c r="T9" s="619">
        <f t="shared" si="5"/>
        <v>6281.0706808704799</v>
      </c>
    </row>
    <row r="10" spans="1:39" ht="12.75" customHeight="1" x14ac:dyDescent="0.2">
      <c r="A10" s="144">
        <v>3</v>
      </c>
      <c r="B10" s="2359"/>
      <c r="C10" s="2363"/>
      <c r="D10" s="145" t="s">
        <v>39</v>
      </c>
      <c r="E10" s="146" t="s">
        <v>256</v>
      </c>
      <c r="F10" s="146">
        <v>2</v>
      </c>
      <c r="G10" s="275">
        <f>Q14</f>
        <v>0.49761849282184428</v>
      </c>
      <c r="H10" s="278">
        <f>R14</f>
        <v>0.50840327167546695</v>
      </c>
      <c r="I10" s="147">
        <v>0.18</v>
      </c>
      <c r="J10" s="660"/>
      <c r="K10" s="660"/>
      <c r="L10" s="149"/>
      <c r="M10" s="687"/>
      <c r="N10" s="134"/>
      <c r="O10" s="620">
        <f>0.129*I10+0.129*J10+0.163*K10+0.084*L10+0.0215*M10+0.039*N10</f>
        <v>2.3220000000000001E-2</v>
      </c>
      <c r="P10" s="620">
        <f t="shared" si="3"/>
        <v>1.2779999999999998E-2</v>
      </c>
      <c r="Q10" s="157">
        <f t="shared" si="0"/>
        <v>0.51092640357962538</v>
      </c>
      <c r="R10" s="158">
        <f t="shared" si="1"/>
        <v>0.52170026938304681</v>
      </c>
      <c r="S10" s="542">
        <f t="shared" si="4"/>
        <v>7119.0423325377933</v>
      </c>
      <c r="T10" s="619">
        <f t="shared" si="5"/>
        <v>6037.9497287305076</v>
      </c>
    </row>
    <row r="11" spans="1:39" ht="12.75" customHeight="1" x14ac:dyDescent="0.2">
      <c r="A11" s="144">
        <v>3</v>
      </c>
      <c r="B11" s="2358" t="s">
        <v>368</v>
      </c>
      <c r="C11" s="2362" t="s">
        <v>361</v>
      </c>
      <c r="D11" s="145" t="s">
        <v>39</v>
      </c>
      <c r="E11" s="2823" t="s">
        <v>102</v>
      </c>
      <c r="F11" s="146">
        <v>1</v>
      </c>
      <c r="G11" s="275">
        <f>'СР1(1)'!AG5</f>
        <v>0.72247236889234412</v>
      </c>
      <c r="H11" s="278">
        <f>'СР1(1)'!AH5</f>
        <v>0.73376465925292444</v>
      </c>
      <c r="I11" s="147"/>
      <c r="J11" s="660"/>
      <c r="K11" s="660"/>
      <c r="L11" s="149"/>
      <c r="M11" s="687"/>
      <c r="N11" s="134">
        <v>0.36</v>
      </c>
      <c r="O11" s="620">
        <f t="shared" si="2"/>
        <v>1.4039999999999999E-2</v>
      </c>
      <c r="P11" s="620">
        <f t="shared" si="3"/>
        <v>1.2959999999999999E-2</v>
      </c>
      <c r="Q11" s="157">
        <f>SQRT(O11^2+(G11+P11)^2)</f>
        <v>0.73556637417340176</v>
      </c>
      <c r="R11" s="158">
        <f>SQRT(O11^2+(H11+P11)^2)</f>
        <v>0.74685663840953842</v>
      </c>
      <c r="S11" s="542">
        <f>6300/(SQRT(3)*Q11)</f>
        <v>4944.9061615712017</v>
      </c>
      <c r="T11" s="619">
        <f>6300/(2*R11)</f>
        <v>4217.6769114726667</v>
      </c>
    </row>
    <row r="12" spans="1:39" ht="12.75" customHeight="1" x14ac:dyDescent="0.2">
      <c r="A12" s="144">
        <v>3</v>
      </c>
      <c r="B12" s="2359"/>
      <c r="C12" s="2363"/>
      <c r="D12" s="145" t="s">
        <v>39</v>
      </c>
      <c r="E12" s="2824"/>
      <c r="F12" s="146">
        <v>2</v>
      </c>
      <c r="G12" s="275">
        <f>'СР1(1)'!AG6</f>
        <v>0.47749064195612462</v>
      </c>
      <c r="H12" s="278">
        <f>'СР1(1)'!AH6</f>
        <v>0.48727431429213924</v>
      </c>
      <c r="I12" s="147"/>
      <c r="J12" s="660"/>
      <c r="K12" s="660"/>
      <c r="L12" s="149"/>
      <c r="M12" s="687"/>
      <c r="N12" s="134">
        <v>0.36</v>
      </c>
      <c r="O12" s="620">
        <f t="shared" si="2"/>
        <v>1.4039999999999999E-2</v>
      </c>
      <c r="P12" s="620">
        <f t="shared" si="3"/>
        <v>1.2959999999999999E-2</v>
      </c>
      <c r="Q12" s="157">
        <f>SQRT(O12^2+(G12+P12)^2)</f>
        <v>0.49065156047359593</v>
      </c>
      <c r="R12" s="158">
        <f>SQRT(O12^2+(H12+P12)^2)</f>
        <v>0.50043130477152087</v>
      </c>
      <c r="S12" s="542">
        <f>6300/(SQRT(3)*Q12)</f>
        <v>7413.2174213076441</v>
      </c>
      <c r="T12" s="619">
        <f>6300/(2*R12)</f>
        <v>6294.5702436384909</v>
      </c>
    </row>
    <row r="13" spans="1:39" ht="12.75" customHeight="1" x14ac:dyDescent="0.2">
      <c r="A13" s="144">
        <v>3</v>
      </c>
      <c r="B13" s="2358" t="s">
        <v>255</v>
      </c>
      <c r="C13" s="2362" t="s">
        <v>361</v>
      </c>
      <c r="D13" s="145" t="s">
        <v>39</v>
      </c>
      <c r="E13" s="2823" t="s">
        <v>155</v>
      </c>
      <c r="F13" s="146">
        <v>1</v>
      </c>
      <c r="G13" s="275">
        <f>'СР1(1)'!AG7</f>
        <v>0.4986180642726098</v>
      </c>
      <c r="H13" s="278">
        <f>'СР1(1)'!AH7</f>
        <v>0.51106548277326647</v>
      </c>
      <c r="I13" s="147"/>
      <c r="J13" s="660"/>
      <c r="K13" s="660"/>
      <c r="L13" s="149"/>
      <c r="M13" s="687">
        <v>0.16</v>
      </c>
      <c r="N13" s="134"/>
      <c r="O13" s="620">
        <f t="shared" si="2"/>
        <v>3.4399999999999999E-3</v>
      </c>
      <c r="P13" s="620">
        <f t="shared" si="3"/>
        <v>1.8879999999999999E-3</v>
      </c>
      <c r="Q13" s="157">
        <f>SQRT(O13^2+(G13+P13)^2)</f>
        <v>0.50051788576798917</v>
      </c>
      <c r="R13" s="158">
        <f>SQRT(O13^2+(H13+P13)^2)</f>
        <v>0.51296501741271183</v>
      </c>
      <c r="S13" s="542">
        <f t="shared" si="4"/>
        <v>7267.0863505978396</v>
      </c>
      <c r="T13" s="619">
        <f t="shared" si="5"/>
        <v>6140.7696296483155</v>
      </c>
    </row>
    <row r="14" spans="1:39" ht="12.75" customHeight="1" x14ac:dyDescent="0.2">
      <c r="A14" s="144">
        <v>3</v>
      </c>
      <c r="B14" s="2307"/>
      <c r="C14" s="2483"/>
      <c r="D14" s="145" t="s">
        <v>39</v>
      </c>
      <c r="E14" s="2824"/>
      <c r="F14" s="146">
        <v>2</v>
      </c>
      <c r="G14" s="275">
        <f>'СР1(1)'!AG8</f>
        <v>0.49571860244643445</v>
      </c>
      <c r="H14" s="278">
        <f>'СР1(1)'!AH8</f>
        <v>0.50650363353690098</v>
      </c>
      <c r="I14" s="147"/>
      <c r="J14" s="660"/>
      <c r="K14" s="660"/>
      <c r="L14" s="149"/>
      <c r="M14" s="687">
        <v>0.16</v>
      </c>
      <c r="N14" s="134"/>
      <c r="O14" s="620">
        <f t="shared" si="2"/>
        <v>3.4399999999999999E-3</v>
      </c>
      <c r="P14" s="620">
        <f t="shared" si="3"/>
        <v>1.8879999999999999E-3</v>
      </c>
      <c r="Q14" s="157">
        <f t="shared" si="0"/>
        <v>0.49761849282184428</v>
      </c>
      <c r="R14" s="158">
        <f t="shared" si="1"/>
        <v>0.50840327167546695</v>
      </c>
      <c r="S14" s="542">
        <f t="shared" si="4"/>
        <v>7309.4283037364103</v>
      </c>
      <c r="T14" s="619">
        <f t="shared" si="5"/>
        <v>6195.8688613844406</v>
      </c>
    </row>
    <row r="15" spans="1:39" ht="12.75" customHeight="1" thickBot="1" x14ac:dyDescent="0.25">
      <c r="A15" s="144">
        <v>3</v>
      </c>
      <c r="B15" s="2308"/>
      <c r="C15" s="2364"/>
      <c r="D15" s="145" t="s">
        <v>39</v>
      </c>
      <c r="E15" s="146" t="s">
        <v>257</v>
      </c>
      <c r="F15" s="146">
        <v>2</v>
      </c>
      <c r="G15" s="275">
        <f>Q9</f>
        <v>0.49174133836538814</v>
      </c>
      <c r="H15" s="278">
        <f>R9</f>
        <v>0.5015068544911595</v>
      </c>
      <c r="I15" s="147">
        <v>0.18</v>
      </c>
      <c r="J15" s="660"/>
      <c r="K15" s="660"/>
      <c r="L15" s="149"/>
      <c r="M15" s="687"/>
      <c r="N15" s="692"/>
      <c r="O15" s="626">
        <f t="shared" si="2"/>
        <v>2.3220000000000001E-2</v>
      </c>
      <c r="P15" s="626">
        <f t="shared" si="3"/>
        <v>1.2779999999999998E-2</v>
      </c>
      <c r="Q15" s="157">
        <f t="shared" si="0"/>
        <v>0.50505539227494889</v>
      </c>
      <c r="R15" s="158">
        <f t="shared" si="1"/>
        <v>0.51481077795867003</v>
      </c>
      <c r="S15" s="542">
        <f t="shared" si="4"/>
        <v>7201.7975682051847</v>
      </c>
      <c r="T15" s="619">
        <f t="shared" si="5"/>
        <v>6118.7530154096503</v>
      </c>
    </row>
    <row r="16" spans="1:39" ht="12.75" customHeight="1" x14ac:dyDescent="0.2">
      <c r="A16" s="257">
        <v>3</v>
      </c>
      <c r="B16" s="2478" t="s">
        <v>253</v>
      </c>
      <c r="C16" s="2484" t="s">
        <v>361</v>
      </c>
      <c r="D16" s="643" t="s">
        <v>35</v>
      </c>
      <c r="E16" s="2825" t="s">
        <v>102</v>
      </c>
      <c r="F16" s="231">
        <v>1</v>
      </c>
      <c r="G16" s="630">
        <f>'СР1(1)'!AG11</f>
        <v>0.861679227899942</v>
      </c>
      <c r="H16" s="682">
        <f>'СР1(1)'!AH11</f>
        <v>0.87291042525987972</v>
      </c>
      <c r="I16" s="234"/>
      <c r="J16" s="664">
        <v>0.71</v>
      </c>
      <c r="K16" s="664"/>
      <c r="L16" s="236"/>
      <c r="M16" s="688"/>
      <c r="N16" s="251"/>
      <c r="O16" s="567">
        <f t="shared" si="2"/>
        <v>9.1590000000000005E-2</v>
      </c>
      <c r="P16" s="677">
        <f t="shared" si="3"/>
        <v>5.040999999999999E-2</v>
      </c>
      <c r="Q16" s="139">
        <f t="shared" ref="Q16:Q26" si="6">SQRT(O16^2+(G16+P16)^2)</f>
        <v>0.91667632660122311</v>
      </c>
      <c r="R16" s="140">
        <f t="shared" ref="R16:R26" si="7">SQRT(O16^2+(H16+P16)^2)</f>
        <v>0.92785200102283827</v>
      </c>
      <c r="S16" s="319">
        <f t="shared" ref="S16:S26" si="8">6300/(SQRT(3)*Q16)</f>
        <v>3967.9291265006791</v>
      </c>
      <c r="T16" s="665">
        <f t="shared" ref="T16:T26" si="9">6300/(2*R16)</f>
        <v>3394.9379820569739</v>
      </c>
    </row>
    <row r="17" spans="1:20" ht="12.75" customHeight="1" x14ac:dyDescent="0.2">
      <c r="A17" s="256">
        <v>3</v>
      </c>
      <c r="B17" s="2365"/>
      <c r="C17" s="2373"/>
      <c r="D17" s="644" t="s">
        <v>35</v>
      </c>
      <c r="E17" s="2826"/>
      <c r="F17" s="210">
        <v>2</v>
      </c>
      <c r="G17" s="308">
        <f>'СР1(1)'!AG12</f>
        <v>0.61856953299580542</v>
      </c>
      <c r="H17" s="309">
        <f>'СР1(1)'!AH12</f>
        <v>0.62825062853217339</v>
      </c>
      <c r="I17" s="213"/>
      <c r="J17" s="666">
        <v>0.71</v>
      </c>
      <c r="K17" s="666"/>
      <c r="L17" s="215"/>
      <c r="M17" s="689"/>
      <c r="N17" s="203"/>
      <c r="O17" s="678">
        <f t="shared" si="2"/>
        <v>9.1590000000000005E-2</v>
      </c>
      <c r="P17" s="679">
        <f t="shared" si="3"/>
        <v>5.040999999999999E-2</v>
      </c>
      <c r="Q17" s="157">
        <f t="shared" si="6"/>
        <v>0.67522021864521053</v>
      </c>
      <c r="R17" s="158">
        <f t="shared" si="7"/>
        <v>0.68481309626764919</v>
      </c>
      <c r="S17" s="341">
        <f t="shared" si="8"/>
        <v>5386.8450550735633</v>
      </c>
      <c r="T17" s="667">
        <f t="shared" si="9"/>
        <v>4599.7952100624962</v>
      </c>
    </row>
    <row r="18" spans="1:20" ht="12.75" customHeight="1" x14ac:dyDescent="0.2">
      <c r="A18" s="256">
        <v>3</v>
      </c>
      <c r="B18" s="2366"/>
      <c r="C18" s="2372"/>
      <c r="D18" s="644" t="s">
        <v>35</v>
      </c>
      <c r="E18" s="210" t="s">
        <v>155</v>
      </c>
      <c r="F18" s="210">
        <v>2</v>
      </c>
      <c r="G18" s="308">
        <f>'СР1(1)'!AG14</f>
        <v>0.64138871997142011</v>
      </c>
      <c r="H18" s="309">
        <f>'СР1(1)'!AH14</f>
        <v>0.65205425996082489</v>
      </c>
      <c r="I18" s="213"/>
      <c r="J18" s="666"/>
      <c r="K18" s="666">
        <v>0.55000000000000004</v>
      </c>
      <c r="L18" s="215"/>
      <c r="M18" s="689"/>
      <c r="N18" s="203"/>
      <c r="O18" s="678">
        <f t="shared" si="2"/>
        <v>8.9650000000000007E-2</v>
      </c>
      <c r="P18" s="679">
        <f t="shared" si="3"/>
        <v>2.145E-2</v>
      </c>
      <c r="Q18" s="157">
        <f t="shared" si="6"/>
        <v>0.66887389782630224</v>
      </c>
      <c r="R18" s="158">
        <f t="shared" si="7"/>
        <v>0.67944470759980047</v>
      </c>
      <c r="S18" s="341">
        <f t="shared" si="8"/>
        <v>5437.9558055937223</v>
      </c>
      <c r="T18" s="667">
        <f t="shared" si="9"/>
        <v>4636.13884215488</v>
      </c>
    </row>
    <row r="19" spans="1:20" ht="12.75" customHeight="1" x14ac:dyDescent="0.2">
      <c r="A19" s="256">
        <v>3</v>
      </c>
      <c r="B19" s="2369" t="s">
        <v>254</v>
      </c>
      <c r="C19" s="2371" t="s">
        <v>361</v>
      </c>
      <c r="D19" s="644" t="s">
        <v>35</v>
      </c>
      <c r="E19" s="2821" t="s">
        <v>102</v>
      </c>
      <c r="F19" s="210">
        <v>1</v>
      </c>
      <c r="G19" s="308">
        <f>'СР1(1)'!AG11</f>
        <v>0.861679227899942</v>
      </c>
      <c r="H19" s="309">
        <f>'СР1(1)'!AH11</f>
        <v>0.87291042525987972</v>
      </c>
      <c r="I19" s="213"/>
      <c r="J19" s="666"/>
      <c r="K19" s="666"/>
      <c r="L19" s="215">
        <v>0.36</v>
      </c>
      <c r="M19" s="689"/>
      <c r="N19" s="203"/>
      <c r="O19" s="678">
        <f t="shared" si="2"/>
        <v>3.024E-2</v>
      </c>
      <c r="P19" s="679">
        <f t="shared" si="3"/>
        <v>1.3319999999999999E-2</v>
      </c>
      <c r="Q19" s="157">
        <f t="shared" si="6"/>
        <v>0.87552161962197972</v>
      </c>
      <c r="R19" s="158">
        <f t="shared" si="7"/>
        <v>0.88674620058746634</v>
      </c>
      <c r="S19" s="341">
        <f t="shared" si="8"/>
        <v>4154.445320796427</v>
      </c>
      <c r="T19" s="667">
        <f t="shared" si="9"/>
        <v>3552.3129367942438</v>
      </c>
    </row>
    <row r="20" spans="1:20" ht="12.75" customHeight="1" x14ac:dyDescent="0.2">
      <c r="A20" s="256">
        <v>3</v>
      </c>
      <c r="B20" s="2365"/>
      <c r="C20" s="2373"/>
      <c r="D20" s="644" t="s">
        <v>35</v>
      </c>
      <c r="E20" s="2826"/>
      <c r="F20" s="210">
        <v>2</v>
      </c>
      <c r="G20" s="308">
        <f>'СР1(1)'!AG12</f>
        <v>0.61856953299580542</v>
      </c>
      <c r="H20" s="309">
        <f>'СР1(1)'!AH12</f>
        <v>0.62825062853217339</v>
      </c>
      <c r="I20" s="213"/>
      <c r="J20" s="666"/>
      <c r="K20" s="666"/>
      <c r="L20" s="215">
        <v>0.36</v>
      </c>
      <c r="M20" s="689"/>
      <c r="N20" s="203"/>
      <c r="O20" s="678">
        <f t="shared" si="2"/>
        <v>3.024E-2</v>
      </c>
      <c r="P20" s="679">
        <f t="shared" si="3"/>
        <v>1.3319999999999999E-2</v>
      </c>
      <c r="Q20" s="157">
        <f t="shared" si="6"/>
        <v>0.63261270893782795</v>
      </c>
      <c r="R20" s="158">
        <f t="shared" si="7"/>
        <v>0.64228290417476319</v>
      </c>
      <c r="S20" s="341">
        <f t="shared" si="8"/>
        <v>5749.6579573966637</v>
      </c>
      <c r="T20" s="667">
        <f t="shared" si="9"/>
        <v>4904.3808881185705</v>
      </c>
    </row>
    <row r="21" spans="1:20" ht="12.75" customHeight="1" x14ac:dyDescent="0.2">
      <c r="A21" s="256">
        <v>3</v>
      </c>
      <c r="B21" s="2366"/>
      <c r="C21" s="2372"/>
      <c r="D21" s="644" t="s">
        <v>35</v>
      </c>
      <c r="E21" s="210" t="s">
        <v>256</v>
      </c>
      <c r="F21" s="210">
        <v>2</v>
      </c>
      <c r="G21" s="308">
        <f>Q25</f>
        <v>0.64328591781352473</v>
      </c>
      <c r="H21" s="309">
        <f>R25</f>
        <v>0.65395130779185007</v>
      </c>
      <c r="I21" s="213">
        <v>0.18</v>
      </c>
      <c r="J21" s="666"/>
      <c r="K21" s="666"/>
      <c r="L21" s="215"/>
      <c r="M21" s="689"/>
      <c r="N21" s="203"/>
      <c r="O21" s="678">
        <f t="shared" si="2"/>
        <v>2.3220000000000001E-2</v>
      </c>
      <c r="P21" s="679">
        <f t="shared" si="3"/>
        <v>1.2779999999999998E-2</v>
      </c>
      <c r="Q21" s="157">
        <f t="shared" si="6"/>
        <v>0.65647669944675313</v>
      </c>
      <c r="R21" s="158">
        <f t="shared" si="7"/>
        <v>0.66713552235646301</v>
      </c>
      <c r="S21" s="341">
        <f t="shared" si="8"/>
        <v>5540.648585029734</v>
      </c>
      <c r="T21" s="667">
        <f t="shared" si="9"/>
        <v>4721.6793206776601</v>
      </c>
    </row>
    <row r="22" spans="1:20" ht="12.75" customHeight="1" x14ac:dyDescent="0.2">
      <c r="A22" s="256">
        <v>3</v>
      </c>
      <c r="B22" s="2369" t="s">
        <v>368</v>
      </c>
      <c r="C22" s="2371" t="s">
        <v>361</v>
      </c>
      <c r="D22" s="644" t="s">
        <v>35</v>
      </c>
      <c r="E22" s="2821" t="s">
        <v>102</v>
      </c>
      <c r="F22" s="210">
        <v>1</v>
      </c>
      <c r="G22" s="308">
        <f>'СР1(1)'!AG11</f>
        <v>0.861679227899942</v>
      </c>
      <c r="H22" s="309">
        <f>'СР1(1)'!AH11</f>
        <v>0.87291042525987972</v>
      </c>
      <c r="I22" s="213"/>
      <c r="J22" s="666"/>
      <c r="K22" s="666"/>
      <c r="L22" s="215"/>
      <c r="M22" s="689"/>
      <c r="N22" s="203">
        <v>0.36</v>
      </c>
      <c r="O22" s="678">
        <f>0.129*I22+0.129*J22+0.163*K22+0.084*L22+0.0215*M22+0.039*N22</f>
        <v>1.4039999999999999E-2</v>
      </c>
      <c r="P22" s="679">
        <f>0.071*I22+0.071*J22+0.039*K22+0.037*L22+0.0118*M22+0.036*N22</f>
        <v>1.2959999999999999E-2</v>
      </c>
      <c r="Q22" s="157">
        <f>SQRT(O22^2+(G22+P22)^2)</f>
        <v>0.87475190801815728</v>
      </c>
      <c r="R22" s="158">
        <f>SQRT(O22^2+(H22+P22)^2)</f>
        <v>0.88598167698328845</v>
      </c>
      <c r="S22" s="341">
        <f>6300/(SQRT(3)*Q22)</f>
        <v>4158.1008998715361</v>
      </c>
      <c r="T22" s="667">
        <f>6300/(2*R22)</f>
        <v>3555.3782677826371</v>
      </c>
    </row>
    <row r="23" spans="1:20" ht="12.75" customHeight="1" x14ac:dyDescent="0.2">
      <c r="A23" s="256">
        <v>3</v>
      </c>
      <c r="B23" s="2366"/>
      <c r="C23" s="2372"/>
      <c r="D23" s="644" t="s">
        <v>35</v>
      </c>
      <c r="E23" s="2826"/>
      <c r="F23" s="210">
        <v>2</v>
      </c>
      <c r="G23" s="308">
        <f>'СР1(1)'!AG12</f>
        <v>0.61856953299580542</v>
      </c>
      <c r="H23" s="309">
        <f>'СР1(1)'!AH12</f>
        <v>0.62825062853217339</v>
      </c>
      <c r="I23" s="213"/>
      <c r="J23" s="666"/>
      <c r="K23" s="666"/>
      <c r="L23" s="215"/>
      <c r="M23" s="689"/>
      <c r="N23" s="203">
        <v>0.36</v>
      </c>
      <c r="O23" s="678">
        <f>0.129*I23+0.129*J23+0.163*K23+0.084*L23+0.0215*M23+0.039*N23</f>
        <v>1.4039999999999999E-2</v>
      </c>
      <c r="P23" s="679">
        <f>0.071*I23+0.071*J23+0.039*K23+0.037*L23+0.0118*M23+0.036*N23</f>
        <v>1.2959999999999999E-2</v>
      </c>
      <c r="Q23" s="157">
        <f>SQRT(O23^2+(G23+P23)^2)</f>
        <v>0.6316855805271322</v>
      </c>
      <c r="R23" s="158">
        <f>SQRT(O23^2+(H23+P23)^2)</f>
        <v>0.64136432060306003</v>
      </c>
      <c r="S23" s="341">
        <f>6300/(SQRT(3)*Q23)</f>
        <v>5758.0967620938327</v>
      </c>
      <c r="T23" s="667">
        <f>6300/(2*R23)</f>
        <v>4911.4051075340894</v>
      </c>
    </row>
    <row r="24" spans="1:20" ht="12.75" customHeight="1" x14ac:dyDescent="0.2">
      <c r="A24" s="256">
        <v>3</v>
      </c>
      <c r="B24" s="2369" t="s">
        <v>255</v>
      </c>
      <c r="C24" s="2371" t="s">
        <v>361</v>
      </c>
      <c r="D24" s="644" t="s">
        <v>35</v>
      </c>
      <c r="E24" s="2821" t="s">
        <v>155</v>
      </c>
      <c r="F24" s="210">
        <v>1</v>
      </c>
      <c r="G24" s="308">
        <f>'СР1(1)'!AG13</f>
        <v>0.64425566894006392</v>
      </c>
      <c r="H24" s="309">
        <f>'СР1(1)'!AH13</f>
        <v>0.65656673499588114</v>
      </c>
      <c r="I24" s="213"/>
      <c r="J24" s="666"/>
      <c r="K24" s="666"/>
      <c r="L24" s="215"/>
      <c r="M24" s="689">
        <v>0.16</v>
      </c>
      <c r="N24" s="203"/>
      <c r="O24" s="678">
        <f t="shared" si="2"/>
        <v>3.4399999999999999E-3</v>
      </c>
      <c r="P24" s="679">
        <f t="shared" si="3"/>
        <v>1.8879999999999999E-3</v>
      </c>
      <c r="Q24" s="157">
        <f t="shared" si="6"/>
        <v>0.64615282597178736</v>
      </c>
      <c r="R24" s="158">
        <f t="shared" si="7"/>
        <v>0.65846372082180504</v>
      </c>
      <c r="S24" s="341">
        <f t="shared" si="8"/>
        <v>5629.1740122381761</v>
      </c>
      <c r="T24" s="667">
        <f t="shared" si="9"/>
        <v>4783.8626493629708</v>
      </c>
    </row>
    <row r="25" spans="1:20" ht="12.75" customHeight="1" x14ac:dyDescent="0.2">
      <c r="A25" s="256">
        <v>3</v>
      </c>
      <c r="B25" s="2365"/>
      <c r="C25" s="2373"/>
      <c r="D25" s="644" t="s">
        <v>35</v>
      </c>
      <c r="E25" s="2826"/>
      <c r="F25" s="210">
        <v>2</v>
      </c>
      <c r="G25" s="308">
        <f>'СР1(1)'!AG14</f>
        <v>0.64138871997142011</v>
      </c>
      <c r="H25" s="309">
        <f>'СР1(1)'!AH14</f>
        <v>0.65205425996082489</v>
      </c>
      <c r="I25" s="213"/>
      <c r="J25" s="666"/>
      <c r="K25" s="666"/>
      <c r="L25" s="215"/>
      <c r="M25" s="689">
        <v>0.16</v>
      </c>
      <c r="N25" s="203"/>
      <c r="O25" s="678">
        <f t="shared" si="2"/>
        <v>3.4399999999999999E-3</v>
      </c>
      <c r="P25" s="679">
        <f t="shared" si="3"/>
        <v>1.8879999999999999E-3</v>
      </c>
      <c r="Q25" s="157">
        <f t="shared" si="6"/>
        <v>0.64328591781352473</v>
      </c>
      <c r="R25" s="158">
        <f t="shared" si="7"/>
        <v>0.65395130779185007</v>
      </c>
      <c r="S25" s="341">
        <f t="shared" si="8"/>
        <v>5654.2613403656424</v>
      </c>
      <c r="T25" s="667">
        <f t="shared" si="9"/>
        <v>4816.872391671448</v>
      </c>
    </row>
    <row r="26" spans="1:20" ht="12.75" customHeight="1" thickBot="1" x14ac:dyDescent="0.25">
      <c r="A26" s="258">
        <v>3</v>
      </c>
      <c r="B26" s="2381"/>
      <c r="C26" s="2382"/>
      <c r="D26" s="645" t="s">
        <v>35</v>
      </c>
      <c r="E26" s="240" t="s">
        <v>257</v>
      </c>
      <c r="F26" s="240">
        <v>2</v>
      </c>
      <c r="G26" s="638">
        <f>Q20</f>
        <v>0.63261270893782795</v>
      </c>
      <c r="H26" s="683">
        <f>R20</f>
        <v>0.64228290417476319</v>
      </c>
      <c r="I26" s="242">
        <v>0.18</v>
      </c>
      <c r="J26" s="668"/>
      <c r="K26" s="668"/>
      <c r="L26" s="244"/>
      <c r="M26" s="690"/>
      <c r="N26" s="693"/>
      <c r="O26" s="680">
        <f t="shared" si="2"/>
        <v>2.3220000000000001E-2</v>
      </c>
      <c r="P26" s="681">
        <f t="shared" si="3"/>
        <v>1.2779999999999998E-2</v>
      </c>
      <c r="Q26" s="175">
        <f t="shared" si="6"/>
        <v>0.64581027953270298</v>
      </c>
      <c r="R26" s="176">
        <f t="shared" si="7"/>
        <v>0.65547431439063653</v>
      </c>
      <c r="S26" s="669">
        <f t="shared" si="8"/>
        <v>5632.1598016781863</v>
      </c>
      <c r="T26" s="670">
        <f t="shared" si="9"/>
        <v>4805.6803002698989</v>
      </c>
    </row>
    <row r="27" spans="1:20" ht="12.75" customHeight="1" x14ac:dyDescent="0.2">
      <c r="A27" s="418">
        <v>3</v>
      </c>
      <c r="B27" s="2383" t="s">
        <v>253</v>
      </c>
      <c r="C27" s="2492" t="s">
        <v>361</v>
      </c>
      <c r="D27" s="770" t="s">
        <v>35</v>
      </c>
      <c r="E27" s="2845" t="s">
        <v>102</v>
      </c>
      <c r="F27" s="420">
        <v>1</v>
      </c>
      <c r="G27" s="771">
        <f>'СР1(1)'!AG17</f>
        <v>0.87018455095180403</v>
      </c>
      <c r="H27" s="772">
        <f>'СР1(1)'!AH17</f>
        <v>0.88313198917470115</v>
      </c>
      <c r="I27" s="423"/>
      <c r="J27" s="773">
        <v>0.71</v>
      </c>
      <c r="K27" s="773"/>
      <c r="L27" s="425"/>
      <c r="M27" s="426"/>
      <c r="N27" s="774"/>
      <c r="O27" s="775">
        <f t="shared" si="2"/>
        <v>9.1590000000000005E-2</v>
      </c>
      <c r="P27" s="776">
        <f t="shared" si="3"/>
        <v>5.040999999999999E-2</v>
      </c>
      <c r="Q27" s="139">
        <f t="shared" si="0"/>
        <v>0.92513947885827119</v>
      </c>
      <c r="R27" s="140">
        <f t="shared" si="1"/>
        <v>0.93802418606998494</v>
      </c>
      <c r="S27" s="514">
        <f t="shared" si="4"/>
        <v>3931.6306124818052</v>
      </c>
      <c r="T27" s="794">
        <f t="shared" si="5"/>
        <v>3358.122366969525</v>
      </c>
    </row>
    <row r="28" spans="1:20" ht="12.75" customHeight="1" x14ac:dyDescent="0.2">
      <c r="A28" s="412">
        <v>3</v>
      </c>
      <c r="B28" s="2522"/>
      <c r="C28" s="2493"/>
      <c r="D28" s="777" t="s">
        <v>35</v>
      </c>
      <c r="E28" s="2844"/>
      <c r="F28" s="413">
        <v>2</v>
      </c>
      <c r="G28" s="778">
        <f>'СР1(1)'!AG18</f>
        <v>0.62641325747200061</v>
      </c>
      <c r="H28" s="779">
        <f>'СР1(1)'!AH18</f>
        <v>0.63932202725477427</v>
      </c>
      <c r="I28" s="485"/>
      <c r="J28" s="780">
        <v>0.71</v>
      </c>
      <c r="K28" s="780"/>
      <c r="L28" s="781"/>
      <c r="M28" s="782"/>
      <c r="N28" s="783"/>
      <c r="O28" s="784">
        <f t="shared" si="2"/>
        <v>9.1590000000000005E-2</v>
      </c>
      <c r="P28" s="785">
        <f t="shared" si="3"/>
        <v>5.040999999999999E-2</v>
      </c>
      <c r="Q28" s="157">
        <f t="shared" si="0"/>
        <v>0.68299227664374795</v>
      </c>
      <c r="R28" s="158">
        <f t="shared" si="1"/>
        <v>0.69578660343598209</v>
      </c>
      <c r="S28" s="795">
        <f t="shared" si="4"/>
        <v>5325.5458667388111</v>
      </c>
      <c r="T28" s="796">
        <f t="shared" si="5"/>
        <v>4527.2501431393612</v>
      </c>
    </row>
    <row r="29" spans="1:20" ht="12.75" customHeight="1" x14ac:dyDescent="0.2">
      <c r="A29" s="412">
        <v>3</v>
      </c>
      <c r="B29" s="2480"/>
      <c r="C29" s="2495"/>
      <c r="D29" s="777" t="s">
        <v>35</v>
      </c>
      <c r="E29" s="413" t="s">
        <v>155</v>
      </c>
      <c r="F29" s="413">
        <v>2</v>
      </c>
      <c r="G29" s="778">
        <f>'СР1(1)'!AG20</f>
        <v>0.64994385702108104</v>
      </c>
      <c r="H29" s="779">
        <f>'СР1(1)'!AH20</f>
        <v>0.66417133293078479</v>
      </c>
      <c r="I29" s="485"/>
      <c r="J29" s="780"/>
      <c r="K29" s="780">
        <v>0.55000000000000004</v>
      </c>
      <c r="L29" s="781"/>
      <c r="M29" s="782"/>
      <c r="N29" s="783"/>
      <c r="O29" s="784">
        <f t="shared" si="2"/>
        <v>8.9650000000000007E-2</v>
      </c>
      <c r="P29" s="785">
        <f t="shared" si="3"/>
        <v>2.145E-2</v>
      </c>
      <c r="Q29" s="157">
        <f t="shared" si="0"/>
        <v>0.67735281334445174</v>
      </c>
      <c r="R29" s="158">
        <f t="shared" si="1"/>
        <v>0.69145768827151377</v>
      </c>
      <c r="S29" s="795">
        <f t="shared" si="4"/>
        <v>5369.884976095871</v>
      </c>
      <c r="T29" s="796">
        <f t="shared" si="5"/>
        <v>4555.5932827564329</v>
      </c>
    </row>
    <row r="30" spans="1:20" ht="12.75" customHeight="1" x14ac:dyDescent="0.2">
      <c r="A30" s="412">
        <v>3</v>
      </c>
      <c r="B30" s="2481" t="s">
        <v>254</v>
      </c>
      <c r="C30" s="2494" t="s">
        <v>361</v>
      </c>
      <c r="D30" s="1000" t="s">
        <v>35</v>
      </c>
      <c r="E30" s="2843" t="s">
        <v>102</v>
      </c>
      <c r="F30" s="413">
        <v>1</v>
      </c>
      <c r="G30" s="778">
        <f>'СР1(1)'!AG17</f>
        <v>0.87018455095180403</v>
      </c>
      <c r="H30" s="779">
        <f>'СР1(1)'!AH17</f>
        <v>0.88313198917470115</v>
      </c>
      <c r="I30" s="485"/>
      <c r="J30" s="780"/>
      <c r="K30" s="780"/>
      <c r="L30" s="781">
        <v>0.36</v>
      </c>
      <c r="M30" s="782"/>
      <c r="N30" s="928"/>
      <c r="O30" s="1058">
        <f t="shared" si="2"/>
        <v>3.024E-2</v>
      </c>
      <c r="P30" s="1059">
        <f t="shared" si="3"/>
        <v>1.3319999999999999E-2</v>
      </c>
      <c r="Q30" s="157">
        <f t="shared" si="0"/>
        <v>0.88402191666980112</v>
      </c>
      <c r="R30" s="158">
        <f t="shared" si="1"/>
        <v>0.89696188686882261</v>
      </c>
      <c r="S30" s="515">
        <f t="shared" si="4"/>
        <v>4114.4983255581947</v>
      </c>
      <c r="T30" s="1060">
        <f t="shared" si="5"/>
        <v>3511.8549027721128</v>
      </c>
    </row>
    <row r="31" spans="1:20" ht="12.75" customHeight="1" x14ac:dyDescent="0.2">
      <c r="A31" s="412">
        <v>3</v>
      </c>
      <c r="B31" s="2522"/>
      <c r="C31" s="2493"/>
      <c r="D31" s="777" t="s">
        <v>35</v>
      </c>
      <c r="E31" s="2844"/>
      <c r="F31" s="413">
        <v>2</v>
      </c>
      <c r="G31" s="778">
        <f>'СР1(1)'!AG18</f>
        <v>0.62641325747200061</v>
      </c>
      <c r="H31" s="779">
        <f>'СР1(1)'!AH18</f>
        <v>0.63932202725477427</v>
      </c>
      <c r="I31" s="485"/>
      <c r="J31" s="780"/>
      <c r="K31" s="780"/>
      <c r="L31" s="781">
        <v>0.36</v>
      </c>
      <c r="M31" s="782"/>
      <c r="N31" s="783"/>
      <c r="O31" s="784">
        <f t="shared" si="2"/>
        <v>3.024E-2</v>
      </c>
      <c r="P31" s="785">
        <f t="shared" si="3"/>
        <v>1.3319999999999999E-2</v>
      </c>
      <c r="Q31" s="157">
        <f t="shared" si="0"/>
        <v>0.6404475765554406</v>
      </c>
      <c r="R31" s="158">
        <f t="shared" si="1"/>
        <v>0.65334223293708904</v>
      </c>
      <c r="S31" s="795">
        <f t="shared" si="4"/>
        <v>5679.3199459937032</v>
      </c>
      <c r="T31" s="796">
        <f t="shared" si="5"/>
        <v>4821.3628955826534</v>
      </c>
    </row>
    <row r="32" spans="1:20" ht="12.75" customHeight="1" x14ac:dyDescent="0.2">
      <c r="A32" s="412">
        <v>3</v>
      </c>
      <c r="B32" s="2480"/>
      <c r="C32" s="2495"/>
      <c r="D32" s="777" t="s">
        <v>35</v>
      </c>
      <c r="E32" s="413" t="s">
        <v>256</v>
      </c>
      <c r="F32" s="413">
        <v>2</v>
      </c>
      <c r="G32" s="778">
        <f>Q36</f>
        <v>0.65184093414540256</v>
      </c>
      <c r="H32" s="779">
        <f>R36</f>
        <v>0.66606821616423195</v>
      </c>
      <c r="I32" s="485">
        <v>0.18</v>
      </c>
      <c r="J32" s="780"/>
      <c r="K32" s="780"/>
      <c r="L32" s="781"/>
      <c r="M32" s="782"/>
      <c r="N32" s="783"/>
      <c r="O32" s="784">
        <f t="shared" si="2"/>
        <v>2.3220000000000001E-2</v>
      </c>
      <c r="P32" s="785">
        <f t="shared" si="3"/>
        <v>1.2779999999999998E-2</v>
      </c>
      <c r="Q32" s="157">
        <f t="shared" si="0"/>
        <v>0.66502643143284734</v>
      </c>
      <c r="R32" s="158">
        <f t="shared" si="1"/>
        <v>0.67924522007104315</v>
      </c>
      <c r="S32" s="795">
        <f t="shared" si="4"/>
        <v>5469.4167389073591</v>
      </c>
      <c r="T32" s="796">
        <f t="shared" si="5"/>
        <v>4637.5004297719424</v>
      </c>
    </row>
    <row r="33" spans="1:20" ht="12.75" customHeight="1" x14ac:dyDescent="0.2">
      <c r="A33" s="412">
        <v>3</v>
      </c>
      <c r="B33" s="2481" t="s">
        <v>368</v>
      </c>
      <c r="C33" s="2494" t="s">
        <v>361</v>
      </c>
      <c r="D33" s="777" t="s">
        <v>35</v>
      </c>
      <c r="E33" s="2843" t="s">
        <v>102</v>
      </c>
      <c r="F33" s="413">
        <v>1</v>
      </c>
      <c r="G33" s="778">
        <f>'СР1(1)'!AG17</f>
        <v>0.87018455095180403</v>
      </c>
      <c r="H33" s="779">
        <f>'СР1(1)'!AH17</f>
        <v>0.88313198917470115</v>
      </c>
      <c r="I33" s="485"/>
      <c r="J33" s="780"/>
      <c r="K33" s="780"/>
      <c r="L33" s="781"/>
      <c r="M33" s="782"/>
      <c r="N33" s="783">
        <v>0.36</v>
      </c>
      <c r="O33" s="784">
        <f>0.129*I33+0.129*J33+0.163*K33+0.084*L33+0.0215*M33+0.039*N33</f>
        <v>1.4039999999999999E-2</v>
      </c>
      <c r="P33" s="785">
        <f>0.071*I33+0.071*J33+0.039*K33+0.037*L33+0.0118*M33+0.036*N33</f>
        <v>1.2959999999999999E-2</v>
      </c>
      <c r="Q33" s="157">
        <f>SQRT(O33^2+(G33+P33)^2)</f>
        <v>0.88325614601646751</v>
      </c>
      <c r="R33" s="158">
        <f>SQRT(O33^2+(H33+P33)^2)</f>
        <v>0.89620197202587804</v>
      </c>
      <c r="S33" s="795">
        <f>6300/(SQRT(3)*Q33)</f>
        <v>4118.0655377254834</v>
      </c>
      <c r="T33" s="796">
        <f>6300/(2*R33)</f>
        <v>3514.8327032570323</v>
      </c>
    </row>
    <row r="34" spans="1:20" ht="12.75" customHeight="1" x14ac:dyDescent="0.2">
      <c r="A34" s="940">
        <v>3</v>
      </c>
      <c r="B34" s="2480"/>
      <c r="C34" s="2495"/>
      <c r="D34" s="777" t="s">
        <v>35</v>
      </c>
      <c r="E34" s="2844"/>
      <c r="F34" s="413">
        <v>2</v>
      </c>
      <c r="G34" s="778">
        <f>'СР1(1)'!AG18</f>
        <v>0.62641325747200061</v>
      </c>
      <c r="H34" s="779">
        <f>'СР1(1)'!AH18</f>
        <v>0.63932202725477427</v>
      </c>
      <c r="I34" s="485"/>
      <c r="J34" s="780"/>
      <c r="K34" s="780"/>
      <c r="L34" s="781"/>
      <c r="M34" s="782"/>
      <c r="N34" s="783">
        <v>0.36</v>
      </c>
      <c r="O34" s="784">
        <f>0.129*I34+0.129*J34+0.163*K34+0.084*L34+0.0215*M34+0.039*N34</f>
        <v>1.4039999999999999E-2</v>
      </c>
      <c r="P34" s="785">
        <f>0.071*I34+0.071*J34+0.039*K34+0.037*L34+0.0118*M34+0.036*N34</f>
        <v>1.2959999999999999E-2</v>
      </c>
      <c r="Q34" s="157">
        <f>SQRT(O34^2+(G34+P34)^2)</f>
        <v>0.63952739110249002</v>
      </c>
      <c r="R34" s="158">
        <f>SQRT(O34^2+(H34+P34)^2)</f>
        <v>0.65243311126857906</v>
      </c>
      <c r="S34" s="795">
        <f>6300/(SQRT(3)*Q34)</f>
        <v>5687.4916485191343</v>
      </c>
      <c r="T34" s="796">
        <f>6300/(2*R34)</f>
        <v>4828.0811405711729</v>
      </c>
    </row>
    <row r="35" spans="1:20" ht="12.75" customHeight="1" x14ac:dyDescent="0.2">
      <c r="A35" s="412">
        <v>3</v>
      </c>
      <c r="B35" s="2481" t="s">
        <v>255</v>
      </c>
      <c r="C35" s="2494" t="s">
        <v>361</v>
      </c>
      <c r="D35" s="777" t="s">
        <v>35</v>
      </c>
      <c r="E35" s="2843" t="s">
        <v>155</v>
      </c>
      <c r="F35" s="413">
        <v>1</v>
      </c>
      <c r="G35" s="778">
        <f>'СР1(1)'!AG19</f>
        <v>0.65270373259213488</v>
      </c>
      <c r="H35" s="779">
        <f>'СР1(1)'!AH19</f>
        <v>0.66693199031430572</v>
      </c>
      <c r="I35" s="485"/>
      <c r="J35" s="780"/>
      <c r="K35" s="780"/>
      <c r="L35" s="781"/>
      <c r="M35" s="782">
        <v>0.16</v>
      </c>
      <c r="N35" s="783"/>
      <c r="O35" s="784">
        <f t="shared" si="2"/>
        <v>3.4399999999999999E-3</v>
      </c>
      <c r="P35" s="785">
        <f t="shared" si="3"/>
        <v>1.8879999999999999E-3</v>
      </c>
      <c r="Q35" s="157">
        <f>SQRT(O35^2+(G35+P35)^2)</f>
        <v>0.65460077144620987</v>
      </c>
      <c r="R35" s="158">
        <f>SQRT(O35^2+(H35+P35)^2)</f>
        <v>0.66882883688132644</v>
      </c>
      <c r="S35" s="795">
        <f>6300/(SQRT(3)*Q35)</f>
        <v>5556.5267481410674</v>
      </c>
      <c r="T35" s="796">
        <f>6300/(2*R35)</f>
        <v>4709.7251588135696</v>
      </c>
    </row>
    <row r="36" spans="1:20" ht="12.75" customHeight="1" x14ac:dyDescent="0.2">
      <c r="A36" s="412">
        <v>3</v>
      </c>
      <c r="B36" s="2522"/>
      <c r="C36" s="2493"/>
      <c r="D36" s="777" t="s">
        <v>35</v>
      </c>
      <c r="E36" s="2844"/>
      <c r="F36" s="413">
        <v>2</v>
      </c>
      <c r="G36" s="778">
        <f>'СР1(1)'!AG20</f>
        <v>0.64994385702108104</v>
      </c>
      <c r="H36" s="779">
        <f>'СР1(1)'!AH20</f>
        <v>0.66417133293078479</v>
      </c>
      <c r="I36" s="485"/>
      <c r="J36" s="780"/>
      <c r="K36" s="780"/>
      <c r="L36" s="781"/>
      <c r="M36" s="782">
        <v>0.16</v>
      </c>
      <c r="N36" s="783"/>
      <c r="O36" s="784">
        <f t="shared" si="2"/>
        <v>3.4399999999999999E-3</v>
      </c>
      <c r="P36" s="785">
        <f t="shared" si="3"/>
        <v>1.8879999999999999E-3</v>
      </c>
      <c r="Q36" s="157">
        <f t="shared" si="0"/>
        <v>0.65184093414540256</v>
      </c>
      <c r="R36" s="158">
        <f t="shared" si="1"/>
        <v>0.66606821616423195</v>
      </c>
      <c r="S36" s="795">
        <f t="shared" si="4"/>
        <v>5580.0525946768612</v>
      </c>
      <c r="T36" s="796">
        <f t="shared" si="5"/>
        <v>4729.2453288647939</v>
      </c>
    </row>
    <row r="37" spans="1:20" ht="12.75" customHeight="1" thickBot="1" x14ac:dyDescent="0.25">
      <c r="A37" s="432">
        <v>3</v>
      </c>
      <c r="B37" s="2384"/>
      <c r="C37" s="2496"/>
      <c r="D37" s="787" t="s">
        <v>35</v>
      </c>
      <c r="E37" s="435" t="s">
        <v>257</v>
      </c>
      <c r="F37" s="435">
        <v>2</v>
      </c>
      <c r="G37" s="788">
        <f>Q31</f>
        <v>0.6404475765554406</v>
      </c>
      <c r="H37" s="789">
        <f>R31</f>
        <v>0.65334223293708904</v>
      </c>
      <c r="I37" s="438">
        <v>0.18</v>
      </c>
      <c r="J37" s="790"/>
      <c r="K37" s="790"/>
      <c r="L37" s="440"/>
      <c r="M37" s="441"/>
      <c r="N37" s="791"/>
      <c r="O37" s="792">
        <f t="shared" si="2"/>
        <v>2.3220000000000001E-2</v>
      </c>
      <c r="P37" s="793">
        <f t="shared" si="3"/>
        <v>1.2779999999999998E-2</v>
      </c>
      <c r="Q37" s="175">
        <f t="shared" si="0"/>
        <v>0.65364014195311937</v>
      </c>
      <c r="R37" s="176">
        <f t="shared" si="1"/>
        <v>0.66652681687468029</v>
      </c>
      <c r="S37" s="797">
        <f t="shared" si="4"/>
        <v>5564.6929593799623</v>
      </c>
      <c r="T37" s="798">
        <f t="shared" si="5"/>
        <v>4725.9913933699381</v>
      </c>
    </row>
    <row r="38" spans="1:20" ht="12.75" customHeight="1" x14ac:dyDescent="0.2">
      <c r="A38" s="738">
        <v>3</v>
      </c>
      <c r="B38" s="2374" t="s">
        <v>253</v>
      </c>
      <c r="C38" s="2486" t="s">
        <v>361</v>
      </c>
      <c r="D38" s="739" t="s">
        <v>35</v>
      </c>
      <c r="E38" s="2846" t="s">
        <v>102</v>
      </c>
      <c r="F38" s="740">
        <v>1</v>
      </c>
      <c r="G38" s="741">
        <f>'СР1(1)'!AG23</f>
        <v>1.0427401105790297</v>
      </c>
      <c r="H38" s="742">
        <f>'СР1(1)'!AH23</f>
        <v>1.0661226137893558</v>
      </c>
      <c r="I38" s="743"/>
      <c r="J38" s="744">
        <v>0.71</v>
      </c>
      <c r="K38" s="744"/>
      <c r="L38" s="745"/>
      <c r="M38" s="746"/>
      <c r="N38" s="747"/>
      <c r="O38" s="748">
        <f t="shared" ref="O38:O48" si="10">0.129*I38+0.129*J38+0.163*K38+0.084*L38+0.0215*M38+0.039*N38</f>
        <v>9.1590000000000005E-2</v>
      </c>
      <c r="P38" s="749">
        <f t="shared" ref="P38:P48" si="11">0.071*I38+0.071*J38+0.039*K38+0.037*L38+0.0118*M38+0.036*N38</f>
        <v>5.040999999999999E-2</v>
      </c>
      <c r="Q38" s="139">
        <f t="shared" ref="Q38:Q48" si="12">SQRT(O38^2+(G38+P38)^2)</f>
        <v>1.096980351856379</v>
      </c>
      <c r="R38" s="140">
        <f t="shared" ref="R38:R48" si="13">SQRT(O38^2+(H38+P38)^2)</f>
        <v>1.1202829132657923</v>
      </c>
      <c r="S38" s="808">
        <f t="shared" ref="S38:S48" si="14">6300/(SQRT(3)*Q38)</f>
        <v>3315.7446163364402</v>
      </c>
      <c r="T38" s="809">
        <f t="shared" ref="T38:T48" si="15">6300/(2*R38)</f>
        <v>2811.7897387341905</v>
      </c>
    </row>
    <row r="39" spans="1:20" ht="12.75" customHeight="1" x14ac:dyDescent="0.2">
      <c r="A39" s="750">
        <v>3</v>
      </c>
      <c r="B39" s="2523"/>
      <c r="C39" s="2487"/>
      <c r="D39" s="751" t="s">
        <v>35</v>
      </c>
      <c r="E39" s="2847"/>
      <c r="F39" s="753">
        <v>2</v>
      </c>
      <c r="G39" s="754">
        <f>'СР1(1)'!AG24</f>
        <v>0.8009654616152162</v>
      </c>
      <c r="H39" s="755">
        <f>'СР1(1)'!AH24</f>
        <v>0.82431849491414777</v>
      </c>
      <c r="I39" s="756"/>
      <c r="J39" s="757">
        <v>0.71</v>
      </c>
      <c r="K39" s="757"/>
      <c r="L39" s="758"/>
      <c r="M39" s="759"/>
      <c r="N39" s="577"/>
      <c r="O39" s="760">
        <f t="shared" si="10"/>
        <v>9.1590000000000005E-2</v>
      </c>
      <c r="P39" s="761">
        <f t="shared" si="11"/>
        <v>5.040999999999999E-2</v>
      </c>
      <c r="Q39" s="157">
        <f t="shared" si="12"/>
        <v>0.85628786324490336</v>
      </c>
      <c r="R39" s="158">
        <f t="shared" si="13"/>
        <v>0.87951047061122034</v>
      </c>
      <c r="S39" s="810">
        <f t="shared" si="14"/>
        <v>4247.7615904902195</v>
      </c>
      <c r="T39" s="811">
        <f t="shared" si="15"/>
        <v>3581.5378045594971</v>
      </c>
    </row>
    <row r="40" spans="1:20" ht="12.75" customHeight="1" x14ac:dyDescent="0.2">
      <c r="A40" s="750">
        <v>3</v>
      </c>
      <c r="B40" s="2485"/>
      <c r="C40" s="2490"/>
      <c r="D40" s="751" t="s">
        <v>35</v>
      </c>
      <c r="E40" s="753" t="s">
        <v>155</v>
      </c>
      <c r="F40" s="753">
        <v>2</v>
      </c>
      <c r="G40" s="754">
        <f>'СР1(1)'!AG26</f>
        <v>0.84258546738777507</v>
      </c>
      <c r="H40" s="755">
        <f>'СР1(1)'!AH26</f>
        <v>0.86830981975611443</v>
      </c>
      <c r="I40" s="756"/>
      <c r="J40" s="757"/>
      <c r="K40" s="757">
        <v>0.55000000000000004</v>
      </c>
      <c r="L40" s="758"/>
      <c r="M40" s="759"/>
      <c r="N40" s="577"/>
      <c r="O40" s="760">
        <f t="shared" si="10"/>
        <v>8.9650000000000007E-2</v>
      </c>
      <c r="P40" s="761">
        <f t="shared" si="11"/>
        <v>2.145E-2</v>
      </c>
      <c r="Q40" s="157">
        <f t="shared" si="12"/>
        <v>0.86867393848555796</v>
      </c>
      <c r="R40" s="158">
        <f t="shared" si="13"/>
        <v>0.89426487091489471</v>
      </c>
      <c r="S40" s="810">
        <f t="shared" si="14"/>
        <v>4187.1944520816478</v>
      </c>
      <c r="T40" s="811">
        <f t="shared" si="15"/>
        <v>3522.4463159078723</v>
      </c>
    </row>
    <row r="41" spans="1:20" ht="12.75" customHeight="1" x14ac:dyDescent="0.2">
      <c r="A41" s="750">
        <v>3</v>
      </c>
      <c r="B41" s="2488" t="s">
        <v>254</v>
      </c>
      <c r="C41" s="2489" t="s">
        <v>361</v>
      </c>
      <c r="D41" s="751" t="s">
        <v>35</v>
      </c>
      <c r="E41" s="2848" t="s">
        <v>102</v>
      </c>
      <c r="F41" s="753">
        <v>1</v>
      </c>
      <c r="G41" s="754">
        <f>'СР1(1)'!AG23</f>
        <v>1.0427401105790297</v>
      </c>
      <c r="H41" s="755">
        <f>'СР1(1)'!AH23</f>
        <v>1.0661226137893558</v>
      </c>
      <c r="I41" s="756"/>
      <c r="J41" s="757"/>
      <c r="K41" s="757"/>
      <c r="L41" s="758">
        <v>0.36</v>
      </c>
      <c r="M41" s="759"/>
      <c r="N41" s="577"/>
      <c r="O41" s="760">
        <f t="shared" si="10"/>
        <v>3.024E-2</v>
      </c>
      <c r="P41" s="761">
        <f t="shared" si="11"/>
        <v>1.3319999999999999E-2</v>
      </c>
      <c r="Q41" s="157">
        <f t="shared" si="12"/>
        <v>1.0564929790378128</v>
      </c>
      <c r="R41" s="158">
        <f t="shared" si="13"/>
        <v>1.0798661093230013</v>
      </c>
      <c r="S41" s="810">
        <f t="shared" si="14"/>
        <v>3442.8119902957346</v>
      </c>
      <c r="T41" s="811">
        <f t="shared" si="15"/>
        <v>2917.028298975717</v>
      </c>
    </row>
    <row r="42" spans="1:20" ht="12.75" customHeight="1" x14ac:dyDescent="0.2">
      <c r="A42" s="750">
        <v>3</v>
      </c>
      <c r="B42" s="2523"/>
      <c r="C42" s="2487"/>
      <c r="D42" s="751" t="s">
        <v>35</v>
      </c>
      <c r="E42" s="2847"/>
      <c r="F42" s="753">
        <v>2</v>
      </c>
      <c r="G42" s="754">
        <f>'СР1(1)'!AG24</f>
        <v>0.8009654616152162</v>
      </c>
      <c r="H42" s="755">
        <f>'СР1(1)'!AH24</f>
        <v>0.82431849491414777</v>
      </c>
      <c r="I42" s="756"/>
      <c r="J42" s="757"/>
      <c r="K42" s="757"/>
      <c r="L42" s="758">
        <v>0.36</v>
      </c>
      <c r="M42" s="759"/>
      <c r="N42" s="577"/>
      <c r="O42" s="760">
        <f t="shared" si="10"/>
        <v>3.024E-2</v>
      </c>
      <c r="P42" s="761">
        <f t="shared" si="11"/>
        <v>1.3319999999999999E-2</v>
      </c>
      <c r="Q42" s="157">
        <f t="shared" si="12"/>
        <v>0.8148467773746827</v>
      </c>
      <c r="R42" s="158">
        <f t="shared" si="13"/>
        <v>0.83818417174391857</v>
      </c>
      <c r="S42" s="810">
        <f t="shared" si="14"/>
        <v>4463.7922084118854</v>
      </c>
      <c r="T42" s="811">
        <f t="shared" si="15"/>
        <v>3758.1239376617409</v>
      </c>
    </row>
    <row r="43" spans="1:20" ht="12.75" customHeight="1" x14ac:dyDescent="0.2">
      <c r="A43" s="750">
        <v>3</v>
      </c>
      <c r="B43" s="2485"/>
      <c r="C43" s="2490"/>
      <c r="D43" s="751" t="s">
        <v>35</v>
      </c>
      <c r="E43" s="753" t="s">
        <v>256</v>
      </c>
      <c r="F43" s="753">
        <v>2</v>
      </c>
      <c r="G43" s="754">
        <f>Q47</f>
        <v>0.84448047385474323</v>
      </c>
      <c r="H43" s="755">
        <f>R47</f>
        <v>0.87020461910305613</v>
      </c>
      <c r="I43" s="756">
        <v>0.18</v>
      </c>
      <c r="J43" s="757"/>
      <c r="K43" s="757"/>
      <c r="L43" s="758"/>
      <c r="M43" s="759"/>
      <c r="N43" s="577"/>
      <c r="O43" s="760">
        <f t="shared" si="10"/>
        <v>2.3220000000000001E-2</v>
      </c>
      <c r="P43" s="761">
        <f t="shared" si="11"/>
        <v>1.2779999999999998E-2</v>
      </c>
      <c r="Q43" s="157">
        <f t="shared" si="12"/>
        <v>0.85757488794487147</v>
      </c>
      <c r="R43" s="158">
        <f t="shared" si="13"/>
        <v>0.883289876525577</v>
      </c>
      <c r="S43" s="810">
        <f t="shared" si="14"/>
        <v>4241.3866672463291</v>
      </c>
      <c r="T43" s="811">
        <f t="shared" si="15"/>
        <v>3566.2131806497468</v>
      </c>
    </row>
    <row r="44" spans="1:20" ht="12.75" customHeight="1" x14ac:dyDescent="0.2">
      <c r="A44" s="750">
        <v>3</v>
      </c>
      <c r="B44" s="2488" t="s">
        <v>368</v>
      </c>
      <c r="C44" s="2489" t="s">
        <v>361</v>
      </c>
      <c r="D44" s="751" t="s">
        <v>35</v>
      </c>
      <c r="E44" s="2848" t="s">
        <v>102</v>
      </c>
      <c r="F44" s="753">
        <v>1</v>
      </c>
      <c r="G44" s="754">
        <f>'СР1(1)'!AG23</f>
        <v>1.0427401105790297</v>
      </c>
      <c r="H44" s="755">
        <f>'СР1(1)'!AH23</f>
        <v>1.0661226137893558</v>
      </c>
      <c r="I44" s="756"/>
      <c r="J44" s="757"/>
      <c r="K44" s="757"/>
      <c r="L44" s="758"/>
      <c r="M44" s="759"/>
      <c r="N44" s="577">
        <v>0.36</v>
      </c>
      <c r="O44" s="760">
        <f t="shared" si="10"/>
        <v>1.4039999999999999E-2</v>
      </c>
      <c r="P44" s="761">
        <f t="shared" si="11"/>
        <v>1.2959999999999999E-2</v>
      </c>
      <c r="Q44" s="157">
        <f t="shared" si="12"/>
        <v>1.0557934670552644</v>
      </c>
      <c r="R44" s="158">
        <f t="shared" si="13"/>
        <v>1.0791739475091437</v>
      </c>
      <c r="S44" s="810">
        <f t="shared" si="14"/>
        <v>3445.0930124047181</v>
      </c>
      <c r="T44" s="811">
        <f t="shared" si="15"/>
        <v>2918.8992259038114</v>
      </c>
    </row>
    <row r="45" spans="1:20" ht="12.75" customHeight="1" x14ac:dyDescent="0.2">
      <c r="A45" s="750">
        <v>3</v>
      </c>
      <c r="B45" s="2485"/>
      <c r="C45" s="2490"/>
      <c r="D45" s="751" t="s">
        <v>35</v>
      </c>
      <c r="E45" s="2847"/>
      <c r="F45" s="753">
        <v>2</v>
      </c>
      <c r="G45" s="754">
        <f>'СР1(1)'!AG24</f>
        <v>0.8009654616152162</v>
      </c>
      <c r="H45" s="755">
        <f>'СР1(1)'!AH24</f>
        <v>0.82431849491414777</v>
      </c>
      <c r="I45" s="756"/>
      <c r="J45" s="757"/>
      <c r="K45" s="757"/>
      <c r="L45" s="758"/>
      <c r="M45" s="759"/>
      <c r="N45" s="577">
        <v>0.36</v>
      </c>
      <c r="O45" s="760">
        <f t="shared" si="10"/>
        <v>1.4039999999999999E-2</v>
      </c>
      <c r="P45" s="761">
        <f t="shared" si="11"/>
        <v>1.2959999999999999E-2</v>
      </c>
      <c r="Q45" s="157">
        <f t="shared" si="12"/>
        <v>0.81404654576107793</v>
      </c>
      <c r="R45" s="158">
        <f t="shared" si="13"/>
        <v>0.83739620231148681</v>
      </c>
      <c r="S45" s="810">
        <f t="shared" si="14"/>
        <v>4468.1802469833083</v>
      </c>
      <c r="T45" s="811">
        <f t="shared" si="15"/>
        <v>3761.660240761747</v>
      </c>
    </row>
    <row r="46" spans="1:20" ht="12.75" customHeight="1" x14ac:dyDescent="0.2">
      <c r="A46" s="750">
        <v>3</v>
      </c>
      <c r="B46" s="2488" t="s">
        <v>255</v>
      </c>
      <c r="C46" s="2489" t="s">
        <v>361</v>
      </c>
      <c r="D46" s="751" t="s">
        <v>35</v>
      </c>
      <c r="E46" s="2848" t="s">
        <v>155</v>
      </c>
      <c r="F46" s="753">
        <v>1</v>
      </c>
      <c r="G46" s="754">
        <f>'СР1(1)'!AG25</f>
        <v>0.84500665290448862</v>
      </c>
      <c r="H46" s="755">
        <f>'СР1(1)'!AH25</f>
        <v>0.87061074275456174</v>
      </c>
      <c r="I46" s="756"/>
      <c r="J46" s="757"/>
      <c r="K46" s="757"/>
      <c r="L46" s="758"/>
      <c r="M46" s="759">
        <v>0.16</v>
      </c>
      <c r="N46" s="577"/>
      <c r="O46" s="760">
        <f t="shared" si="10"/>
        <v>3.4399999999999999E-3</v>
      </c>
      <c r="P46" s="761">
        <f t="shared" si="11"/>
        <v>1.8879999999999999E-3</v>
      </c>
      <c r="Q46" s="157">
        <f t="shared" si="12"/>
        <v>0.84690163934084706</v>
      </c>
      <c r="R46" s="158">
        <f t="shared" si="13"/>
        <v>0.87250552417064442</v>
      </c>
      <c r="S46" s="810">
        <f t="shared" si="14"/>
        <v>4294.839597577824</v>
      </c>
      <c r="T46" s="811">
        <f t="shared" si="15"/>
        <v>3610.2923279416668</v>
      </c>
    </row>
    <row r="47" spans="1:20" ht="12.75" customHeight="1" x14ac:dyDescent="0.2">
      <c r="A47" s="750">
        <v>3</v>
      </c>
      <c r="B47" s="2523"/>
      <c r="C47" s="2487"/>
      <c r="D47" s="751" t="s">
        <v>35</v>
      </c>
      <c r="E47" s="2847"/>
      <c r="F47" s="753">
        <v>2</v>
      </c>
      <c r="G47" s="754">
        <f>'СР1(1)'!AG26</f>
        <v>0.84258546738777507</v>
      </c>
      <c r="H47" s="755">
        <f>'СР1(1)'!AH26</f>
        <v>0.86830981975611443</v>
      </c>
      <c r="I47" s="756"/>
      <c r="J47" s="757"/>
      <c r="K47" s="757"/>
      <c r="L47" s="758"/>
      <c r="M47" s="759">
        <v>0.16</v>
      </c>
      <c r="N47" s="577"/>
      <c r="O47" s="760">
        <f t="shared" si="10"/>
        <v>3.4399999999999999E-3</v>
      </c>
      <c r="P47" s="761">
        <f t="shared" si="11"/>
        <v>1.8879999999999999E-3</v>
      </c>
      <c r="Q47" s="157">
        <f t="shared" si="12"/>
        <v>0.84448047385474323</v>
      </c>
      <c r="R47" s="158">
        <f t="shared" si="13"/>
        <v>0.87020461910305613</v>
      </c>
      <c r="S47" s="810">
        <f t="shared" si="14"/>
        <v>4307.1531059701983</v>
      </c>
      <c r="T47" s="811">
        <f t="shared" si="15"/>
        <v>3619.8382895815835</v>
      </c>
    </row>
    <row r="48" spans="1:20" ht="12.75" customHeight="1" thickBot="1" x14ac:dyDescent="0.25">
      <c r="A48" s="584">
        <v>3</v>
      </c>
      <c r="B48" s="2375"/>
      <c r="C48" s="2491"/>
      <c r="D48" s="762" t="s">
        <v>35</v>
      </c>
      <c r="E48" s="587" t="s">
        <v>257</v>
      </c>
      <c r="F48" s="587">
        <v>2</v>
      </c>
      <c r="G48" s="763">
        <f>Q42</f>
        <v>0.8148467773746827</v>
      </c>
      <c r="H48" s="764">
        <f>R42</f>
        <v>0.83818417174391857</v>
      </c>
      <c r="I48" s="589">
        <v>0.18</v>
      </c>
      <c r="J48" s="765"/>
      <c r="K48" s="765"/>
      <c r="L48" s="591"/>
      <c r="M48" s="766"/>
      <c r="N48" s="767"/>
      <c r="O48" s="768">
        <f t="shared" si="10"/>
        <v>2.3220000000000001E-2</v>
      </c>
      <c r="P48" s="769">
        <f t="shared" si="11"/>
        <v>1.2779999999999998E-2</v>
      </c>
      <c r="Q48" s="175">
        <f t="shared" si="12"/>
        <v>0.82795244490707476</v>
      </c>
      <c r="R48" s="176">
        <f t="shared" si="13"/>
        <v>0.85128091132822503</v>
      </c>
      <c r="S48" s="812">
        <f t="shared" si="14"/>
        <v>4393.1347968938917</v>
      </c>
      <c r="T48" s="813">
        <f t="shared" si="15"/>
        <v>3700.3061599080856</v>
      </c>
    </row>
    <row r="49" spans="1:20" ht="12.75" customHeight="1" x14ac:dyDescent="0.2">
      <c r="E49" s="187"/>
      <c r="F49" s="187"/>
      <c r="O49" s="188"/>
    </row>
    <row r="50" spans="1:20" ht="15.75" x14ac:dyDescent="0.2">
      <c r="B50" s="192" t="s">
        <v>158</v>
      </c>
      <c r="C50" s="192"/>
      <c r="D50" s="2378">
        <v>42647</v>
      </c>
      <c r="E50" s="2379"/>
      <c r="F50" s="187"/>
      <c r="O50" s="193"/>
      <c r="P50" s="193"/>
    </row>
    <row r="51" spans="1:20" x14ac:dyDescent="0.2">
      <c r="B51" s="185" t="s">
        <v>328</v>
      </c>
      <c r="D51" s="2380" t="s">
        <v>189</v>
      </c>
      <c r="E51" s="2380"/>
      <c r="F51" s="186"/>
      <c r="Q51" s="107" t="s">
        <v>216</v>
      </c>
      <c r="R51" s="108" t="s">
        <v>217</v>
      </c>
    </row>
    <row r="52" spans="1:20" ht="21.75" customHeight="1" thickBot="1" x14ac:dyDescent="0.25">
      <c r="L52" s="189" t="s">
        <v>599</v>
      </c>
      <c r="Q52" s="123" t="s">
        <v>30</v>
      </c>
      <c r="R52" s="124" t="s">
        <v>30</v>
      </c>
    </row>
    <row r="53" spans="1:20" ht="12.75" customHeight="1" x14ac:dyDescent="0.2">
      <c r="A53" s="658">
        <v>3</v>
      </c>
      <c r="B53" s="2306" t="s">
        <v>598</v>
      </c>
      <c r="C53" s="2482"/>
      <c r="D53" s="490" t="s">
        <v>39</v>
      </c>
      <c r="E53" s="2827" t="s">
        <v>600</v>
      </c>
      <c r="F53" s="491">
        <v>1</v>
      </c>
      <c r="G53" s="799">
        <v>0.375</v>
      </c>
      <c r="H53" s="823">
        <v>0.40899999999999997</v>
      </c>
      <c r="I53" s="492"/>
      <c r="J53" s="1623"/>
      <c r="K53" s="1623"/>
      <c r="L53" s="931">
        <v>0.17</v>
      </c>
      <c r="M53" s="801"/>
      <c r="N53" s="943"/>
      <c r="O53" s="1624">
        <f>0.061*L53</f>
        <v>1.0370000000000001E-2</v>
      </c>
      <c r="P53" s="1624">
        <f>0.037*L53</f>
        <v>6.2900000000000005E-3</v>
      </c>
      <c r="Q53" s="139">
        <f>SQRT(O53^2+(G53+P53)^2)</f>
        <v>0.38143099113732226</v>
      </c>
      <c r="R53" s="140">
        <f>SQRT(O53^2+(H53+P53)^2)</f>
        <v>0.41541945187966345</v>
      </c>
      <c r="S53" s="356">
        <f>6300/(SQRT(3)*Q53)</f>
        <v>9535.9495699318904</v>
      </c>
      <c r="T53" s="618">
        <f>6300/(2*R53)</f>
        <v>7582.6974055910978</v>
      </c>
    </row>
    <row r="54" spans="1:20" ht="12.75" customHeight="1" thickBot="1" x14ac:dyDescent="0.25">
      <c r="A54" s="196">
        <v>3</v>
      </c>
      <c r="B54" s="2308"/>
      <c r="C54" s="2364"/>
      <c r="D54" s="164" t="s">
        <v>39</v>
      </c>
      <c r="E54" s="2828"/>
      <c r="F54" s="165">
        <v>2</v>
      </c>
      <c r="G54" s="805">
        <v>0.23699999999999999</v>
      </c>
      <c r="H54" s="827">
        <v>0.25800000000000001</v>
      </c>
      <c r="I54" s="167"/>
      <c r="J54" s="1625"/>
      <c r="K54" s="1625"/>
      <c r="L54" s="169">
        <v>0.17</v>
      </c>
      <c r="M54" s="807"/>
      <c r="N54" s="1626"/>
      <c r="O54" s="1627">
        <f>0.061*L54</f>
        <v>1.0370000000000001E-2</v>
      </c>
      <c r="P54" s="1627">
        <f>0.037*L54</f>
        <v>6.2900000000000005E-3</v>
      </c>
      <c r="Q54" s="175">
        <f>SQRT(O54^2+(G54+P54)^2)</f>
        <v>0.24351090529994748</v>
      </c>
      <c r="R54" s="176">
        <f>SQRT(O54^2+(H54+P54)^2)</f>
        <v>0.26449336664650025</v>
      </c>
      <c r="S54" s="628">
        <f>6300/(SQRT(3)*Q54)</f>
        <v>14936.935540584296</v>
      </c>
      <c r="T54" s="629">
        <f>6300/(2*R54)</f>
        <v>11909.561437924554</v>
      </c>
    </row>
    <row r="55" spans="1:20" ht="12.75" customHeight="1" x14ac:dyDescent="0.2">
      <c r="A55" s="658">
        <v>3</v>
      </c>
      <c r="B55" s="2306" t="s">
        <v>636</v>
      </c>
      <c r="C55" s="2482"/>
      <c r="D55" s="490" t="s">
        <v>39</v>
      </c>
      <c r="E55" s="2306" t="s">
        <v>598</v>
      </c>
      <c r="F55" s="491">
        <v>1</v>
      </c>
      <c r="G55" s="799">
        <f>Q53</f>
        <v>0.38143099113732226</v>
      </c>
      <c r="H55" s="823">
        <f>R53</f>
        <v>0.41541945187966345</v>
      </c>
      <c r="I55" s="492"/>
      <c r="J55" s="1623"/>
      <c r="K55" s="1623"/>
      <c r="L55" s="931">
        <v>0.17</v>
      </c>
      <c r="M55" s="801"/>
      <c r="N55" s="943"/>
      <c r="O55" s="1624">
        <f>0.061*L55</f>
        <v>1.0370000000000001E-2</v>
      </c>
      <c r="P55" s="1624">
        <f>0.037*L55</f>
        <v>6.2900000000000005E-3</v>
      </c>
      <c r="Q55" s="2165">
        <f>SQRT(O55^2+(G55+P55)^2)</f>
        <v>0.38785964454749294</v>
      </c>
      <c r="R55" s="2166">
        <f>SQRT(O55^2+(H55+P55)^2)</f>
        <v>0.42183693378442599</v>
      </c>
      <c r="S55" s="356">
        <f>6300/(SQRT(3)*Q55)</f>
        <v>9377.894161013337</v>
      </c>
      <c r="T55" s="618">
        <f>6300/(2*R55)</f>
        <v>7467.3404524833868</v>
      </c>
    </row>
    <row r="56" spans="1:20" ht="13.5" thickBot="1" x14ac:dyDescent="0.25">
      <c r="A56" s="196">
        <v>3</v>
      </c>
      <c r="B56" s="2308"/>
      <c r="C56" s="2364"/>
      <c r="D56" s="164" t="s">
        <v>39</v>
      </c>
      <c r="E56" s="2308"/>
      <c r="F56" s="165">
        <v>2</v>
      </c>
      <c r="G56" s="805">
        <f>Q54</f>
        <v>0.24351090529994748</v>
      </c>
      <c r="H56" s="827">
        <f>R54</f>
        <v>0.26449336664650025</v>
      </c>
      <c r="I56" s="167"/>
      <c r="J56" s="1625"/>
      <c r="K56" s="1625"/>
      <c r="L56" s="169">
        <v>0.17</v>
      </c>
      <c r="M56" s="807"/>
      <c r="N56" s="1626"/>
      <c r="O56" s="1627">
        <f>0.061*L56</f>
        <v>1.0370000000000001E-2</v>
      </c>
      <c r="P56" s="1627">
        <f>0.037*L56</f>
        <v>6.2900000000000005E-3</v>
      </c>
      <c r="Q56" s="2167">
        <f>SQRT(O56^2+(G56+P56)^2)</f>
        <v>0.25001605786163678</v>
      </c>
      <c r="R56" s="2168">
        <f>SQRT(O56^2+(H56+P56)^2)</f>
        <v>0.2709818601907017</v>
      </c>
      <c r="S56" s="628">
        <f>6300/(SQRT(3)*Q56)</f>
        <v>14548.292325717699</v>
      </c>
      <c r="T56" s="629">
        <f>6300/(2*R56)</f>
        <v>11624.394333197093</v>
      </c>
    </row>
    <row r="123" spans="1:1" x14ac:dyDescent="0.2">
      <c r="A123" s="195"/>
    </row>
    <row r="124" spans="1:1" x14ac:dyDescent="0.2">
      <c r="A124" s="195"/>
    </row>
    <row r="125" spans="1:1" x14ac:dyDescent="0.2">
      <c r="A125" s="195"/>
    </row>
    <row r="126" spans="1:1" x14ac:dyDescent="0.2">
      <c r="A126" s="195"/>
    </row>
  </sheetData>
  <mergeCells count="68">
    <mergeCell ref="B55:B56"/>
    <mergeCell ref="C55:C56"/>
    <mergeCell ref="E55:E56"/>
    <mergeCell ref="E53:E54"/>
    <mergeCell ref="B53:B54"/>
    <mergeCell ref="C53:C54"/>
    <mergeCell ref="B44:B45"/>
    <mergeCell ref="C44:C45"/>
    <mergeCell ref="E44:E45"/>
    <mergeCell ref="B46:B48"/>
    <mergeCell ref="C46:C48"/>
    <mergeCell ref="E46:E47"/>
    <mergeCell ref="B38:B40"/>
    <mergeCell ref="C38:C40"/>
    <mergeCell ref="E38:E39"/>
    <mergeCell ref="B41:B43"/>
    <mergeCell ref="C41:C43"/>
    <mergeCell ref="E41:E42"/>
    <mergeCell ref="B27:B29"/>
    <mergeCell ref="B30:B32"/>
    <mergeCell ref="B35:B37"/>
    <mergeCell ref="E27:E28"/>
    <mergeCell ref="E30:E31"/>
    <mergeCell ref="E35:E36"/>
    <mergeCell ref="C27:C29"/>
    <mergeCell ref="C30:C32"/>
    <mergeCell ref="C35:C37"/>
    <mergeCell ref="B33:B34"/>
    <mergeCell ref="B24:B26"/>
    <mergeCell ref="E16:E17"/>
    <mergeCell ref="E19:E20"/>
    <mergeCell ref="E24:E25"/>
    <mergeCell ref="C16:C18"/>
    <mergeCell ref="C19:C21"/>
    <mergeCell ref="C24:C26"/>
    <mergeCell ref="B22:B23"/>
    <mergeCell ref="C22:C23"/>
    <mergeCell ref="E22:E23"/>
    <mergeCell ref="B16:B18"/>
    <mergeCell ref="B19:B21"/>
    <mergeCell ref="B13:B15"/>
    <mergeCell ref="E5:E6"/>
    <mergeCell ref="E8:E9"/>
    <mergeCell ref="E13:E14"/>
    <mergeCell ref="C5:C7"/>
    <mergeCell ref="C8:C10"/>
    <mergeCell ref="C13:C15"/>
    <mergeCell ref="B11:B12"/>
    <mergeCell ref="C11:C12"/>
    <mergeCell ref="E11:E12"/>
    <mergeCell ref="B5:B7"/>
    <mergeCell ref="B8:B10"/>
    <mergeCell ref="A1:T1"/>
    <mergeCell ref="A2:A4"/>
    <mergeCell ref="B2:B4"/>
    <mergeCell ref="D2:D4"/>
    <mergeCell ref="E2:E4"/>
    <mergeCell ref="F2:F4"/>
    <mergeCell ref="G2:H2"/>
    <mergeCell ref="C2:C4"/>
    <mergeCell ref="O2:P3"/>
    <mergeCell ref="Q2:R2"/>
    <mergeCell ref="I2:N2"/>
    <mergeCell ref="S2:T2"/>
    <mergeCell ref="D50:E50"/>
    <mergeCell ref="D51:E51"/>
    <mergeCell ref="C33:C34"/>
    <mergeCell ref="E33:E34"/>
  </mergeCells>
  <pageMargins left="0.39370078740157483" right="0.51181102362204722" top="0.39370078740157483" bottom="0.47" header="0.35433070866141736" footer="0.15748031496062992"/>
  <pageSetup paperSize="9" orientation="landscape" r:id="rId1"/>
  <headerFooter>
    <oddFooter>&amp;L&amp;8&amp;Z&amp;F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CA8C-AEF4-4061-9ABA-44121842655D}">
  <sheetPr codeName="Лист20"/>
  <dimension ref="A1:AR11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25" sqref="A25:IV25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3" width="5.5703125" style="188" customWidth="1"/>
    <col min="14" max="15" width="5.5703125" style="189" customWidth="1"/>
    <col min="16" max="17" width="6.7109375" style="186" customWidth="1"/>
    <col min="18" max="19" width="6.7109375" style="100" customWidth="1"/>
    <col min="20" max="21" width="6.7109375" style="190" customWidth="1"/>
    <col min="22" max="16384" width="9.140625" style="100"/>
  </cols>
  <sheetData>
    <row r="1" spans="1:44" ht="36.75" customHeight="1" thickBot="1" x14ac:dyDescent="0.25">
      <c r="A1" s="2302" t="s">
        <v>371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  <c r="AP1" s="269"/>
      <c r="AQ1" s="269"/>
      <c r="AR1" s="269"/>
    </row>
    <row r="2" spans="1:44" s="101" customFormat="1" ht="69.75" customHeight="1" x14ac:dyDescent="0.2">
      <c r="A2" s="2303" t="s">
        <v>0</v>
      </c>
      <c r="B2" s="2306" t="s">
        <v>394</v>
      </c>
      <c r="C2" s="2306" t="s">
        <v>10</v>
      </c>
      <c r="D2" s="2312" t="s">
        <v>4</v>
      </c>
      <c r="E2" s="2315" t="s">
        <v>401</v>
      </c>
      <c r="F2" s="2315" t="s">
        <v>225</v>
      </c>
      <c r="G2" s="2318" t="s">
        <v>402</v>
      </c>
      <c r="H2" s="2319"/>
      <c r="I2" s="2320" t="s">
        <v>230</v>
      </c>
      <c r="J2" s="2321"/>
      <c r="K2" s="2321"/>
      <c r="L2" s="2321"/>
      <c r="M2" s="2321"/>
      <c r="N2" s="2321"/>
      <c r="O2" s="2322"/>
      <c r="P2" s="2323" t="s">
        <v>360</v>
      </c>
      <c r="Q2" s="2324"/>
      <c r="R2" s="2347" t="s">
        <v>232</v>
      </c>
      <c r="S2" s="2348"/>
      <c r="T2" s="2328" t="s">
        <v>231</v>
      </c>
      <c r="U2" s="2829"/>
    </row>
    <row r="3" spans="1:44" s="101" customFormat="1" ht="36" customHeight="1" x14ac:dyDescent="0.2">
      <c r="A3" s="2304"/>
      <c r="B3" s="2307"/>
      <c r="C3" s="2307"/>
      <c r="D3" s="2313"/>
      <c r="E3" s="2316"/>
      <c r="F3" s="2316"/>
      <c r="G3" s="102" t="s">
        <v>220</v>
      </c>
      <c r="H3" s="103" t="s">
        <v>29</v>
      </c>
      <c r="I3" s="611" t="s">
        <v>266</v>
      </c>
      <c r="J3" s="612" t="s">
        <v>267</v>
      </c>
      <c r="K3" s="612" t="s">
        <v>268</v>
      </c>
      <c r="L3" s="612" t="s">
        <v>269</v>
      </c>
      <c r="M3" s="612" t="s">
        <v>270</v>
      </c>
      <c r="N3" s="402" t="s">
        <v>271</v>
      </c>
      <c r="O3" s="403" t="s">
        <v>272</v>
      </c>
      <c r="P3" s="2325"/>
      <c r="Q3" s="2326"/>
      <c r="R3" s="107" t="s">
        <v>216</v>
      </c>
      <c r="S3" s="108" t="s">
        <v>217</v>
      </c>
      <c r="T3" s="109" t="s">
        <v>218</v>
      </c>
      <c r="U3" s="111" t="s">
        <v>219</v>
      </c>
    </row>
    <row r="4" spans="1:44" s="101" customFormat="1" ht="13.5" thickBot="1" x14ac:dyDescent="0.25">
      <c r="A4" s="2305"/>
      <c r="B4" s="2308"/>
      <c r="C4" s="2308"/>
      <c r="D4" s="2314"/>
      <c r="E4" s="2317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5" t="s">
        <v>31</v>
      </c>
      <c r="L4" s="115" t="s">
        <v>31</v>
      </c>
      <c r="M4" s="115" t="s">
        <v>31</v>
      </c>
      <c r="N4" s="116" t="s">
        <v>31</v>
      </c>
      <c r="O4" s="117" t="s">
        <v>31</v>
      </c>
      <c r="P4" s="118" t="s">
        <v>30</v>
      </c>
      <c r="Q4" s="116" t="s">
        <v>30</v>
      </c>
      <c r="R4" s="613" t="s">
        <v>30</v>
      </c>
      <c r="S4" s="614" t="s">
        <v>30</v>
      </c>
      <c r="T4" s="125" t="s">
        <v>35</v>
      </c>
      <c r="U4" s="126" t="s">
        <v>35</v>
      </c>
    </row>
    <row r="5" spans="1:44" ht="12.75" customHeight="1" x14ac:dyDescent="0.2">
      <c r="A5" s="127">
        <v>4</v>
      </c>
      <c r="B5" s="2306" t="s">
        <v>263</v>
      </c>
      <c r="C5" s="2482" t="s">
        <v>342</v>
      </c>
      <c r="D5" s="128" t="s">
        <v>39</v>
      </c>
      <c r="E5" s="2827" t="s">
        <v>98</v>
      </c>
      <c r="F5" s="655">
        <v>1</v>
      </c>
      <c r="G5" s="615">
        <f>СР4!AF13</f>
        <v>0.70250335569535882</v>
      </c>
      <c r="H5" s="616">
        <f>СР4!AG13</f>
        <v>0.79366740484616094</v>
      </c>
      <c r="I5" s="131">
        <v>0.35</v>
      </c>
      <c r="J5" s="659"/>
      <c r="K5" s="659"/>
      <c r="L5" s="659"/>
      <c r="M5" s="659"/>
      <c r="N5" s="133"/>
      <c r="O5" s="134"/>
      <c r="P5" s="620">
        <f>0.122*I5+0.061*J5+0.05*K5+0.222*L5+0.163*M5+0.065*N5+0.065*O5</f>
        <v>4.2699999999999995E-2</v>
      </c>
      <c r="Q5" s="616">
        <f>0.074*I5+0.037*J5+0.037*K5+0.039*L5+0.039*M5+0.036*N5+0.036*O5</f>
        <v>2.5899999999999996E-2</v>
      </c>
      <c r="R5" s="617">
        <f t="shared" ref="R5:R30" si="0">SQRT(P5^2+(G5+Q5)^2)</f>
        <v>0.72965384847080705</v>
      </c>
      <c r="S5" s="140">
        <f t="shared" ref="S5:S30" si="1">SQRT(P5^2+(H5+Q5)^2)</f>
        <v>0.82067900002758154</v>
      </c>
      <c r="T5" s="356">
        <f>6300/(SQRT(3)*R5)</f>
        <v>4984.9756888388001</v>
      </c>
      <c r="U5" s="618">
        <f>6300/(2*S5)</f>
        <v>3838.2851271863105</v>
      </c>
    </row>
    <row r="6" spans="1:44" ht="12.75" customHeight="1" x14ac:dyDescent="0.2">
      <c r="A6" s="144">
        <v>4</v>
      </c>
      <c r="B6" s="2359"/>
      <c r="C6" s="2363"/>
      <c r="D6" s="145" t="s">
        <v>39</v>
      </c>
      <c r="E6" s="2824"/>
      <c r="F6" s="146">
        <v>2</v>
      </c>
      <c r="G6" s="275">
        <f>СР4!AF14</f>
        <v>0.70250335569535882</v>
      </c>
      <c r="H6" s="278">
        <f>СР4!AG14</f>
        <v>0.79366740484616094</v>
      </c>
      <c r="I6" s="147">
        <v>0.35</v>
      </c>
      <c r="J6" s="660"/>
      <c r="K6" s="660"/>
      <c r="L6" s="660"/>
      <c r="M6" s="660"/>
      <c r="N6" s="149"/>
      <c r="O6" s="150"/>
      <c r="P6" s="620">
        <f t="shared" ref="P6:P30" si="2">0.122*I6+0.061*J6+0.05*K6+0.222*L6+0.163*M6+0.065*N6+0.065*O6</f>
        <v>4.2699999999999995E-2</v>
      </c>
      <c r="Q6" s="616">
        <f t="shared" ref="Q6:Q30" si="3">0.074*I6+0.037*J6+0.037*K6+0.039*L6+0.039*M6+0.036*N6+0.036*O6</f>
        <v>2.5899999999999996E-2</v>
      </c>
      <c r="R6" s="157">
        <f t="shared" si="0"/>
        <v>0.72965384847080705</v>
      </c>
      <c r="S6" s="158">
        <f t="shared" si="1"/>
        <v>0.82067900002758154</v>
      </c>
      <c r="T6" s="542">
        <f t="shared" ref="T6:T30" si="4">6300/(SQRT(3)*R6)</f>
        <v>4984.9756888388001</v>
      </c>
      <c r="U6" s="619">
        <f t="shared" ref="U6:U30" si="5">6300/(2*S6)</f>
        <v>3838.2851271863105</v>
      </c>
    </row>
    <row r="7" spans="1:44" ht="12.75" customHeight="1" x14ac:dyDescent="0.2">
      <c r="A7" s="144">
        <v>4</v>
      </c>
      <c r="B7" s="2358" t="s">
        <v>48</v>
      </c>
      <c r="C7" s="2362" t="s">
        <v>353</v>
      </c>
      <c r="D7" s="145" t="s">
        <v>39</v>
      </c>
      <c r="E7" s="2823" t="s">
        <v>48</v>
      </c>
      <c r="F7" s="146">
        <v>1</v>
      </c>
      <c r="G7" s="275">
        <f>СР4!AF19</f>
        <v>0.66261332251082428</v>
      </c>
      <c r="H7" s="278">
        <f>СР4!AG19</f>
        <v>0.75428376719695722</v>
      </c>
      <c r="I7" s="147"/>
      <c r="J7" s="660">
        <v>0.3</v>
      </c>
      <c r="K7" s="660"/>
      <c r="L7" s="660"/>
      <c r="M7" s="660"/>
      <c r="N7" s="149"/>
      <c r="O7" s="150"/>
      <c r="P7" s="620">
        <f t="shared" si="2"/>
        <v>1.83E-2</v>
      </c>
      <c r="Q7" s="616">
        <f t="shared" si="3"/>
        <v>1.1099999999999999E-2</v>
      </c>
      <c r="R7" s="157">
        <f t="shared" si="0"/>
        <v>0.67396181711471892</v>
      </c>
      <c r="S7" s="158">
        <f t="shared" si="1"/>
        <v>0.7656025085438305</v>
      </c>
      <c r="T7" s="542">
        <f t="shared" si="4"/>
        <v>5396.9032125087224</v>
      </c>
      <c r="U7" s="619">
        <f t="shared" si="5"/>
        <v>4114.4065815448712</v>
      </c>
    </row>
    <row r="8" spans="1:44" ht="12.75" customHeight="1" x14ac:dyDescent="0.2">
      <c r="A8" s="144">
        <v>4</v>
      </c>
      <c r="B8" s="2307"/>
      <c r="C8" s="2483"/>
      <c r="D8" s="145" t="s">
        <v>39</v>
      </c>
      <c r="E8" s="2824"/>
      <c r="F8" s="146">
        <v>2</v>
      </c>
      <c r="G8" s="275">
        <f>СР4!AF20</f>
        <v>0.66261332251082428</v>
      </c>
      <c r="H8" s="278">
        <f>СР4!AG20</f>
        <v>0.75428376719695722</v>
      </c>
      <c r="I8" s="147"/>
      <c r="J8" s="660">
        <v>0.3</v>
      </c>
      <c r="K8" s="660"/>
      <c r="L8" s="660"/>
      <c r="M8" s="660"/>
      <c r="N8" s="149"/>
      <c r="O8" s="150"/>
      <c r="P8" s="620">
        <f t="shared" si="2"/>
        <v>1.83E-2</v>
      </c>
      <c r="Q8" s="616">
        <f t="shared" si="3"/>
        <v>1.1099999999999999E-2</v>
      </c>
      <c r="R8" s="157">
        <f t="shared" si="0"/>
        <v>0.67396181711471892</v>
      </c>
      <c r="S8" s="158">
        <f t="shared" si="1"/>
        <v>0.7656025085438305</v>
      </c>
      <c r="T8" s="542">
        <f t="shared" si="4"/>
        <v>5396.9032125087224</v>
      </c>
      <c r="U8" s="619">
        <f t="shared" si="5"/>
        <v>4114.4065815448712</v>
      </c>
    </row>
    <row r="9" spans="1:44" ht="12.75" customHeight="1" x14ac:dyDescent="0.2">
      <c r="A9" s="144">
        <v>4</v>
      </c>
      <c r="B9" s="2359"/>
      <c r="C9" s="2363"/>
      <c r="D9" s="145" t="s">
        <v>39</v>
      </c>
      <c r="E9" s="146" t="s">
        <v>97</v>
      </c>
      <c r="F9" s="146">
        <v>1</v>
      </c>
      <c r="G9" s="275">
        <f>СР4!AF9</f>
        <v>0.84953672641117328</v>
      </c>
      <c r="H9" s="278">
        <f>СР4!AG9</f>
        <v>0.94100888080368972</v>
      </c>
      <c r="I9" s="147"/>
      <c r="J9" s="660"/>
      <c r="K9" s="660"/>
      <c r="L9" s="660"/>
      <c r="M9" s="660">
        <v>0.04</v>
      </c>
      <c r="N9" s="149"/>
      <c r="O9" s="150"/>
      <c r="P9" s="620">
        <f t="shared" si="2"/>
        <v>6.5200000000000006E-3</v>
      </c>
      <c r="Q9" s="616">
        <f t="shared" si="3"/>
        <v>1.56E-3</v>
      </c>
      <c r="R9" s="157">
        <f t="shared" si="0"/>
        <v>0.85112169993944797</v>
      </c>
      <c r="S9" s="158">
        <f t="shared" si="1"/>
        <v>0.94259143082224139</v>
      </c>
      <c r="T9" s="542">
        <f t="shared" si="4"/>
        <v>4273.5447776192459</v>
      </c>
      <c r="U9" s="619">
        <f t="shared" si="5"/>
        <v>3341.8508772694781</v>
      </c>
    </row>
    <row r="10" spans="1:44" ht="12.75" customHeight="1" x14ac:dyDescent="0.2">
      <c r="A10" s="144">
        <v>4</v>
      </c>
      <c r="B10" s="2358" t="s">
        <v>235</v>
      </c>
      <c r="C10" s="2362" t="s">
        <v>342</v>
      </c>
      <c r="D10" s="145" t="s">
        <v>39</v>
      </c>
      <c r="E10" s="2823" t="s">
        <v>48</v>
      </c>
      <c r="F10" s="146">
        <v>1</v>
      </c>
      <c r="G10" s="275">
        <f>СР4!AF19</f>
        <v>0.66261332251082428</v>
      </c>
      <c r="H10" s="278">
        <f>СР4!AG19</f>
        <v>0.75428376719695722</v>
      </c>
      <c r="I10" s="147"/>
      <c r="J10" s="660"/>
      <c r="K10" s="660">
        <v>0.55000000000000004</v>
      </c>
      <c r="L10" s="660"/>
      <c r="M10" s="660"/>
      <c r="N10" s="149"/>
      <c r="O10" s="150"/>
      <c r="P10" s="620">
        <f t="shared" si="2"/>
        <v>2.7500000000000004E-2</v>
      </c>
      <c r="Q10" s="616">
        <f t="shared" si="3"/>
        <v>2.035E-2</v>
      </c>
      <c r="R10" s="157">
        <f t="shared" si="0"/>
        <v>0.68351675172962967</v>
      </c>
      <c r="S10" s="158">
        <f t="shared" si="1"/>
        <v>0.7751217473931109</v>
      </c>
      <c r="T10" s="542">
        <f t="shared" si="4"/>
        <v>5321.4594765826714</v>
      </c>
      <c r="U10" s="619">
        <f t="shared" si="5"/>
        <v>4063.8777206214099</v>
      </c>
    </row>
    <row r="11" spans="1:44" ht="12.75" customHeight="1" x14ac:dyDescent="0.2">
      <c r="A11" s="144">
        <v>4</v>
      </c>
      <c r="B11" s="2359"/>
      <c r="C11" s="2363"/>
      <c r="D11" s="145" t="s">
        <v>39</v>
      </c>
      <c r="E11" s="2824"/>
      <c r="F11" s="146">
        <v>2</v>
      </c>
      <c r="G11" s="275">
        <f>СР4!AF20</f>
        <v>0.66261332251082428</v>
      </c>
      <c r="H11" s="278">
        <f>СР4!AG20</f>
        <v>0.75428376719695722</v>
      </c>
      <c r="I11" s="147"/>
      <c r="J11" s="660"/>
      <c r="K11" s="660">
        <v>0.55000000000000004</v>
      </c>
      <c r="L11" s="660"/>
      <c r="M11" s="660"/>
      <c r="N11" s="149"/>
      <c r="O11" s="150"/>
      <c r="P11" s="620">
        <f t="shared" si="2"/>
        <v>2.7500000000000004E-2</v>
      </c>
      <c r="Q11" s="616">
        <f t="shared" si="3"/>
        <v>2.035E-2</v>
      </c>
      <c r="R11" s="157">
        <f t="shared" si="0"/>
        <v>0.68351675172962967</v>
      </c>
      <c r="S11" s="158">
        <f t="shared" si="1"/>
        <v>0.7751217473931109</v>
      </c>
      <c r="T11" s="542">
        <f t="shared" si="4"/>
        <v>5321.4594765826714</v>
      </c>
      <c r="U11" s="619">
        <f t="shared" si="5"/>
        <v>4063.8777206214099</v>
      </c>
    </row>
    <row r="12" spans="1:44" ht="12.75" customHeight="1" x14ac:dyDescent="0.2">
      <c r="A12" s="161">
        <v>4</v>
      </c>
      <c r="B12" s="2358" t="s">
        <v>264</v>
      </c>
      <c r="C12" s="2362" t="s">
        <v>361</v>
      </c>
      <c r="D12" s="145" t="s">
        <v>39</v>
      </c>
      <c r="E12" s="2823" t="s">
        <v>64</v>
      </c>
      <c r="F12" s="146">
        <v>1</v>
      </c>
      <c r="G12" s="275">
        <f>СР4!AF21</f>
        <v>0.73251156601878298</v>
      </c>
      <c r="H12" s="278">
        <f>СР4!AG21</f>
        <v>0.74663156062160263</v>
      </c>
      <c r="I12" s="147"/>
      <c r="J12" s="660"/>
      <c r="K12" s="660"/>
      <c r="L12" s="660">
        <v>0.05</v>
      </c>
      <c r="M12" s="660"/>
      <c r="N12" s="149"/>
      <c r="O12" s="150"/>
      <c r="P12" s="620">
        <f t="shared" si="2"/>
        <v>1.11E-2</v>
      </c>
      <c r="Q12" s="616">
        <f t="shared" si="3"/>
        <v>1.9500000000000001E-3</v>
      </c>
      <c r="R12" s="157">
        <f t="shared" si="0"/>
        <v>0.73454543900208313</v>
      </c>
      <c r="S12" s="158">
        <f t="shared" si="1"/>
        <v>0.7486638517403349</v>
      </c>
      <c r="T12" s="542">
        <f t="shared" si="4"/>
        <v>4951.7790224606197</v>
      </c>
      <c r="U12" s="619">
        <f t="shared" si="5"/>
        <v>4207.4957842261892</v>
      </c>
    </row>
    <row r="13" spans="1:44" ht="12.75" customHeight="1" x14ac:dyDescent="0.2">
      <c r="A13" s="161">
        <v>4</v>
      </c>
      <c r="B13" s="2359"/>
      <c r="C13" s="2363"/>
      <c r="D13" s="145" t="s">
        <v>39</v>
      </c>
      <c r="E13" s="2824"/>
      <c r="F13" s="146">
        <v>2</v>
      </c>
      <c r="G13" s="275">
        <f>СР4!AF22</f>
        <v>0.73251156601878298</v>
      </c>
      <c r="H13" s="278">
        <f>СР4!AG22</f>
        <v>0.74663156062160263</v>
      </c>
      <c r="I13" s="147"/>
      <c r="J13" s="660"/>
      <c r="K13" s="660"/>
      <c r="L13" s="660">
        <v>0.05</v>
      </c>
      <c r="M13" s="660"/>
      <c r="N13" s="149"/>
      <c r="O13" s="150"/>
      <c r="P13" s="620">
        <f t="shared" si="2"/>
        <v>1.11E-2</v>
      </c>
      <c r="Q13" s="616">
        <f t="shared" si="3"/>
        <v>1.9500000000000001E-3</v>
      </c>
      <c r="R13" s="157">
        <f t="shared" si="0"/>
        <v>0.73454543900208313</v>
      </c>
      <c r="S13" s="158">
        <f t="shared" si="1"/>
        <v>0.7486638517403349</v>
      </c>
      <c r="T13" s="542">
        <f t="shared" si="4"/>
        <v>4951.7790224606197</v>
      </c>
      <c r="U13" s="619">
        <f t="shared" si="5"/>
        <v>4207.4957842261892</v>
      </c>
    </row>
    <row r="14" spans="1:44" ht="12.75" customHeight="1" x14ac:dyDescent="0.2">
      <c r="A14" s="161">
        <v>4</v>
      </c>
      <c r="B14" s="2358" t="s">
        <v>265</v>
      </c>
      <c r="C14" s="2362" t="s">
        <v>361</v>
      </c>
      <c r="D14" s="145" t="s">
        <v>39</v>
      </c>
      <c r="E14" s="2823" t="s">
        <v>71</v>
      </c>
      <c r="F14" s="146">
        <v>1</v>
      </c>
      <c r="G14" s="275">
        <f>СР4!AF23</f>
        <v>0.64537600967427633</v>
      </c>
      <c r="H14" s="278">
        <f>СР4!AG23</f>
        <v>0.65953410532045387</v>
      </c>
      <c r="I14" s="147"/>
      <c r="J14" s="660"/>
      <c r="K14" s="660"/>
      <c r="L14" s="660"/>
      <c r="M14" s="660"/>
      <c r="N14" s="149"/>
      <c r="O14" s="150">
        <v>7.0000000000000007E-2</v>
      </c>
      <c r="P14" s="620">
        <f t="shared" si="2"/>
        <v>4.5500000000000002E-3</v>
      </c>
      <c r="Q14" s="616">
        <f t="shared" si="3"/>
        <v>2.5200000000000001E-3</v>
      </c>
      <c r="R14" s="157">
        <f t="shared" si="0"/>
        <v>0.64791198619245338</v>
      </c>
      <c r="S14" s="158">
        <f t="shared" si="1"/>
        <v>0.6620697401872907</v>
      </c>
      <c r="T14" s="542">
        <f t="shared" si="4"/>
        <v>5613.8901168811381</v>
      </c>
      <c r="U14" s="619">
        <f t="shared" si="5"/>
        <v>4757.8069330111766</v>
      </c>
    </row>
    <row r="15" spans="1:44" ht="12.75" customHeight="1" x14ac:dyDescent="0.2">
      <c r="A15" s="161">
        <v>4</v>
      </c>
      <c r="B15" s="2359"/>
      <c r="C15" s="2363"/>
      <c r="D15" s="145" t="s">
        <v>39</v>
      </c>
      <c r="E15" s="2824"/>
      <c r="F15" s="146">
        <v>2</v>
      </c>
      <c r="G15" s="275">
        <f>СР4!AF24</f>
        <v>0.64915581862530625</v>
      </c>
      <c r="H15" s="278">
        <f>СР4!AG24</f>
        <v>0.66331392236319853</v>
      </c>
      <c r="I15" s="147"/>
      <c r="J15" s="660"/>
      <c r="K15" s="660"/>
      <c r="L15" s="660"/>
      <c r="M15" s="660"/>
      <c r="N15" s="149"/>
      <c r="O15" s="150">
        <v>0.08</v>
      </c>
      <c r="P15" s="620">
        <f t="shared" si="2"/>
        <v>5.2000000000000006E-3</v>
      </c>
      <c r="Q15" s="616">
        <f t="shared" si="3"/>
        <v>2.8799999999999997E-3</v>
      </c>
      <c r="R15" s="157">
        <f t="shared" si="0"/>
        <v>0.65205655335283097</v>
      </c>
      <c r="S15" s="158">
        <f t="shared" si="1"/>
        <v>0.66621421644517864</v>
      </c>
      <c r="T15" s="542">
        <f t="shared" si="4"/>
        <v>5578.2074073051726</v>
      </c>
      <c r="U15" s="619">
        <f t="shared" si="5"/>
        <v>4728.2089187588008</v>
      </c>
    </row>
    <row r="16" spans="1:44" ht="12.75" customHeight="1" x14ac:dyDescent="0.2">
      <c r="A16" s="161">
        <v>4</v>
      </c>
      <c r="B16" s="2358" t="s">
        <v>166</v>
      </c>
      <c r="C16" s="2362" t="s">
        <v>353</v>
      </c>
      <c r="D16" s="145" t="s">
        <v>39</v>
      </c>
      <c r="E16" s="2823" t="s">
        <v>166</v>
      </c>
      <c r="F16" s="146">
        <v>1</v>
      </c>
      <c r="G16" s="275">
        <f>СР4!AF25</f>
        <v>0.51064743574119231</v>
      </c>
      <c r="H16" s="278">
        <f>СР4!AG25</f>
        <v>0.59360029627677557</v>
      </c>
      <c r="I16" s="147"/>
      <c r="J16" s="660"/>
      <c r="K16" s="660"/>
      <c r="L16" s="660"/>
      <c r="M16" s="660"/>
      <c r="N16" s="149">
        <v>0.11</v>
      </c>
      <c r="O16" s="150"/>
      <c r="P16" s="620">
        <f t="shared" si="2"/>
        <v>7.1500000000000001E-3</v>
      </c>
      <c r="Q16" s="616">
        <f t="shared" si="3"/>
        <v>3.96E-3</v>
      </c>
      <c r="R16" s="157">
        <f t="shared" si="0"/>
        <v>0.51465710470188331</v>
      </c>
      <c r="S16" s="158">
        <f t="shared" si="1"/>
        <v>0.59760307076385388</v>
      </c>
      <c r="T16" s="542">
        <f t="shared" si="4"/>
        <v>7067.4370618114044</v>
      </c>
      <c r="U16" s="619">
        <f t="shared" si="5"/>
        <v>5271.0572520547503</v>
      </c>
    </row>
    <row r="17" spans="1:21" ht="12.75" customHeight="1" thickBot="1" x14ac:dyDescent="0.25">
      <c r="A17" s="144">
        <v>4</v>
      </c>
      <c r="B17" s="2308"/>
      <c r="C17" s="2483"/>
      <c r="D17" s="281" t="s">
        <v>39</v>
      </c>
      <c r="E17" s="2828"/>
      <c r="F17" s="654">
        <v>2</v>
      </c>
      <c r="G17" s="621">
        <f>СР4!AF26</f>
        <v>0.50510767999928019</v>
      </c>
      <c r="H17" s="622">
        <f>СР4!AG26</f>
        <v>0.58805613774968435</v>
      </c>
      <c r="I17" s="410"/>
      <c r="J17" s="661"/>
      <c r="K17" s="661"/>
      <c r="L17" s="661"/>
      <c r="M17" s="661"/>
      <c r="N17" s="624">
        <v>0.11</v>
      </c>
      <c r="O17" s="625"/>
      <c r="P17" s="626">
        <f t="shared" si="2"/>
        <v>7.1500000000000001E-3</v>
      </c>
      <c r="Q17" s="627">
        <f t="shared" si="3"/>
        <v>3.96E-3</v>
      </c>
      <c r="R17" s="175">
        <f t="shared" si="0"/>
        <v>0.50911788941251068</v>
      </c>
      <c r="S17" s="176">
        <f t="shared" si="1"/>
        <v>0.59205931278551238</v>
      </c>
      <c r="T17" s="628">
        <f t="shared" si="4"/>
        <v>7144.3309526833964</v>
      </c>
      <c r="U17" s="629">
        <f t="shared" si="5"/>
        <v>5320.4128910326972</v>
      </c>
    </row>
    <row r="18" spans="1:21" ht="12.75" customHeight="1" x14ac:dyDescent="0.2">
      <c r="A18" s="257">
        <v>4</v>
      </c>
      <c r="B18" s="2478" t="s">
        <v>263</v>
      </c>
      <c r="C18" s="2484" t="s">
        <v>342</v>
      </c>
      <c r="D18" s="643" t="s">
        <v>35</v>
      </c>
      <c r="E18" s="2825" t="s">
        <v>98</v>
      </c>
      <c r="F18" s="231">
        <v>1</v>
      </c>
      <c r="G18" s="630">
        <f>СР4!AF39</f>
        <v>0.8051263522201243</v>
      </c>
      <c r="H18" s="631">
        <f>СР4!AG39</f>
        <v>0.81911409281652792</v>
      </c>
      <c r="I18" s="234">
        <v>0.35</v>
      </c>
      <c r="J18" s="664"/>
      <c r="K18" s="664"/>
      <c r="L18" s="664"/>
      <c r="M18" s="664"/>
      <c r="N18" s="236"/>
      <c r="O18" s="251"/>
      <c r="P18" s="567">
        <f t="shared" si="2"/>
        <v>4.2699999999999995E-2</v>
      </c>
      <c r="Q18" s="682">
        <f t="shared" si="3"/>
        <v>2.5899999999999996E-2</v>
      </c>
      <c r="R18" s="139">
        <f t="shared" si="0"/>
        <v>0.83212264005030301</v>
      </c>
      <c r="S18" s="633">
        <f t="shared" si="1"/>
        <v>0.84609225682459699</v>
      </c>
      <c r="T18" s="319">
        <f t="shared" si="4"/>
        <v>4371.1185356941642</v>
      </c>
      <c r="U18" s="665">
        <f t="shared" si="5"/>
        <v>3722.9982600502926</v>
      </c>
    </row>
    <row r="19" spans="1:21" ht="12.75" customHeight="1" x14ac:dyDescent="0.2">
      <c r="A19" s="256">
        <v>4</v>
      </c>
      <c r="B19" s="2366"/>
      <c r="C19" s="2372"/>
      <c r="D19" s="644" t="s">
        <v>35</v>
      </c>
      <c r="E19" s="2826"/>
      <c r="F19" s="210">
        <v>2</v>
      </c>
      <c r="G19" s="308">
        <f>СР4!AF40</f>
        <v>0.8051263522201243</v>
      </c>
      <c r="H19" s="634">
        <f>СР4!AG40</f>
        <v>0.81911409281652792</v>
      </c>
      <c r="I19" s="213">
        <v>0.35</v>
      </c>
      <c r="J19" s="666"/>
      <c r="K19" s="666"/>
      <c r="L19" s="666"/>
      <c r="M19" s="666"/>
      <c r="N19" s="215"/>
      <c r="O19" s="216"/>
      <c r="P19" s="678">
        <f t="shared" si="2"/>
        <v>4.2699999999999995E-2</v>
      </c>
      <c r="Q19" s="814">
        <f t="shared" si="3"/>
        <v>2.5899999999999996E-2</v>
      </c>
      <c r="R19" s="157">
        <f t="shared" si="0"/>
        <v>0.83212264005030301</v>
      </c>
      <c r="S19" s="637">
        <f t="shared" si="1"/>
        <v>0.84609225682459699</v>
      </c>
      <c r="T19" s="341">
        <f t="shared" si="4"/>
        <v>4371.1185356941642</v>
      </c>
      <c r="U19" s="667">
        <f t="shared" si="5"/>
        <v>3722.9982600502926</v>
      </c>
    </row>
    <row r="20" spans="1:21" ht="12.75" customHeight="1" x14ac:dyDescent="0.2">
      <c r="A20" s="256">
        <v>4</v>
      </c>
      <c r="B20" s="2369" t="s">
        <v>48</v>
      </c>
      <c r="C20" s="2371" t="s">
        <v>353</v>
      </c>
      <c r="D20" s="644" t="s">
        <v>35</v>
      </c>
      <c r="E20" s="2821" t="s">
        <v>48</v>
      </c>
      <c r="F20" s="210">
        <v>1</v>
      </c>
      <c r="G20" s="308">
        <f>СР4!AF45</f>
        <v>0.80591334478704979</v>
      </c>
      <c r="H20" s="634">
        <f>СР4!AG45</f>
        <v>0.81999085317752785</v>
      </c>
      <c r="I20" s="213"/>
      <c r="J20" s="666">
        <v>0.3</v>
      </c>
      <c r="K20" s="666"/>
      <c r="L20" s="666"/>
      <c r="M20" s="666"/>
      <c r="N20" s="215"/>
      <c r="O20" s="216"/>
      <c r="P20" s="678">
        <f t="shared" si="2"/>
        <v>1.83E-2</v>
      </c>
      <c r="Q20" s="814">
        <f t="shared" si="3"/>
        <v>1.1099999999999999E-2</v>
      </c>
      <c r="R20" s="157">
        <f t="shared" si="0"/>
        <v>0.81721826678074361</v>
      </c>
      <c r="S20" s="637">
        <f t="shared" si="1"/>
        <v>0.83129230492971073</v>
      </c>
      <c r="T20" s="341">
        <f t="shared" si="4"/>
        <v>4450.8387094956088</v>
      </c>
      <c r="U20" s="667">
        <f t="shared" si="5"/>
        <v>3789.280835778151</v>
      </c>
    </row>
    <row r="21" spans="1:21" ht="12.75" customHeight="1" x14ac:dyDescent="0.2">
      <c r="A21" s="256">
        <v>4</v>
      </c>
      <c r="B21" s="2365"/>
      <c r="C21" s="2373"/>
      <c r="D21" s="644" t="s">
        <v>35</v>
      </c>
      <c r="E21" s="2826"/>
      <c r="F21" s="210">
        <v>2</v>
      </c>
      <c r="G21" s="308">
        <f>СР4!AF46</f>
        <v>0.80591334478704979</v>
      </c>
      <c r="H21" s="634">
        <f>СР4!AG46</f>
        <v>0.81999085317752785</v>
      </c>
      <c r="I21" s="213"/>
      <c r="J21" s="666">
        <v>0.3</v>
      </c>
      <c r="K21" s="666"/>
      <c r="L21" s="666"/>
      <c r="M21" s="666"/>
      <c r="N21" s="215"/>
      <c r="O21" s="216"/>
      <c r="P21" s="678">
        <f t="shared" si="2"/>
        <v>1.83E-2</v>
      </c>
      <c r="Q21" s="814">
        <f t="shared" si="3"/>
        <v>1.1099999999999999E-2</v>
      </c>
      <c r="R21" s="157">
        <f t="shared" si="0"/>
        <v>0.81721826678074361</v>
      </c>
      <c r="S21" s="637">
        <f t="shared" si="1"/>
        <v>0.83129230492971073</v>
      </c>
      <c r="T21" s="341">
        <f t="shared" si="4"/>
        <v>4450.8387094956088</v>
      </c>
      <c r="U21" s="667">
        <f t="shared" si="5"/>
        <v>3789.280835778151</v>
      </c>
    </row>
    <row r="22" spans="1:21" ht="12.75" customHeight="1" x14ac:dyDescent="0.2">
      <c r="A22" s="256">
        <v>4</v>
      </c>
      <c r="B22" s="2366"/>
      <c r="C22" s="2372"/>
      <c r="D22" s="644" t="s">
        <v>35</v>
      </c>
      <c r="E22" s="210" t="s">
        <v>97</v>
      </c>
      <c r="F22" s="210">
        <v>1</v>
      </c>
      <c r="G22" s="308">
        <f>СР4!AF35</f>
        <v>0.9506996732726366</v>
      </c>
      <c r="H22" s="634">
        <f>СР4!AG35</f>
        <v>0.96476862862359802</v>
      </c>
      <c r="I22" s="213"/>
      <c r="J22" s="666"/>
      <c r="K22" s="666"/>
      <c r="L22" s="666"/>
      <c r="M22" s="666">
        <v>0.04</v>
      </c>
      <c r="N22" s="215"/>
      <c r="O22" s="216"/>
      <c r="P22" s="678">
        <f t="shared" si="2"/>
        <v>6.5200000000000006E-3</v>
      </c>
      <c r="Q22" s="814">
        <f t="shared" si="3"/>
        <v>1.56E-3</v>
      </c>
      <c r="R22" s="157">
        <f t="shared" si="0"/>
        <v>0.95228199381344425</v>
      </c>
      <c r="S22" s="637">
        <f t="shared" si="1"/>
        <v>0.96635062420301854</v>
      </c>
      <c r="T22" s="341">
        <f t="shared" si="4"/>
        <v>3819.5689087104643</v>
      </c>
      <c r="U22" s="667">
        <f t="shared" si="5"/>
        <v>3259.6864130945323</v>
      </c>
    </row>
    <row r="23" spans="1:21" ht="12.75" customHeight="1" x14ac:dyDescent="0.2">
      <c r="A23" s="256">
        <v>4</v>
      </c>
      <c r="B23" s="2369" t="s">
        <v>235</v>
      </c>
      <c r="C23" s="2371" t="s">
        <v>342</v>
      </c>
      <c r="D23" s="644" t="s">
        <v>35</v>
      </c>
      <c r="E23" s="2821" t="s">
        <v>48</v>
      </c>
      <c r="F23" s="210">
        <v>1</v>
      </c>
      <c r="G23" s="308">
        <f>СР4!AF45</f>
        <v>0.80591334478704979</v>
      </c>
      <c r="H23" s="634">
        <f>СР4!AG45</f>
        <v>0.81999085317752785</v>
      </c>
      <c r="I23" s="213"/>
      <c r="J23" s="666"/>
      <c r="K23" s="666">
        <v>0.55000000000000004</v>
      </c>
      <c r="L23" s="666"/>
      <c r="M23" s="666"/>
      <c r="N23" s="215"/>
      <c r="O23" s="216"/>
      <c r="P23" s="678">
        <f t="shared" si="2"/>
        <v>2.7500000000000004E-2</v>
      </c>
      <c r="Q23" s="814">
        <f t="shared" si="3"/>
        <v>2.035E-2</v>
      </c>
      <c r="R23" s="157">
        <f t="shared" si="0"/>
        <v>0.82672085067372236</v>
      </c>
      <c r="S23" s="637">
        <f t="shared" si="1"/>
        <v>0.84079069899656678</v>
      </c>
      <c r="T23" s="341">
        <f t="shared" si="4"/>
        <v>4399.6793995584849</v>
      </c>
      <c r="U23" s="667">
        <f t="shared" si="5"/>
        <v>3746.4734133706947</v>
      </c>
    </row>
    <row r="24" spans="1:21" ht="12.75" customHeight="1" x14ac:dyDescent="0.2">
      <c r="A24" s="256">
        <v>4</v>
      </c>
      <c r="B24" s="2366"/>
      <c r="C24" s="2372"/>
      <c r="D24" s="644" t="s">
        <v>35</v>
      </c>
      <c r="E24" s="2826"/>
      <c r="F24" s="210">
        <v>2</v>
      </c>
      <c r="G24" s="308">
        <f>СР4!AF46</f>
        <v>0.80591334478704979</v>
      </c>
      <c r="H24" s="634">
        <f>СР4!AG46</f>
        <v>0.81999085317752785</v>
      </c>
      <c r="I24" s="213"/>
      <c r="J24" s="666"/>
      <c r="K24" s="666">
        <v>0.55000000000000004</v>
      </c>
      <c r="L24" s="666"/>
      <c r="M24" s="666"/>
      <c r="N24" s="215"/>
      <c r="O24" s="216"/>
      <c r="P24" s="678">
        <f t="shared" si="2"/>
        <v>2.7500000000000004E-2</v>
      </c>
      <c r="Q24" s="814">
        <f t="shared" si="3"/>
        <v>2.035E-2</v>
      </c>
      <c r="R24" s="157">
        <f t="shared" si="0"/>
        <v>0.82672085067372236</v>
      </c>
      <c r="S24" s="637">
        <f t="shared" si="1"/>
        <v>0.84079069899656678</v>
      </c>
      <c r="T24" s="341">
        <f t="shared" si="4"/>
        <v>4399.6793995584849</v>
      </c>
      <c r="U24" s="667">
        <f t="shared" si="5"/>
        <v>3746.4734133706947</v>
      </c>
    </row>
    <row r="25" spans="1:21" ht="12.75" customHeight="1" x14ac:dyDescent="0.2">
      <c r="A25" s="256">
        <v>4</v>
      </c>
      <c r="B25" s="2369" t="s">
        <v>264</v>
      </c>
      <c r="C25" s="2371" t="s">
        <v>361</v>
      </c>
      <c r="D25" s="644" t="s">
        <v>35</v>
      </c>
      <c r="E25" s="2821" t="s">
        <v>64</v>
      </c>
      <c r="F25" s="210">
        <v>1</v>
      </c>
      <c r="G25" s="308">
        <f>СР4!AF59</f>
        <v>0.67286151087550361</v>
      </c>
      <c r="H25" s="634">
        <f>СР4!AG59</f>
        <v>0.76445594125081251</v>
      </c>
      <c r="I25" s="213"/>
      <c r="J25" s="666"/>
      <c r="K25" s="666"/>
      <c r="L25" s="666">
        <v>0.05</v>
      </c>
      <c r="M25" s="666"/>
      <c r="N25" s="215"/>
      <c r="O25" s="216"/>
      <c r="P25" s="678">
        <f t="shared" si="2"/>
        <v>1.11E-2</v>
      </c>
      <c r="Q25" s="814">
        <f t="shared" si="3"/>
        <v>1.9500000000000001E-3</v>
      </c>
      <c r="R25" s="157">
        <f t="shared" si="0"/>
        <v>0.67490279686046639</v>
      </c>
      <c r="S25" s="637">
        <f t="shared" si="1"/>
        <v>0.76648631871974326</v>
      </c>
      <c r="T25" s="341">
        <f t="shared" si="4"/>
        <v>5389.3786080229302</v>
      </c>
      <c r="U25" s="667">
        <f t="shared" si="5"/>
        <v>4109.6623945766223</v>
      </c>
    </row>
    <row r="26" spans="1:21" ht="12.75" customHeight="1" x14ac:dyDescent="0.2">
      <c r="A26" s="255">
        <v>4</v>
      </c>
      <c r="B26" s="2366"/>
      <c r="C26" s="2372"/>
      <c r="D26" s="644" t="s">
        <v>35</v>
      </c>
      <c r="E26" s="2826"/>
      <c r="F26" s="210">
        <v>2</v>
      </c>
      <c r="G26" s="308">
        <f>СР4!AF60</f>
        <v>0.67286151087550361</v>
      </c>
      <c r="H26" s="634">
        <f>СР4!AG60</f>
        <v>0.76445594125081251</v>
      </c>
      <c r="I26" s="213"/>
      <c r="J26" s="666"/>
      <c r="K26" s="666"/>
      <c r="L26" s="666">
        <v>0.05</v>
      </c>
      <c r="M26" s="666"/>
      <c r="N26" s="215"/>
      <c r="O26" s="216"/>
      <c r="P26" s="678">
        <f t="shared" si="2"/>
        <v>1.11E-2</v>
      </c>
      <c r="Q26" s="814">
        <f t="shared" si="3"/>
        <v>1.9500000000000001E-3</v>
      </c>
      <c r="R26" s="157">
        <f t="shared" si="0"/>
        <v>0.67490279686046639</v>
      </c>
      <c r="S26" s="637">
        <f t="shared" si="1"/>
        <v>0.76648631871974326</v>
      </c>
      <c r="T26" s="341">
        <f t="shared" si="4"/>
        <v>5389.3786080229302</v>
      </c>
      <c r="U26" s="667">
        <f t="shared" si="5"/>
        <v>4109.6623945766223</v>
      </c>
    </row>
    <row r="27" spans="1:21" ht="12.75" customHeight="1" x14ac:dyDescent="0.2">
      <c r="A27" s="255">
        <v>4</v>
      </c>
      <c r="B27" s="2369" t="s">
        <v>265</v>
      </c>
      <c r="C27" s="2371" t="s">
        <v>361</v>
      </c>
      <c r="D27" s="644" t="s">
        <v>35</v>
      </c>
      <c r="E27" s="2821" t="s">
        <v>71</v>
      </c>
      <c r="F27" s="210">
        <v>1</v>
      </c>
      <c r="G27" s="308">
        <f>СР4!AF61</f>
        <v>0.7894627030492799</v>
      </c>
      <c r="H27" s="634">
        <f>СР4!AG61</f>
        <v>0.88064501004313622</v>
      </c>
      <c r="I27" s="213"/>
      <c r="J27" s="666"/>
      <c r="K27" s="666"/>
      <c r="L27" s="666"/>
      <c r="M27" s="666"/>
      <c r="N27" s="215"/>
      <c r="O27" s="216">
        <v>7.0000000000000007E-2</v>
      </c>
      <c r="P27" s="678">
        <f t="shared" si="2"/>
        <v>4.5500000000000002E-3</v>
      </c>
      <c r="Q27" s="814">
        <f t="shared" si="3"/>
        <v>2.5200000000000001E-3</v>
      </c>
      <c r="R27" s="157">
        <f t="shared" si="0"/>
        <v>0.79199577298697987</v>
      </c>
      <c r="S27" s="637">
        <f t="shared" si="1"/>
        <v>0.88317673059501112</v>
      </c>
      <c r="T27" s="341">
        <f t="shared" si="4"/>
        <v>4592.5834707130925</v>
      </c>
      <c r="U27" s="667">
        <f t="shared" si="5"/>
        <v>3566.6700569406894</v>
      </c>
    </row>
    <row r="28" spans="1:21" ht="12.75" customHeight="1" x14ac:dyDescent="0.2">
      <c r="A28" s="255">
        <v>4</v>
      </c>
      <c r="B28" s="2366"/>
      <c r="C28" s="2372"/>
      <c r="D28" s="644" t="s">
        <v>35</v>
      </c>
      <c r="E28" s="2826"/>
      <c r="F28" s="210">
        <v>2</v>
      </c>
      <c r="G28" s="308">
        <f>СР4!AF62</f>
        <v>0.79321936869057563</v>
      </c>
      <c r="H28" s="634">
        <f>СР4!AG62</f>
        <v>0.88440625992463173</v>
      </c>
      <c r="I28" s="213"/>
      <c r="J28" s="666"/>
      <c r="K28" s="666"/>
      <c r="L28" s="666"/>
      <c r="M28" s="666"/>
      <c r="N28" s="215"/>
      <c r="O28" s="216">
        <v>0.08</v>
      </c>
      <c r="P28" s="678">
        <f t="shared" si="2"/>
        <v>5.2000000000000006E-3</v>
      </c>
      <c r="Q28" s="814">
        <f t="shared" si="3"/>
        <v>2.8799999999999997E-3</v>
      </c>
      <c r="R28" s="157">
        <f t="shared" si="0"/>
        <v>0.79611635131401048</v>
      </c>
      <c r="S28" s="637">
        <f t="shared" si="1"/>
        <v>0.88730149726631313</v>
      </c>
      <c r="T28" s="341">
        <f t="shared" si="4"/>
        <v>4568.8129503824084</v>
      </c>
      <c r="U28" s="667">
        <f t="shared" si="5"/>
        <v>3550.0898056690244</v>
      </c>
    </row>
    <row r="29" spans="1:21" ht="12.75" customHeight="1" x14ac:dyDescent="0.2">
      <c r="A29" s="255">
        <v>4</v>
      </c>
      <c r="B29" s="2369" t="s">
        <v>166</v>
      </c>
      <c r="C29" s="2371" t="s">
        <v>353</v>
      </c>
      <c r="D29" s="644" t="s">
        <v>35</v>
      </c>
      <c r="E29" s="2821" t="s">
        <v>166</v>
      </c>
      <c r="F29" s="210">
        <v>1</v>
      </c>
      <c r="G29" s="308">
        <f>СР4!AF63</f>
        <v>0.60284693099671016</v>
      </c>
      <c r="H29" s="634">
        <f>СР4!AG63</f>
        <v>0.61557508017806462</v>
      </c>
      <c r="I29" s="213"/>
      <c r="J29" s="666"/>
      <c r="K29" s="666"/>
      <c r="L29" s="666"/>
      <c r="M29" s="666"/>
      <c r="N29" s="215">
        <v>0.11</v>
      </c>
      <c r="O29" s="216"/>
      <c r="P29" s="678">
        <f t="shared" si="2"/>
        <v>7.1500000000000001E-3</v>
      </c>
      <c r="Q29" s="814">
        <f t="shared" si="3"/>
        <v>3.96E-3</v>
      </c>
      <c r="R29" s="157">
        <f t="shared" si="0"/>
        <v>0.60684905372394393</v>
      </c>
      <c r="S29" s="637">
        <f t="shared" si="1"/>
        <v>0.61957633756563113</v>
      </c>
      <c r="T29" s="341">
        <f t="shared" si="4"/>
        <v>5993.7585361206739</v>
      </c>
      <c r="U29" s="667">
        <f t="shared" si="5"/>
        <v>5084.1192747557498</v>
      </c>
    </row>
    <row r="30" spans="1:21" ht="12.75" customHeight="1" thickBot="1" x14ac:dyDescent="0.25">
      <c r="A30" s="258">
        <v>4</v>
      </c>
      <c r="B30" s="2381"/>
      <c r="C30" s="2382"/>
      <c r="D30" s="645" t="s">
        <v>35</v>
      </c>
      <c r="E30" s="2822"/>
      <c r="F30" s="240">
        <v>2</v>
      </c>
      <c r="G30" s="638">
        <f>СР4!AF64</f>
        <v>0.59734130210571579</v>
      </c>
      <c r="H30" s="639">
        <f>СР4!AG64</f>
        <v>0.61006734679167229</v>
      </c>
      <c r="I30" s="242"/>
      <c r="J30" s="668"/>
      <c r="K30" s="668"/>
      <c r="L30" s="668"/>
      <c r="M30" s="668"/>
      <c r="N30" s="244">
        <v>0.11</v>
      </c>
      <c r="O30" s="249"/>
      <c r="P30" s="680">
        <f t="shared" si="2"/>
        <v>7.1500000000000001E-3</v>
      </c>
      <c r="Q30" s="815">
        <f t="shared" si="3"/>
        <v>3.96E-3</v>
      </c>
      <c r="R30" s="175">
        <f t="shared" si="0"/>
        <v>0.60134381048949803</v>
      </c>
      <c r="S30" s="642">
        <f t="shared" si="1"/>
        <v>0.61406897422685391</v>
      </c>
      <c r="T30" s="669">
        <f t="shared" si="4"/>
        <v>6048.6308039553105</v>
      </c>
      <c r="U30" s="670">
        <f t="shared" si="5"/>
        <v>5129.716908375025</v>
      </c>
    </row>
    <row r="31" spans="1:21" ht="12.75" customHeight="1" x14ac:dyDescent="0.2">
      <c r="A31" s="816">
        <v>4</v>
      </c>
      <c r="B31" s="2383" t="s">
        <v>265</v>
      </c>
      <c r="C31" s="2492" t="s">
        <v>361</v>
      </c>
      <c r="D31" s="770" t="s">
        <v>35</v>
      </c>
      <c r="E31" s="2845" t="s">
        <v>71</v>
      </c>
      <c r="F31" s="420">
        <v>1</v>
      </c>
      <c r="G31" s="771">
        <f>СР4!AF73</f>
        <v>0.97970022915718979</v>
      </c>
      <c r="H31" s="817">
        <f>СР4!AG73</f>
        <v>1.007484633961516</v>
      </c>
      <c r="I31" s="423"/>
      <c r="J31" s="773"/>
      <c r="K31" s="773"/>
      <c r="L31" s="773"/>
      <c r="M31" s="773"/>
      <c r="N31" s="425"/>
      <c r="O31" s="774">
        <v>7.0000000000000007E-2</v>
      </c>
      <c r="P31" s="775">
        <f>0.122*I31+0.061*J31+0.05*K31+0.222*L31+0.163*M31+0.065*N31+0.065*O31</f>
        <v>4.5500000000000002E-3</v>
      </c>
      <c r="Q31" s="772">
        <f>0.074*I31+0.037*J31+0.037*K31+0.039*L31+0.039*M31+0.036*N31+0.036*O31</f>
        <v>2.5200000000000001E-3</v>
      </c>
      <c r="R31" s="139">
        <f>SQRT(P31^2+(G31+Q31)^2)</f>
        <v>0.9822307677249793</v>
      </c>
      <c r="S31" s="633">
        <f>SQRT(P31^2+(H31+Q31)^2)</f>
        <v>1.0100148826248732</v>
      </c>
      <c r="T31" s="514">
        <f>6300/(SQRT(3)*R31)</f>
        <v>3703.1080835711246</v>
      </c>
      <c r="U31" s="794">
        <f>6300/(2*S31)</f>
        <v>3118.7659253234319</v>
      </c>
    </row>
    <row r="32" spans="1:21" ht="12.75" customHeight="1" thickBot="1" x14ac:dyDescent="0.25">
      <c r="A32" s="432">
        <v>4</v>
      </c>
      <c r="B32" s="2384"/>
      <c r="C32" s="2496"/>
      <c r="D32" s="787" t="s">
        <v>35</v>
      </c>
      <c r="E32" s="2849"/>
      <c r="F32" s="435">
        <v>2</v>
      </c>
      <c r="G32" s="788">
        <f>СР4!AF74</f>
        <v>0.98343357176916113</v>
      </c>
      <c r="H32" s="818">
        <f>СР4!AG74</f>
        <v>1.0112205249759174</v>
      </c>
      <c r="I32" s="438"/>
      <c r="J32" s="790"/>
      <c r="K32" s="790"/>
      <c r="L32" s="790"/>
      <c r="M32" s="790"/>
      <c r="N32" s="440"/>
      <c r="O32" s="819">
        <v>0.08</v>
      </c>
      <c r="P32" s="792">
        <f>0.122*I32+0.061*J32+0.05*K32+0.222*L32+0.163*M32+0.065*N32+0.065*O32</f>
        <v>5.2000000000000006E-3</v>
      </c>
      <c r="Q32" s="820">
        <f>0.074*I32+0.037*J32+0.037*K32+0.039*L32+0.039*M32+0.036*N32+0.036*O32</f>
        <v>2.8799999999999997E-3</v>
      </c>
      <c r="R32" s="175">
        <f>SQRT(P32^2+(G32+Q32)^2)</f>
        <v>0.98632727928210528</v>
      </c>
      <c r="S32" s="642">
        <f>SQRT(P32^2+(H32+Q32)^2)</f>
        <v>1.01411385689992</v>
      </c>
      <c r="T32" s="797">
        <f>6300/(SQRT(3)*R32)</f>
        <v>3687.7279705191195</v>
      </c>
      <c r="U32" s="798">
        <f>6300/(2*S32)</f>
        <v>3106.1601008286634</v>
      </c>
    </row>
    <row r="33" spans="2:17" x14ac:dyDescent="0.2">
      <c r="E33" s="187"/>
      <c r="F33" s="187"/>
      <c r="P33" s="193"/>
      <c r="Q33" s="193"/>
    </row>
    <row r="34" spans="2:17" ht="15.75" x14ac:dyDescent="0.2">
      <c r="B34" s="192" t="s">
        <v>158</v>
      </c>
      <c r="C34" s="192"/>
      <c r="D34" s="2378">
        <v>42647</v>
      </c>
      <c r="E34" s="2378"/>
      <c r="F34" s="186"/>
    </row>
    <row r="35" spans="2:17" x14ac:dyDescent="0.2">
      <c r="B35" s="185" t="s">
        <v>328</v>
      </c>
      <c r="D35" s="2380" t="s">
        <v>189</v>
      </c>
      <c r="E35" s="2380"/>
    </row>
    <row r="39" spans="2:17" x14ac:dyDescent="0.2">
      <c r="O39" s="100"/>
      <c r="P39" s="100"/>
      <c r="Q39" s="100"/>
    </row>
    <row r="107" spans="1:1" x14ac:dyDescent="0.2">
      <c r="A107" s="195"/>
    </row>
    <row r="108" spans="1:1" x14ac:dyDescent="0.2">
      <c r="A108" s="195"/>
    </row>
    <row r="109" spans="1:1" x14ac:dyDescent="0.2">
      <c r="A109" s="195"/>
    </row>
    <row r="110" spans="1:1" x14ac:dyDescent="0.2">
      <c r="A110" s="195"/>
    </row>
  </sheetData>
  <mergeCells count="53">
    <mergeCell ref="B31:B32"/>
    <mergeCell ref="C31:C32"/>
    <mergeCell ref="E31:E32"/>
    <mergeCell ref="E14:E15"/>
    <mergeCell ref="E16:E17"/>
    <mergeCell ref="E18:E19"/>
    <mergeCell ref="E20:E21"/>
    <mergeCell ref="E23:E24"/>
    <mergeCell ref="C20:C22"/>
    <mergeCell ref="C23:C24"/>
    <mergeCell ref="C25:C26"/>
    <mergeCell ref="C27:C28"/>
    <mergeCell ref="C18:C19"/>
    <mergeCell ref="E29:E30"/>
    <mergeCell ref="B25:B26"/>
    <mergeCell ref="B27:B28"/>
    <mergeCell ref="C29:C30"/>
    <mergeCell ref="B29:B30"/>
    <mergeCell ref="E25:E26"/>
    <mergeCell ref="B20:B22"/>
    <mergeCell ref="B23:B24"/>
    <mergeCell ref="A1:U1"/>
    <mergeCell ref="A2:A4"/>
    <mergeCell ref="B2:B4"/>
    <mergeCell ref="D2:D4"/>
    <mergeCell ref="E2:E4"/>
    <mergeCell ref="B5:B6"/>
    <mergeCell ref="B7:B9"/>
    <mergeCell ref="B10:B11"/>
    <mergeCell ref="C10:C11"/>
    <mergeCell ref="C12:C13"/>
    <mergeCell ref="C14:C15"/>
    <mergeCell ref="C16:C17"/>
    <mergeCell ref="C2:C4"/>
    <mergeCell ref="I2:O2"/>
    <mergeCell ref="P2:Q3"/>
    <mergeCell ref="R2:S2"/>
    <mergeCell ref="B18:B19"/>
    <mergeCell ref="C5:C6"/>
    <mergeCell ref="C7:C9"/>
    <mergeCell ref="B12:B13"/>
    <mergeCell ref="B14:B15"/>
    <mergeCell ref="B16:B17"/>
    <mergeCell ref="T2:U2"/>
    <mergeCell ref="D34:E34"/>
    <mergeCell ref="D35:E35"/>
    <mergeCell ref="E5:E6"/>
    <mergeCell ref="E7:E8"/>
    <mergeCell ref="E10:E11"/>
    <mergeCell ref="E12:E13"/>
    <mergeCell ref="F2:F4"/>
    <mergeCell ref="G2:H2"/>
    <mergeCell ref="E27:E28"/>
  </mergeCells>
  <pageMargins left="0.39370078740157483" right="0.39370078740157483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4AC3-1841-42BA-AEAC-331715E6FECA}">
  <sheetPr codeName="Лист21"/>
  <dimension ref="A1:AO10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22" sqref="G22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4" width="5.5703125" style="188" customWidth="1"/>
    <col min="15" max="16" width="5.5703125" style="189" customWidth="1"/>
    <col min="17" max="18" width="6.7109375" style="186" customWidth="1"/>
    <col min="19" max="20" width="6.7109375" style="100" customWidth="1"/>
    <col min="21" max="22" width="6.7109375" style="190" customWidth="1"/>
    <col min="23" max="16384" width="9.140625" style="100"/>
  </cols>
  <sheetData>
    <row r="1" spans="1:41" ht="36.75" customHeight="1" thickBot="1" x14ac:dyDescent="0.25">
      <c r="A1" s="2302" t="s">
        <v>372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302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</row>
    <row r="2" spans="1:41" s="101" customFormat="1" ht="69.75" customHeight="1" x14ac:dyDescent="0.2">
      <c r="A2" s="2303" t="s">
        <v>0</v>
      </c>
      <c r="B2" s="2306" t="s">
        <v>403</v>
      </c>
      <c r="C2" s="2306" t="s">
        <v>10</v>
      </c>
      <c r="D2" s="2312" t="s">
        <v>4</v>
      </c>
      <c r="E2" s="2315" t="s">
        <v>404</v>
      </c>
      <c r="F2" s="2315" t="s">
        <v>225</v>
      </c>
      <c r="G2" s="2318" t="s">
        <v>405</v>
      </c>
      <c r="H2" s="2319"/>
      <c r="I2" s="2320" t="s">
        <v>230</v>
      </c>
      <c r="J2" s="2321"/>
      <c r="K2" s="2321"/>
      <c r="L2" s="2321"/>
      <c r="M2" s="2321"/>
      <c r="N2" s="2321"/>
      <c r="O2" s="2321"/>
      <c r="P2" s="2322"/>
      <c r="Q2" s="2323" t="s">
        <v>360</v>
      </c>
      <c r="R2" s="2324"/>
      <c r="S2" s="2347" t="s">
        <v>232</v>
      </c>
      <c r="T2" s="2348"/>
      <c r="U2" s="2328" t="s">
        <v>231</v>
      </c>
      <c r="V2" s="2829"/>
    </row>
    <row r="3" spans="1:41" s="101" customFormat="1" ht="36" customHeight="1" x14ac:dyDescent="0.2">
      <c r="A3" s="2304"/>
      <c r="B3" s="2307"/>
      <c r="C3" s="2307"/>
      <c r="D3" s="2313"/>
      <c r="E3" s="2316"/>
      <c r="F3" s="2316"/>
      <c r="G3" s="102" t="s">
        <v>220</v>
      </c>
      <c r="H3" s="103" t="s">
        <v>29</v>
      </c>
      <c r="I3" s="611" t="s">
        <v>281</v>
      </c>
      <c r="J3" s="612" t="s">
        <v>259</v>
      </c>
      <c r="K3" s="612" t="s">
        <v>282</v>
      </c>
      <c r="L3" s="612" t="s">
        <v>283</v>
      </c>
      <c r="M3" s="612" t="s">
        <v>284</v>
      </c>
      <c r="N3" s="612" t="s">
        <v>285</v>
      </c>
      <c r="O3" s="402" t="s">
        <v>286</v>
      </c>
      <c r="P3" s="403" t="s">
        <v>287</v>
      </c>
      <c r="Q3" s="2325"/>
      <c r="R3" s="2326"/>
      <c r="S3" s="107" t="s">
        <v>216</v>
      </c>
      <c r="T3" s="108" t="s">
        <v>217</v>
      </c>
      <c r="U3" s="109" t="s">
        <v>218</v>
      </c>
      <c r="V3" s="111" t="s">
        <v>219</v>
      </c>
    </row>
    <row r="4" spans="1:41" s="101" customFormat="1" ht="13.5" thickBot="1" x14ac:dyDescent="0.25">
      <c r="A4" s="2305"/>
      <c r="B4" s="2308"/>
      <c r="C4" s="2308"/>
      <c r="D4" s="2314"/>
      <c r="E4" s="2317"/>
      <c r="F4" s="2317"/>
      <c r="G4" s="112" t="s">
        <v>30</v>
      </c>
      <c r="H4" s="113" t="s">
        <v>30</v>
      </c>
      <c r="I4" s="114" t="s">
        <v>31</v>
      </c>
      <c r="J4" s="657" t="s">
        <v>31</v>
      </c>
      <c r="K4" s="657" t="s">
        <v>31</v>
      </c>
      <c r="L4" s="657" t="s">
        <v>31</v>
      </c>
      <c r="M4" s="657" t="s">
        <v>31</v>
      </c>
      <c r="N4" s="115" t="s">
        <v>31</v>
      </c>
      <c r="O4" s="116" t="s">
        <v>31</v>
      </c>
      <c r="P4" s="117" t="s">
        <v>31</v>
      </c>
      <c r="Q4" s="118" t="s">
        <v>30</v>
      </c>
      <c r="R4" s="116" t="s">
        <v>30</v>
      </c>
      <c r="S4" s="613" t="s">
        <v>30</v>
      </c>
      <c r="T4" s="614" t="s">
        <v>30</v>
      </c>
      <c r="U4" s="125" t="s">
        <v>35</v>
      </c>
      <c r="V4" s="126" t="s">
        <v>35</v>
      </c>
    </row>
    <row r="5" spans="1:41" ht="12.75" customHeight="1" x14ac:dyDescent="0.2">
      <c r="A5" s="658">
        <v>5</v>
      </c>
      <c r="B5" s="2306" t="s">
        <v>273</v>
      </c>
      <c r="C5" s="2482" t="s">
        <v>340</v>
      </c>
      <c r="D5" s="128" t="s">
        <v>39</v>
      </c>
      <c r="E5" s="2827" t="s">
        <v>112</v>
      </c>
      <c r="F5" s="655">
        <v>1</v>
      </c>
      <c r="G5" s="615">
        <v>0.188</v>
      </c>
      <c r="H5" s="616">
        <v>0.219</v>
      </c>
      <c r="I5" s="131"/>
      <c r="J5" s="659"/>
      <c r="K5" s="659"/>
      <c r="L5" s="659"/>
      <c r="M5" s="659"/>
      <c r="N5" s="132">
        <v>0.09</v>
      </c>
      <c r="O5" s="133"/>
      <c r="P5" s="134"/>
      <c r="Q5" s="620">
        <f>0.033*I5+0.129*J5+0.129*K5+0.065*L5+0.043*M5+0.0184*N5+0.308*O5+0.03*P5</f>
        <v>1.6559999999999999E-3</v>
      </c>
      <c r="R5" s="620">
        <f t="shared" ref="R5:R21" si="0">0.024*I5+0.071*J5+0.038*K5+0.036*L5+0.024*M5+0.01*N5+0.4*O5+0.2*P5</f>
        <v>8.9999999999999998E-4</v>
      </c>
      <c r="S5" s="617">
        <f>SQRT(Q5^2+(G5+R5)^2)</f>
        <v>0.18890725855826718</v>
      </c>
      <c r="T5" s="140">
        <f>SQRT(Q5^2+(H5+R5)^2)</f>
        <v>0.21990623532769599</v>
      </c>
      <c r="U5" s="356">
        <f>6300/(SQRT(3)*S5)</f>
        <v>19254.457047624455</v>
      </c>
      <c r="V5" s="618">
        <f>6300/(2*T5)</f>
        <v>14324.286873021079</v>
      </c>
    </row>
    <row r="6" spans="1:41" ht="12.75" customHeight="1" x14ac:dyDescent="0.2">
      <c r="A6" s="144">
        <v>5</v>
      </c>
      <c r="B6" s="2359"/>
      <c r="C6" s="2363"/>
      <c r="D6" s="145" t="s">
        <v>39</v>
      </c>
      <c r="E6" s="2824"/>
      <c r="F6" s="146">
        <v>2</v>
      </c>
      <c r="G6" s="275">
        <v>0.188</v>
      </c>
      <c r="H6" s="278">
        <v>0.219</v>
      </c>
      <c r="I6" s="147"/>
      <c r="J6" s="660"/>
      <c r="K6" s="660"/>
      <c r="L6" s="660"/>
      <c r="M6" s="660"/>
      <c r="N6" s="148">
        <v>0.06</v>
      </c>
      <c r="O6" s="149"/>
      <c r="P6" s="150"/>
      <c r="Q6" s="620">
        <f t="shared" ref="Q6:Q27" si="1">0.033*I6+0.129*J6+0.129*K6+0.065*L6+0.043*M6+0.0184*N6+0.308*O6+0.03*P6</f>
        <v>1.1039999999999999E-3</v>
      </c>
      <c r="R6" s="620">
        <f t="shared" si="0"/>
        <v>5.9999999999999995E-4</v>
      </c>
      <c r="S6" s="157">
        <f>SQRT(Q6^2+(G6+R6)^2)</f>
        <v>0.18860323119183298</v>
      </c>
      <c r="T6" s="158">
        <f>SQRT(Q6^2+(H6+R6)^2)</f>
        <v>0.2196027750644331</v>
      </c>
      <c r="U6" s="542">
        <f t="shared" ref="U6:U27" si="2">6300/(SQRT(3)*S6)</f>
        <v>19285.495125982485</v>
      </c>
      <c r="V6" s="619">
        <f t="shared" ref="V6:V27" si="3">6300/(2*T6)</f>
        <v>14344.081030286463</v>
      </c>
    </row>
    <row r="7" spans="1:41" ht="12.75" customHeight="1" x14ac:dyDescent="0.2">
      <c r="A7" s="144">
        <v>5</v>
      </c>
      <c r="B7" s="2358" t="s">
        <v>274</v>
      </c>
      <c r="C7" s="2362" t="s">
        <v>361</v>
      </c>
      <c r="D7" s="145" t="s">
        <v>39</v>
      </c>
      <c r="E7" s="2823" t="s">
        <v>288</v>
      </c>
      <c r="F7" s="146">
        <v>1</v>
      </c>
      <c r="G7" s="275">
        <f>S5</f>
        <v>0.18890725855826718</v>
      </c>
      <c r="H7" s="278">
        <f>T5</f>
        <v>0.21990623532769599</v>
      </c>
      <c r="I7" s="147"/>
      <c r="J7" s="660"/>
      <c r="K7" s="660"/>
      <c r="L7" s="660">
        <v>0.16</v>
      </c>
      <c r="M7" s="660"/>
      <c r="N7" s="148"/>
      <c r="O7" s="149"/>
      <c r="P7" s="150"/>
      <c r="Q7" s="620">
        <f t="shared" si="1"/>
        <v>1.0400000000000001E-2</v>
      </c>
      <c r="R7" s="620">
        <f t="shared" si="0"/>
        <v>5.7599999999999995E-3</v>
      </c>
      <c r="S7" s="157">
        <f t="shared" ref="S7:S27" si="4">SQRT(Q7^2+(G7+R7)^2)</f>
        <v>0.19494486798731389</v>
      </c>
      <c r="T7" s="158">
        <f t="shared" ref="T7:T27" si="5">SQRT(Q7^2+(H7+R7)^2)</f>
        <v>0.225905754169687</v>
      </c>
      <c r="U7" s="542">
        <f t="shared" si="2"/>
        <v>18658.130031570472</v>
      </c>
      <c r="V7" s="619">
        <f t="shared" si="3"/>
        <v>13943.867926595207</v>
      </c>
    </row>
    <row r="8" spans="1:41" ht="12.75" customHeight="1" x14ac:dyDescent="0.2">
      <c r="A8" s="144">
        <v>5</v>
      </c>
      <c r="B8" s="2307"/>
      <c r="C8" s="2483"/>
      <c r="D8" s="145" t="s">
        <v>39</v>
      </c>
      <c r="E8" s="2850"/>
      <c r="F8" s="146">
        <v>2</v>
      </c>
      <c r="G8" s="275">
        <f>S6</f>
        <v>0.18860323119183298</v>
      </c>
      <c r="H8" s="278">
        <f>T6</f>
        <v>0.2196027750644331</v>
      </c>
      <c r="I8" s="147"/>
      <c r="J8" s="660"/>
      <c r="K8" s="660"/>
      <c r="L8" s="660">
        <v>0.15</v>
      </c>
      <c r="M8" s="660"/>
      <c r="N8" s="148"/>
      <c r="O8" s="149"/>
      <c r="P8" s="150"/>
      <c r="Q8" s="620">
        <f t="shared" si="1"/>
        <v>9.75E-3</v>
      </c>
      <c r="R8" s="620">
        <f t="shared" si="0"/>
        <v>5.3999999999999994E-3</v>
      </c>
      <c r="S8" s="157">
        <f t="shared" si="4"/>
        <v>0.19424807904551281</v>
      </c>
      <c r="T8" s="158">
        <f t="shared" si="5"/>
        <v>0.22521392338551335</v>
      </c>
      <c r="U8" s="542">
        <f t="shared" si="2"/>
        <v>18725.058769010593</v>
      </c>
      <c r="V8" s="619">
        <f t="shared" si="3"/>
        <v>13986.701855053338</v>
      </c>
    </row>
    <row r="9" spans="1:41" ht="12.75" customHeight="1" x14ac:dyDescent="0.2">
      <c r="A9" s="144">
        <v>5</v>
      </c>
      <c r="B9" s="2359"/>
      <c r="C9" s="2363"/>
      <c r="D9" s="145" t="s">
        <v>39</v>
      </c>
      <c r="E9" s="2824"/>
      <c r="F9" s="146">
        <v>3</v>
      </c>
      <c r="G9" s="275">
        <f>S5</f>
        <v>0.18890725855826718</v>
      </c>
      <c r="H9" s="278">
        <f>T5</f>
        <v>0.21990623532769599</v>
      </c>
      <c r="I9" s="147"/>
      <c r="J9" s="660"/>
      <c r="K9" s="660"/>
      <c r="L9" s="660"/>
      <c r="M9" s="660">
        <v>0.16</v>
      </c>
      <c r="N9" s="148"/>
      <c r="O9" s="149"/>
      <c r="P9" s="150"/>
      <c r="Q9" s="620">
        <f t="shared" si="1"/>
        <v>6.8799999999999998E-3</v>
      </c>
      <c r="R9" s="620">
        <f>0.024*I9+0.071*J9+0.038*K9+0.036*L9+0.024*M9+0.01*N9+0.4*O9+0.2*P9+0.35</f>
        <v>0.35383999999999999</v>
      </c>
      <c r="S9" s="157">
        <f t="shared" si="4"/>
        <v>0.5427908631070667</v>
      </c>
      <c r="T9" s="158">
        <f t="shared" si="5"/>
        <v>0.57378748413737979</v>
      </c>
      <c r="U9" s="542">
        <f t="shared" si="2"/>
        <v>6701.1199766219643</v>
      </c>
      <c r="V9" s="619">
        <f t="shared" si="3"/>
        <v>5489.8374173072889</v>
      </c>
    </row>
    <row r="10" spans="1:41" ht="12.75" customHeight="1" x14ac:dyDescent="0.2">
      <c r="A10" s="144">
        <v>5</v>
      </c>
      <c r="B10" s="2358" t="s">
        <v>254</v>
      </c>
      <c r="C10" s="2362" t="s">
        <v>353</v>
      </c>
      <c r="D10" s="145" t="s">
        <v>39</v>
      </c>
      <c r="E10" s="2823" t="s">
        <v>288</v>
      </c>
      <c r="F10" s="146">
        <v>1</v>
      </c>
      <c r="G10" s="275">
        <f>S5</f>
        <v>0.18890725855826718</v>
      </c>
      <c r="H10" s="278">
        <f>T5</f>
        <v>0.21990623532769599</v>
      </c>
      <c r="I10" s="147"/>
      <c r="J10" s="660"/>
      <c r="K10" s="660">
        <v>0.25</v>
      </c>
      <c r="L10" s="660"/>
      <c r="M10" s="660"/>
      <c r="N10" s="148"/>
      <c r="O10" s="149"/>
      <c r="P10" s="150"/>
      <c r="Q10" s="620">
        <f t="shared" si="1"/>
        <v>3.2250000000000001E-2</v>
      </c>
      <c r="R10" s="620">
        <f t="shared" si="0"/>
        <v>9.4999999999999998E-3</v>
      </c>
      <c r="S10" s="157">
        <f t="shared" si="4"/>
        <v>0.20101120055511107</v>
      </c>
      <c r="T10" s="158">
        <f t="shared" si="5"/>
        <v>0.2316620022947791</v>
      </c>
      <c r="U10" s="542">
        <f t="shared" si="2"/>
        <v>18095.044882324382</v>
      </c>
      <c r="V10" s="619">
        <f t="shared" si="3"/>
        <v>13597.39607185028</v>
      </c>
    </row>
    <row r="11" spans="1:41" ht="12.75" customHeight="1" x14ac:dyDescent="0.2">
      <c r="A11" s="144">
        <v>5</v>
      </c>
      <c r="B11" s="2359"/>
      <c r="C11" s="2363"/>
      <c r="D11" s="145" t="s">
        <v>39</v>
      </c>
      <c r="E11" s="2824"/>
      <c r="F11" s="146">
        <v>2</v>
      </c>
      <c r="G11" s="275">
        <f>S6</f>
        <v>0.18860323119183298</v>
      </c>
      <c r="H11" s="278">
        <f>T6</f>
        <v>0.2196027750644331</v>
      </c>
      <c r="I11" s="147"/>
      <c r="J11" s="660"/>
      <c r="K11" s="660">
        <v>0.25</v>
      </c>
      <c r="L11" s="660"/>
      <c r="M11" s="660"/>
      <c r="N11" s="148"/>
      <c r="O11" s="149"/>
      <c r="P11" s="150"/>
      <c r="Q11" s="620">
        <f t="shared" si="1"/>
        <v>3.2250000000000001E-2</v>
      </c>
      <c r="R11" s="620">
        <f t="shared" si="0"/>
        <v>9.4999999999999998E-3</v>
      </c>
      <c r="S11" s="157">
        <f t="shared" si="4"/>
        <v>0.20071111755118307</v>
      </c>
      <c r="T11" s="158">
        <f t="shared" si="5"/>
        <v>0.23136150077794757</v>
      </c>
      <c r="U11" s="542">
        <f t="shared" si="2"/>
        <v>18122.09876698583</v>
      </c>
      <c r="V11" s="619">
        <f t="shared" si="3"/>
        <v>13615.056910541294</v>
      </c>
    </row>
    <row r="12" spans="1:41" ht="12.75" customHeight="1" x14ac:dyDescent="0.2">
      <c r="A12" s="144">
        <v>5</v>
      </c>
      <c r="B12" s="2358" t="s">
        <v>275</v>
      </c>
      <c r="C12" s="2362" t="s">
        <v>353</v>
      </c>
      <c r="D12" s="145" t="s">
        <v>39</v>
      </c>
      <c r="E12" s="2823" t="s">
        <v>280</v>
      </c>
      <c r="F12" s="146">
        <v>1</v>
      </c>
      <c r="G12" s="275">
        <v>0.313</v>
      </c>
      <c r="H12" s="278">
        <v>0.34200000000000003</v>
      </c>
      <c r="I12" s="147"/>
      <c r="J12" s="660"/>
      <c r="K12" s="660"/>
      <c r="L12" s="660"/>
      <c r="M12" s="660"/>
      <c r="N12" s="148"/>
      <c r="O12" s="149"/>
      <c r="P12" s="150"/>
      <c r="Q12" s="620">
        <f t="shared" si="1"/>
        <v>0</v>
      </c>
      <c r="R12" s="620">
        <f t="shared" si="0"/>
        <v>0</v>
      </c>
      <c r="S12" s="157">
        <f t="shared" si="4"/>
        <v>0.313</v>
      </c>
      <c r="T12" s="158">
        <f t="shared" si="5"/>
        <v>0.34200000000000003</v>
      </c>
      <c r="U12" s="542">
        <f t="shared" si="2"/>
        <v>11620.788165797581</v>
      </c>
      <c r="V12" s="619">
        <f t="shared" si="3"/>
        <v>9210.5263157894733</v>
      </c>
    </row>
    <row r="13" spans="1:41" ht="12.75" customHeight="1" x14ac:dyDescent="0.2">
      <c r="A13" s="144">
        <v>5</v>
      </c>
      <c r="B13" s="2359"/>
      <c r="C13" s="2363"/>
      <c r="D13" s="145" t="s">
        <v>39</v>
      </c>
      <c r="E13" s="2824"/>
      <c r="F13" s="146">
        <v>2</v>
      </c>
      <c r="G13" s="275">
        <v>0.313</v>
      </c>
      <c r="H13" s="278">
        <v>0.34200000000000003</v>
      </c>
      <c r="I13" s="147"/>
      <c r="J13" s="660"/>
      <c r="K13" s="660"/>
      <c r="L13" s="660"/>
      <c r="M13" s="660"/>
      <c r="N13" s="148"/>
      <c r="O13" s="149"/>
      <c r="P13" s="150"/>
      <c r="Q13" s="620">
        <f t="shared" si="1"/>
        <v>0</v>
      </c>
      <c r="R13" s="620">
        <f t="shared" si="0"/>
        <v>0</v>
      </c>
      <c r="S13" s="157">
        <f t="shared" si="4"/>
        <v>0.313</v>
      </c>
      <c r="T13" s="158">
        <f t="shared" si="5"/>
        <v>0.34200000000000003</v>
      </c>
      <c r="U13" s="542">
        <f t="shared" si="2"/>
        <v>11620.788165797581</v>
      </c>
      <c r="V13" s="619">
        <f t="shared" si="3"/>
        <v>9210.5263157894733</v>
      </c>
    </row>
    <row r="14" spans="1:41" ht="12.75" customHeight="1" x14ac:dyDescent="0.2">
      <c r="A14" s="144">
        <v>5</v>
      </c>
      <c r="B14" s="2358" t="s">
        <v>48</v>
      </c>
      <c r="C14" s="2362" t="s">
        <v>352</v>
      </c>
      <c r="D14" s="145" t="s">
        <v>39</v>
      </c>
      <c r="E14" s="2823" t="s">
        <v>279</v>
      </c>
      <c r="F14" s="146">
        <v>1</v>
      </c>
      <c r="G14" s="275">
        <f>S12</f>
        <v>0.313</v>
      </c>
      <c r="H14" s="278">
        <f>T12</f>
        <v>0.34200000000000003</v>
      </c>
      <c r="I14" s="147"/>
      <c r="J14" s="660">
        <v>0.2</v>
      </c>
      <c r="K14" s="660"/>
      <c r="L14" s="660"/>
      <c r="M14" s="660"/>
      <c r="N14" s="148"/>
      <c r="O14" s="149"/>
      <c r="P14" s="150"/>
      <c r="Q14" s="620">
        <f t="shared" si="1"/>
        <v>2.5800000000000003E-2</v>
      </c>
      <c r="R14" s="620">
        <f t="shared" si="0"/>
        <v>1.4199999999999999E-2</v>
      </c>
      <c r="S14" s="157">
        <f t="shared" si="4"/>
        <v>0.3282155998730103</v>
      </c>
      <c r="T14" s="158">
        <f t="shared" si="5"/>
        <v>0.35713314043924854</v>
      </c>
      <c r="U14" s="542">
        <f t="shared" si="2"/>
        <v>11082.0652561973</v>
      </c>
      <c r="V14" s="619">
        <f t="shared" si="3"/>
        <v>8820.2399702411331</v>
      </c>
    </row>
    <row r="15" spans="1:41" ht="12.75" customHeight="1" x14ac:dyDescent="0.2">
      <c r="A15" s="144">
        <v>5</v>
      </c>
      <c r="B15" s="2359"/>
      <c r="C15" s="2363"/>
      <c r="D15" s="145" t="s">
        <v>39</v>
      </c>
      <c r="E15" s="2824"/>
      <c r="F15" s="146">
        <v>2</v>
      </c>
      <c r="G15" s="275">
        <f>S13</f>
        <v>0.313</v>
      </c>
      <c r="H15" s="278">
        <f>T13</f>
        <v>0.34200000000000003</v>
      </c>
      <c r="I15" s="147"/>
      <c r="J15" s="660">
        <v>0.2</v>
      </c>
      <c r="K15" s="660"/>
      <c r="L15" s="660"/>
      <c r="M15" s="660"/>
      <c r="N15" s="148"/>
      <c r="O15" s="149"/>
      <c r="P15" s="150"/>
      <c r="Q15" s="620">
        <f t="shared" si="1"/>
        <v>2.5800000000000003E-2</v>
      </c>
      <c r="R15" s="620">
        <f t="shared" si="0"/>
        <v>1.4199999999999999E-2</v>
      </c>
      <c r="S15" s="157">
        <f t="shared" si="4"/>
        <v>0.3282155998730103</v>
      </c>
      <c r="T15" s="158">
        <f t="shared" si="5"/>
        <v>0.35713314043924854</v>
      </c>
      <c r="U15" s="542">
        <f t="shared" si="2"/>
        <v>11082.0652561973</v>
      </c>
      <c r="V15" s="619">
        <f t="shared" si="3"/>
        <v>8820.2399702411331</v>
      </c>
    </row>
    <row r="16" spans="1:41" ht="12.75" customHeight="1" x14ac:dyDescent="0.2">
      <c r="A16" s="144">
        <v>5</v>
      </c>
      <c r="B16" s="2358" t="s">
        <v>276</v>
      </c>
      <c r="C16" s="2362" t="s">
        <v>353</v>
      </c>
      <c r="D16" s="145" t="s">
        <v>39</v>
      </c>
      <c r="E16" s="2823" t="s">
        <v>115</v>
      </c>
      <c r="F16" s="146">
        <v>1</v>
      </c>
      <c r="G16" s="275">
        <v>0.20499999999999999</v>
      </c>
      <c r="H16" s="278">
        <v>0.26600000000000001</v>
      </c>
      <c r="I16" s="147"/>
      <c r="J16" s="660"/>
      <c r="K16" s="660"/>
      <c r="L16" s="660"/>
      <c r="M16" s="660"/>
      <c r="N16" s="148"/>
      <c r="O16" s="149"/>
      <c r="P16" s="150"/>
      <c r="Q16" s="620">
        <f t="shared" si="1"/>
        <v>0</v>
      </c>
      <c r="R16" s="620">
        <f t="shared" si="0"/>
        <v>0</v>
      </c>
      <c r="S16" s="157">
        <f t="shared" si="4"/>
        <v>0.20499999999999999</v>
      </c>
      <c r="T16" s="158">
        <f t="shared" si="5"/>
        <v>0.26600000000000001</v>
      </c>
      <c r="U16" s="542">
        <f t="shared" si="2"/>
        <v>17742.95949216899</v>
      </c>
      <c r="V16" s="619">
        <f t="shared" si="3"/>
        <v>11842.105263157893</v>
      </c>
    </row>
    <row r="17" spans="1:22" ht="12.75" customHeight="1" x14ac:dyDescent="0.2">
      <c r="A17" s="144">
        <v>5</v>
      </c>
      <c r="B17" s="2359"/>
      <c r="C17" s="2363"/>
      <c r="D17" s="145" t="s">
        <v>39</v>
      </c>
      <c r="E17" s="2824"/>
      <c r="F17" s="146">
        <v>2</v>
      </c>
      <c r="G17" s="275">
        <v>0.20499999999999999</v>
      </c>
      <c r="H17" s="278">
        <v>0.26600000000000001</v>
      </c>
      <c r="I17" s="147"/>
      <c r="J17" s="660"/>
      <c r="K17" s="660"/>
      <c r="L17" s="660"/>
      <c r="M17" s="660"/>
      <c r="N17" s="148"/>
      <c r="O17" s="149"/>
      <c r="P17" s="150"/>
      <c r="Q17" s="620">
        <f t="shared" si="1"/>
        <v>0</v>
      </c>
      <c r="R17" s="620">
        <f t="shared" si="0"/>
        <v>0</v>
      </c>
      <c r="S17" s="157">
        <f t="shared" si="4"/>
        <v>0.20499999999999999</v>
      </c>
      <c r="T17" s="158">
        <f t="shared" si="5"/>
        <v>0.26600000000000001</v>
      </c>
      <c r="U17" s="542">
        <f t="shared" si="2"/>
        <v>17742.95949216899</v>
      </c>
      <c r="V17" s="619">
        <f t="shared" si="3"/>
        <v>11842.105263157893</v>
      </c>
    </row>
    <row r="18" spans="1:22" ht="12.75" customHeight="1" x14ac:dyDescent="0.2">
      <c r="A18" s="144">
        <v>5</v>
      </c>
      <c r="B18" s="2358" t="s">
        <v>59</v>
      </c>
      <c r="C18" s="2362" t="s">
        <v>353</v>
      </c>
      <c r="D18" s="145" t="s">
        <v>39</v>
      </c>
      <c r="E18" s="2823" t="s">
        <v>101</v>
      </c>
      <c r="F18" s="146">
        <v>1</v>
      </c>
      <c r="G18" s="275">
        <f>СР5!AF9</f>
        <v>0.7910238164590504</v>
      </c>
      <c r="H18" s="278">
        <f>СР5!AG9</f>
        <v>0.81907571833974024</v>
      </c>
      <c r="I18" s="147">
        <v>0.09</v>
      </c>
      <c r="J18" s="660"/>
      <c r="K18" s="660"/>
      <c r="L18" s="660"/>
      <c r="M18" s="660"/>
      <c r="N18" s="148"/>
      <c r="O18" s="149"/>
      <c r="P18" s="150"/>
      <c r="Q18" s="620">
        <f t="shared" si="1"/>
        <v>2.97E-3</v>
      </c>
      <c r="R18" s="620">
        <f t="shared" si="0"/>
        <v>2.16E-3</v>
      </c>
      <c r="S18" s="157">
        <f t="shared" si="4"/>
        <v>0.79318937687827396</v>
      </c>
      <c r="T18" s="158">
        <f t="shared" si="5"/>
        <v>0.82124108882653291</v>
      </c>
      <c r="U18" s="542">
        <f t="shared" si="2"/>
        <v>4585.6724786328532</v>
      </c>
      <c r="V18" s="619">
        <f t="shared" si="3"/>
        <v>3835.6580580996238</v>
      </c>
    </row>
    <row r="19" spans="1:22" ht="12.75" customHeight="1" x14ac:dyDescent="0.2">
      <c r="A19" s="144">
        <v>5</v>
      </c>
      <c r="B19" s="2359"/>
      <c r="C19" s="2363"/>
      <c r="D19" s="145" t="s">
        <v>39</v>
      </c>
      <c r="E19" s="2824"/>
      <c r="F19" s="146">
        <v>2</v>
      </c>
      <c r="G19" s="275">
        <f>СР5!AF10</f>
        <v>0.7903954716681022</v>
      </c>
      <c r="H19" s="278">
        <f>СР5!AG10</f>
        <v>0.81844726193552719</v>
      </c>
      <c r="I19" s="147">
        <v>0.09</v>
      </c>
      <c r="J19" s="660"/>
      <c r="K19" s="660"/>
      <c r="L19" s="660"/>
      <c r="M19" s="660"/>
      <c r="N19" s="148"/>
      <c r="O19" s="149"/>
      <c r="P19" s="150"/>
      <c r="Q19" s="620">
        <f t="shared" si="1"/>
        <v>2.97E-3</v>
      </c>
      <c r="R19" s="620">
        <f t="shared" si="0"/>
        <v>2.16E-3</v>
      </c>
      <c r="S19" s="157">
        <f t="shared" si="4"/>
        <v>0.79256103649564302</v>
      </c>
      <c r="T19" s="158">
        <f t="shared" si="5"/>
        <v>0.82061263653524308</v>
      </c>
      <c r="U19" s="542">
        <f t="shared" si="2"/>
        <v>4589.3079881610329</v>
      </c>
      <c r="V19" s="619">
        <f t="shared" si="3"/>
        <v>3838.595531869702</v>
      </c>
    </row>
    <row r="20" spans="1:22" ht="12.75" customHeight="1" x14ac:dyDescent="0.2">
      <c r="A20" s="144">
        <v>5</v>
      </c>
      <c r="B20" s="2358" t="s">
        <v>277</v>
      </c>
      <c r="C20" s="2362" t="s">
        <v>43</v>
      </c>
      <c r="D20" s="145" t="s">
        <v>39</v>
      </c>
      <c r="E20" s="2823" t="s">
        <v>131</v>
      </c>
      <c r="F20" s="146">
        <v>1</v>
      </c>
      <c r="G20" s="275">
        <f>СР5!AF39</f>
        <v>0.97131248549724847</v>
      </c>
      <c r="H20" s="278">
        <f>СР5!AG39</f>
        <v>1.0382650982579367</v>
      </c>
      <c r="I20" s="147"/>
      <c r="J20" s="660"/>
      <c r="K20" s="660"/>
      <c r="L20" s="660"/>
      <c r="M20" s="660"/>
      <c r="N20" s="148"/>
      <c r="O20" s="149">
        <v>0.55000000000000004</v>
      </c>
      <c r="P20" s="150"/>
      <c r="Q20" s="620">
        <f t="shared" si="1"/>
        <v>0.16940000000000002</v>
      </c>
      <c r="R20" s="620">
        <f t="shared" si="0"/>
        <v>0.22000000000000003</v>
      </c>
      <c r="S20" s="157">
        <f t="shared" si="4"/>
        <v>1.2032962220923127</v>
      </c>
      <c r="T20" s="158">
        <f t="shared" si="5"/>
        <v>1.2696170357608056</v>
      </c>
      <c r="U20" s="542">
        <f t="shared" si="2"/>
        <v>3022.7857688857607</v>
      </c>
      <c r="V20" s="619">
        <f t="shared" si="3"/>
        <v>2481.063116888939</v>
      </c>
    </row>
    <row r="21" spans="1:22" ht="12.75" customHeight="1" x14ac:dyDescent="0.2">
      <c r="A21" s="144">
        <v>5</v>
      </c>
      <c r="B21" s="2359"/>
      <c r="C21" s="2363"/>
      <c r="D21" s="145" t="s">
        <v>39</v>
      </c>
      <c r="E21" s="2824"/>
      <c r="F21" s="146">
        <v>2</v>
      </c>
      <c r="G21" s="275">
        <f>СР5!AF40</f>
        <v>0.96244045621320395</v>
      </c>
      <c r="H21" s="278">
        <f>СР5!AG40</f>
        <v>1.0293857515031963</v>
      </c>
      <c r="I21" s="147"/>
      <c r="J21" s="660"/>
      <c r="K21" s="660"/>
      <c r="L21" s="660"/>
      <c r="M21" s="660"/>
      <c r="N21" s="148"/>
      <c r="O21" s="149">
        <v>0.3</v>
      </c>
      <c r="P21" s="150"/>
      <c r="Q21" s="620">
        <f t="shared" si="1"/>
        <v>9.2399999999999996E-2</v>
      </c>
      <c r="R21" s="620">
        <f t="shared" si="0"/>
        <v>0.12</v>
      </c>
      <c r="S21" s="157">
        <f t="shared" si="4"/>
        <v>1.0863770529825496</v>
      </c>
      <c r="T21" s="158">
        <f t="shared" si="5"/>
        <v>1.1530938234847012</v>
      </c>
      <c r="U21" s="542">
        <f t="shared" si="2"/>
        <v>3348.1070737905843</v>
      </c>
      <c r="V21" s="619">
        <f t="shared" si="3"/>
        <v>2731.7811749962884</v>
      </c>
    </row>
    <row r="22" spans="1:22" ht="12.75" customHeight="1" x14ac:dyDescent="0.2">
      <c r="A22" s="144">
        <v>5</v>
      </c>
      <c r="B22" s="2358" t="s">
        <v>278</v>
      </c>
      <c r="C22" s="2838" t="s">
        <v>354</v>
      </c>
      <c r="D22" s="145" t="s">
        <v>39</v>
      </c>
      <c r="E22" s="2823" t="s">
        <v>117</v>
      </c>
      <c r="F22" s="146">
        <v>1</v>
      </c>
      <c r="G22" s="275">
        <v>0.193</v>
      </c>
      <c r="H22" s="278">
        <v>0.221</v>
      </c>
      <c r="I22" s="147"/>
      <c r="J22" s="660"/>
      <c r="K22" s="660"/>
      <c r="L22" s="660"/>
      <c r="M22" s="660"/>
      <c r="N22" s="148"/>
      <c r="O22" s="149"/>
      <c r="P22" s="150">
        <v>0.04</v>
      </c>
      <c r="Q22" s="620">
        <f t="shared" si="1"/>
        <v>1.1999999999999999E-3</v>
      </c>
      <c r="R22" s="620">
        <f t="shared" ref="R22:R27" si="6">0.024*I22+0.071*J22+0.038*K22+0.036*L22+0.024*M22+0.01*N22+0.4*O22+0.2*P22</f>
        <v>8.0000000000000002E-3</v>
      </c>
      <c r="S22" s="157">
        <f t="shared" si="4"/>
        <v>0.20100358205763399</v>
      </c>
      <c r="T22" s="158">
        <f t="shared" si="5"/>
        <v>0.22900314408321995</v>
      </c>
      <c r="U22" s="542">
        <f t="shared" si="2"/>
        <v>18095.730726090806</v>
      </c>
      <c r="V22" s="619">
        <f t="shared" si="3"/>
        <v>13755.269660643991</v>
      </c>
    </row>
    <row r="23" spans="1:22" ht="12.75" customHeight="1" thickBot="1" x14ac:dyDescent="0.25">
      <c r="A23" s="196">
        <v>5</v>
      </c>
      <c r="B23" s="2308"/>
      <c r="C23" s="2851"/>
      <c r="D23" s="281" t="s">
        <v>39</v>
      </c>
      <c r="E23" s="2828"/>
      <c r="F23" s="654">
        <v>2</v>
      </c>
      <c r="G23" s="621">
        <v>0.193</v>
      </c>
      <c r="H23" s="622">
        <v>0.221</v>
      </c>
      <c r="I23" s="410"/>
      <c r="J23" s="661"/>
      <c r="K23" s="661"/>
      <c r="L23" s="661"/>
      <c r="M23" s="661"/>
      <c r="N23" s="623"/>
      <c r="O23" s="624"/>
      <c r="P23" s="625">
        <v>0.06</v>
      </c>
      <c r="Q23" s="626">
        <f t="shared" si="1"/>
        <v>1.8E-3</v>
      </c>
      <c r="R23" s="626">
        <f t="shared" si="6"/>
        <v>1.2E-2</v>
      </c>
      <c r="S23" s="181">
        <f t="shared" si="4"/>
        <v>0.20500790228671675</v>
      </c>
      <c r="T23" s="182">
        <f t="shared" si="5"/>
        <v>0.23300695268596602</v>
      </c>
      <c r="U23" s="662">
        <f t="shared" si="2"/>
        <v>17742.275567541954</v>
      </c>
      <c r="V23" s="663">
        <f t="shared" si="3"/>
        <v>13518.90990242423</v>
      </c>
    </row>
    <row r="24" spans="1:22" ht="12.75" customHeight="1" x14ac:dyDescent="0.2">
      <c r="A24" s="257">
        <v>5</v>
      </c>
      <c r="B24" s="2478" t="s">
        <v>59</v>
      </c>
      <c r="C24" s="2484" t="s">
        <v>353</v>
      </c>
      <c r="D24" s="643" t="s">
        <v>35</v>
      </c>
      <c r="E24" s="2825" t="s">
        <v>101</v>
      </c>
      <c r="F24" s="231">
        <v>1</v>
      </c>
      <c r="G24" s="630">
        <f>СР5!AF51</f>
        <v>0.89677250575415746</v>
      </c>
      <c r="H24" s="631">
        <f>СР5!AG51</f>
        <v>0.91073339884905413</v>
      </c>
      <c r="I24" s="234">
        <v>0.09</v>
      </c>
      <c r="J24" s="664"/>
      <c r="K24" s="664"/>
      <c r="L24" s="664"/>
      <c r="M24" s="664"/>
      <c r="N24" s="235"/>
      <c r="O24" s="236"/>
      <c r="P24" s="251"/>
      <c r="Q24" s="567">
        <f t="shared" si="1"/>
        <v>2.97E-3</v>
      </c>
      <c r="R24" s="677">
        <f t="shared" si="6"/>
        <v>2.16E-3</v>
      </c>
      <c r="S24" s="139">
        <f t="shared" si="4"/>
        <v>0.89893741206017697</v>
      </c>
      <c r="T24" s="140">
        <f t="shared" si="5"/>
        <v>0.91289823012325877</v>
      </c>
      <c r="U24" s="319">
        <f t="shared" si="2"/>
        <v>4046.2290779050954</v>
      </c>
      <c r="V24" s="665">
        <f t="shared" si="3"/>
        <v>3450.5489177853806</v>
      </c>
    </row>
    <row r="25" spans="1:22" ht="12.75" customHeight="1" x14ac:dyDescent="0.2">
      <c r="A25" s="256">
        <v>5</v>
      </c>
      <c r="B25" s="2366"/>
      <c r="C25" s="2372"/>
      <c r="D25" s="644" t="s">
        <v>35</v>
      </c>
      <c r="E25" s="2826"/>
      <c r="F25" s="210">
        <v>2</v>
      </c>
      <c r="G25" s="308">
        <f>СР5!AF52</f>
        <v>0.89615145598530965</v>
      </c>
      <c r="H25" s="634">
        <f>СР5!AG52</f>
        <v>0.9101120747903253</v>
      </c>
      <c r="I25" s="213">
        <v>0.09</v>
      </c>
      <c r="J25" s="666"/>
      <c r="K25" s="666"/>
      <c r="L25" s="666"/>
      <c r="M25" s="666"/>
      <c r="N25" s="214"/>
      <c r="O25" s="215"/>
      <c r="P25" s="216"/>
      <c r="Q25" s="678">
        <f t="shared" si="1"/>
        <v>2.97E-3</v>
      </c>
      <c r="R25" s="679">
        <f t="shared" si="6"/>
        <v>2.16E-3</v>
      </c>
      <c r="S25" s="157">
        <f t="shared" si="4"/>
        <v>0.89831636568329709</v>
      </c>
      <c r="T25" s="158">
        <f t="shared" si="5"/>
        <v>0.91227690935496386</v>
      </c>
      <c r="U25" s="341">
        <f t="shared" si="2"/>
        <v>4049.0264174670301</v>
      </c>
      <c r="V25" s="667">
        <f t="shared" si="3"/>
        <v>3452.8989692693685</v>
      </c>
    </row>
    <row r="26" spans="1:22" ht="12.75" customHeight="1" x14ac:dyDescent="0.2">
      <c r="A26" s="256">
        <v>5</v>
      </c>
      <c r="B26" s="2369" t="s">
        <v>277</v>
      </c>
      <c r="C26" s="2371" t="s">
        <v>43</v>
      </c>
      <c r="D26" s="644" t="s">
        <v>35</v>
      </c>
      <c r="E26" s="2821" t="s">
        <v>131</v>
      </c>
      <c r="F26" s="210">
        <v>1</v>
      </c>
      <c r="G26" s="308">
        <f>СР5!AF75</f>
        <v>1.0360592020458699</v>
      </c>
      <c r="H26" s="634">
        <f>СР5!AG75</f>
        <v>1.0816660290990228</v>
      </c>
      <c r="I26" s="213"/>
      <c r="J26" s="666"/>
      <c r="K26" s="666"/>
      <c r="L26" s="666"/>
      <c r="M26" s="666"/>
      <c r="N26" s="214"/>
      <c r="O26" s="215">
        <v>0.55000000000000004</v>
      </c>
      <c r="P26" s="216"/>
      <c r="Q26" s="678">
        <f t="shared" si="1"/>
        <v>0.16940000000000002</v>
      </c>
      <c r="R26" s="679">
        <f t="shared" si="6"/>
        <v>0.22000000000000003</v>
      </c>
      <c r="S26" s="157">
        <f t="shared" si="4"/>
        <v>1.2674308971474963</v>
      </c>
      <c r="T26" s="158">
        <f t="shared" si="5"/>
        <v>1.3126426822675004</v>
      </c>
      <c r="U26" s="341">
        <f t="shared" si="2"/>
        <v>2869.8264371500118</v>
      </c>
      <c r="V26" s="667">
        <f t="shared" si="3"/>
        <v>2399.7391236422318</v>
      </c>
    </row>
    <row r="27" spans="1:22" ht="12.75" customHeight="1" thickBot="1" x14ac:dyDescent="0.25">
      <c r="A27" s="258">
        <v>5</v>
      </c>
      <c r="B27" s="2381"/>
      <c r="C27" s="2382"/>
      <c r="D27" s="645" t="s">
        <v>35</v>
      </c>
      <c r="E27" s="2822"/>
      <c r="F27" s="240">
        <v>2</v>
      </c>
      <c r="G27" s="638">
        <f>СР5!AF76</f>
        <v>1.0271870049217029</v>
      </c>
      <c r="H27" s="639">
        <f>СР5!AG76</f>
        <v>1.0727890061733731</v>
      </c>
      <c r="I27" s="242"/>
      <c r="J27" s="668"/>
      <c r="K27" s="668"/>
      <c r="L27" s="668"/>
      <c r="M27" s="668"/>
      <c r="N27" s="243"/>
      <c r="O27" s="244">
        <v>0.3</v>
      </c>
      <c r="P27" s="249"/>
      <c r="Q27" s="680">
        <f t="shared" si="1"/>
        <v>9.2399999999999996E-2</v>
      </c>
      <c r="R27" s="681">
        <f t="shared" si="6"/>
        <v>0.12</v>
      </c>
      <c r="S27" s="175">
        <f t="shared" si="4"/>
        <v>1.150902161029002</v>
      </c>
      <c r="T27" s="176">
        <f t="shared" si="5"/>
        <v>1.1963625592804479</v>
      </c>
      <c r="U27" s="669">
        <f t="shared" si="2"/>
        <v>3160.3960953923211</v>
      </c>
      <c r="V27" s="670">
        <f t="shared" si="3"/>
        <v>2632.9810938705464</v>
      </c>
    </row>
    <row r="28" spans="1:22" x14ac:dyDescent="0.2">
      <c r="E28" s="187"/>
      <c r="F28" s="187"/>
      <c r="Q28" s="188"/>
    </row>
    <row r="29" spans="1:22" ht="15.75" x14ac:dyDescent="0.2">
      <c r="B29" s="192" t="s">
        <v>158</v>
      </c>
      <c r="C29" s="192"/>
      <c r="D29" s="2378">
        <v>42647</v>
      </c>
      <c r="E29" s="2379"/>
      <c r="F29" s="187"/>
      <c r="Q29" s="193"/>
      <c r="R29" s="193"/>
    </row>
    <row r="30" spans="1:22" x14ac:dyDescent="0.2">
      <c r="B30" s="185" t="s">
        <v>328</v>
      </c>
      <c r="D30" s="2380" t="s">
        <v>189</v>
      </c>
      <c r="E30" s="2380"/>
      <c r="F30" s="186"/>
    </row>
    <row r="32" spans="1:22" x14ac:dyDescent="0.2">
      <c r="B32" s="671"/>
      <c r="C32" s="671"/>
    </row>
    <row r="35" spans="16:18" x14ac:dyDescent="0.2">
      <c r="P35" s="100"/>
      <c r="Q35" s="100"/>
      <c r="R35" s="100"/>
    </row>
    <row r="103" spans="1:1" x14ac:dyDescent="0.2">
      <c r="A103" s="195"/>
    </row>
    <row r="104" spans="1:1" x14ac:dyDescent="0.2">
      <c r="A104" s="195"/>
    </row>
    <row r="105" spans="1:1" x14ac:dyDescent="0.2">
      <c r="A105" s="195"/>
    </row>
    <row r="106" spans="1:1" x14ac:dyDescent="0.2">
      <c r="A106" s="195"/>
    </row>
  </sheetData>
  <mergeCells count="47">
    <mergeCell ref="E26:E27"/>
    <mergeCell ref="C20:C21"/>
    <mergeCell ref="C22:C23"/>
    <mergeCell ref="C24:C25"/>
    <mergeCell ref="C26:C27"/>
    <mergeCell ref="E16:E17"/>
    <mergeCell ref="E18:E19"/>
    <mergeCell ref="E20:E21"/>
    <mergeCell ref="E22:E23"/>
    <mergeCell ref="E24:E25"/>
    <mergeCell ref="B26:B27"/>
    <mergeCell ref="C5:C6"/>
    <mergeCell ref="C7:C9"/>
    <mergeCell ref="C10:C11"/>
    <mergeCell ref="C12:C13"/>
    <mergeCell ref="C14:C15"/>
    <mergeCell ref="C16:C17"/>
    <mergeCell ref="C18:C19"/>
    <mergeCell ref="B16:B17"/>
    <mergeCell ref="B18:B19"/>
    <mergeCell ref="B20:B21"/>
    <mergeCell ref="B22:B23"/>
    <mergeCell ref="B24:B25"/>
    <mergeCell ref="E5:E6"/>
    <mergeCell ref="E7:E9"/>
    <mergeCell ref="B10:B11"/>
    <mergeCell ref="B12:B13"/>
    <mergeCell ref="B14:B15"/>
    <mergeCell ref="E10:E11"/>
    <mergeCell ref="E12:E13"/>
    <mergeCell ref="E14:E15"/>
    <mergeCell ref="U2:V2"/>
    <mergeCell ref="D29:E29"/>
    <mergeCell ref="D30:E30"/>
    <mergeCell ref="A1:V1"/>
    <mergeCell ref="A2:A4"/>
    <mergeCell ref="B2:B4"/>
    <mergeCell ref="D2:D4"/>
    <mergeCell ref="E2:E4"/>
    <mergeCell ref="F2:F4"/>
    <mergeCell ref="G2:H2"/>
    <mergeCell ref="I2:P2"/>
    <mergeCell ref="Q2:R3"/>
    <mergeCell ref="S2:T2"/>
    <mergeCell ref="C2:C4"/>
    <mergeCell ref="B5:B6"/>
    <mergeCell ref="B7:B9"/>
  </mergeCells>
  <pageMargins left="0.19685039370078741" right="0.19685039370078741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1C13A-CCBA-49C9-97C6-338DAAE0E282}">
  <sheetPr codeName="Лист22"/>
  <dimension ref="A1:AR112"/>
  <sheetViews>
    <sheetView zoomScaleNormal="100" workbookViewId="0">
      <selection activeCell="G6" sqref="G6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3" width="5.5703125" style="188" customWidth="1"/>
    <col min="14" max="15" width="5.5703125" style="189" customWidth="1"/>
    <col min="16" max="17" width="6.7109375" style="186" customWidth="1"/>
    <col min="18" max="19" width="6.7109375" style="100" customWidth="1"/>
    <col min="20" max="21" width="6.7109375" style="190" customWidth="1"/>
    <col min="22" max="16384" width="9.140625" style="100"/>
  </cols>
  <sheetData>
    <row r="1" spans="1:44" ht="36.75" customHeight="1" thickBot="1" x14ac:dyDescent="0.25">
      <c r="A1" s="2302" t="s">
        <v>392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  <c r="AP1" s="269"/>
      <c r="AQ1" s="269"/>
      <c r="AR1" s="269"/>
    </row>
    <row r="2" spans="1:44" s="101" customFormat="1" ht="69.75" customHeight="1" x14ac:dyDescent="0.2">
      <c r="A2" s="2303" t="s">
        <v>0</v>
      </c>
      <c r="B2" s="2875" t="s">
        <v>406</v>
      </c>
      <c r="C2" s="2306" t="s">
        <v>10</v>
      </c>
      <c r="D2" s="2312" t="s">
        <v>4</v>
      </c>
      <c r="E2" s="2315" t="s">
        <v>413</v>
      </c>
      <c r="F2" s="2315" t="s">
        <v>225</v>
      </c>
      <c r="G2" s="2318" t="s">
        <v>414</v>
      </c>
      <c r="H2" s="2876"/>
      <c r="I2" s="2536" t="s">
        <v>230</v>
      </c>
      <c r="J2" s="2323"/>
      <c r="K2" s="2323"/>
      <c r="L2" s="2323"/>
      <c r="M2" s="2323"/>
      <c r="N2" s="2323"/>
      <c r="O2" s="2537"/>
      <c r="P2" s="2323" t="s">
        <v>360</v>
      </c>
      <c r="Q2" s="2537"/>
      <c r="R2" s="2871" t="s">
        <v>232</v>
      </c>
      <c r="S2" s="2872"/>
      <c r="T2" s="2873" t="s">
        <v>231</v>
      </c>
      <c r="U2" s="2829"/>
    </row>
    <row r="3" spans="1:44" s="101" customFormat="1" ht="36" customHeight="1" x14ac:dyDescent="0.2">
      <c r="A3" s="2304"/>
      <c r="B3" s="2874"/>
      <c r="C3" s="2307"/>
      <c r="D3" s="2313"/>
      <c r="E3" s="2316"/>
      <c r="F3" s="2316"/>
      <c r="G3" s="102" t="s">
        <v>220</v>
      </c>
      <c r="H3" s="832" t="s">
        <v>29</v>
      </c>
      <c r="I3" s="611" t="s">
        <v>312</v>
      </c>
      <c r="J3" s="612" t="s">
        <v>297</v>
      </c>
      <c r="K3" s="612" t="s">
        <v>313</v>
      </c>
      <c r="L3" s="612" t="s">
        <v>314</v>
      </c>
      <c r="M3" s="612" t="s">
        <v>286</v>
      </c>
      <c r="N3" s="685" t="s">
        <v>25</v>
      </c>
      <c r="O3" s="403" t="s">
        <v>393</v>
      </c>
      <c r="P3" s="2325"/>
      <c r="Q3" s="2877"/>
      <c r="R3" s="982" t="s">
        <v>216</v>
      </c>
      <c r="S3" s="984" t="s">
        <v>217</v>
      </c>
      <c r="T3" s="985" t="s">
        <v>218</v>
      </c>
      <c r="U3" s="111" t="s">
        <v>219</v>
      </c>
    </row>
    <row r="4" spans="1:44" s="101" customFormat="1" ht="13.5" thickBot="1" x14ac:dyDescent="0.25">
      <c r="A4" s="2305"/>
      <c r="B4" s="2869"/>
      <c r="C4" s="2307"/>
      <c r="D4" s="2314"/>
      <c r="E4" s="2317"/>
      <c r="F4" s="2317"/>
      <c r="G4" s="112" t="s">
        <v>30</v>
      </c>
      <c r="H4" s="834" t="s">
        <v>30</v>
      </c>
      <c r="I4" s="114" t="s">
        <v>31</v>
      </c>
      <c r="J4" s="115" t="s">
        <v>31</v>
      </c>
      <c r="K4" s="115" t="s">
        <v>31</v>
      </c>
      <c r="L4" s="115" t="s">
        <v>31</v>
      </c>
      <c r="M4" s="115" t="s">
        <v>31</v>
      </c>
      <c r="N4" s="122" t="s">
        <v>31</v>
      </c>
      <c r="O4" s="117" t="s">
        <v>31</v>
      </c>
      <c r="P4" s="118" t="s">
        <v>30</v>
      </c>
      <c r="Q4" s="117" t="s">
        <v>30</v>
      </c>
      <c r="R4" s="989" t="s">
        <v>30</v>
      </c>
      <c r="S4" s="990" t="s">
        <v>30</v>
      </c>
      <c r="T4" s="991" t="s">
        <v>35</v>
      </c>
      <c r="U4" s="126" t="s">
        <v>35</v>
      </c>
    </row>
    <row r="5" spans="1:44" s="101" customFormat="1" x14ac:dyDescent="0.2">
      <c r="A5" s="992">
        <v>6</v>
      </c>
      <c r="B5" s="2309" t="s">
        <v>100</v>
      </c>
      <c r="C5" s="2836"/>
      <c r="D5" s="128" t="s">
        <v>39</v>
      </c>
      <c r="E5" s="2827" t="s">
        <v>100</v>
      </c>
      <c r="F5" s="655">
        <v>1</v>
      </c>
      <c r="G5" s="2155">
        <f>'СР6 перевод на Баграс'!AG5</f>
        <v>0.98434535605805296</v>
      </c>
      <c r="H5" s="2156">
        <f>'СР6 перевод на Баграс'!AH5</f>
        <v>1.0103094158994337</v>
      </c>
      <c r="I5" s="986"/>
      <c r="J5" s="987"/>
      <c r="K5" s="987"/>
      <c r="L5" s="987"/>
      <c r="M5" s="987"/>
      <c r="N5" s="988"/>
      <c r="O5" s="995">
        <v>0.06</v>
      </c>
      <c r="P5" s="804">
        <f>0.258*I5+0.129*J5+0.084*K5+0.065*L5+0.308*M5+0.249*N5+0.03*O5</f>
        <v>1.8E-3</v>
      </c>
      <c r="Q5" s="837">
        <f>0.076*I5+0.038*J5+0.037*K5+0.036*L5+0.4*M5+0.4*N5+0.2*O5</f>
        <v>1.2E-2</v>
      </c>
      <c r="R5" s="2159">
        <f>SQRT(P5^2+(G5+Q5)^2)</f>
        <v>0.99634698199896621</v>
      </c>
      <c r="S5" s="2160">
        <f>SQRT(P5^2+(H5+Q5)^2)</f>
        <v>1.0223110005456468</v>
      </c>
      <c r="T5" s="542">
        <f>6300/(SQRT(3)*R5)</f>
        <v>3650.6425588775624</v>
      </c>
      <c r="U5" s="619">
        <f>6300/(2*S5)</f>
        <v>3081.254137262265</v>
      </c>
    </row>
    <row r="6" spans="1:44" s="101" customFormat="1" x14ac:dyDescent="0.2">
      <c r="A6" s="993">
        <v>6</v>
      </c>
      <c r="B6" s="2830"/>
      <c r="C6" s="2837"/>
      <c r="D6" s="145" t="s">
        <v>39</v>
      </c>
      <c r="E6" s="2824"/>
      <c r="F6" s="146">
        <v>2</v>
      </c>
      <c r="G6" s="2157">
        <f>'СР6 перевод на Баграс'!AG6</f>
        <v>0.9661334031749006</v>
      </c>
      <c r="H6" s="2158">
        <f>'СР6 перевод на Баграс'!AH6</f>
        <v>0.99222258233181493</v>
      </c>
      <c r="I6" s="978"/>
      <c r="J6" s="977"/>
      <c r="K6" s="977"/>
      <c r="L6" s="977"/>
      <c r="M6" s="977"/>
      <c r="N6" s="106"/>
      <c r="O6" s="996">
        <v>0.06</v>
      </c>
      <c r="P6" s="804">
        <f t="shared" ref="P6:P34" si="0">0.258*I6+0.129*J6+0.084*K6+0.065*L6+0.308*M6+0.249*N6+0.03*O6</f>
        <v>1.8E-3</v>
      </c>
      <c r="Q6" s="837">
        <f t="shared" ref="Q6:Q34" si="1">0.076*I6+0.038*J6+0.037*K6+0.036*L6+0.4*M6+0.4*N6+0.2*O6</f>
        <v>1.2E-2</v>
      </c>
      <c r="R6" s="2159">
        <f>SQRT(P6^2+(G6+Q6)^2)</f>
        <v>0.97813505938930156</v>
      </c>
      <c r="S6" s="2160">
        <f>SQRT(P6^2+(H6+Q6)^2)</f>
        <v>1.0042241955186995</v>
      </c>
      <c r="T6" s="542">
        <f>6300/(SQRT(3)*R6)</f>
        <v>3718.6139694916919</v>
      </c>
      <c r="U6" s="619">
        <f>6300/(2*S6)</f>
        <v>3136.7497557385277</v>
      </c>
    </row>
    <row r="7" spans="1:44" ht="12.75" customHeight="1" x14ac:dyDescent="0.2">
      <c r="A7" s="127">
        <v>6</v>
      </c>
      <c r="B7" s="2874" t="s">
        <v>168</v>
      </c>
      <c r="C7" s="2837" t="s">
        <v>352</v>
      </c>
      <c r="D7" s="128" t="s">
        <v>39</v>
      </c>
      <c r="E7" s="2823" t="s">
        <v>168</v>
      </c>
      <c r="F7" s="655">
        <v>1</v>
      </c>
      <c r="G7" s="615">
        <f>'СР6 сущ.схема'!AG11</f>
        <v>0.98684224003562726</v>
      </c>
      <c r="H7" s="837">
        <f>'СР6 сущ.схема'!AH11</f>
        <v>0.99907300320888648</v>
      </c>
      <c r="I7" s="659"/>
      <c r="J7" s="659"/>
      <c r="K7" s="659"/>
      <c r="L7" s="659">
        <v>0.25</v>
      </c>
      <c r="M7" s="659"/>
      <c r="N7" s="979"/>
      <c r="O7" s="973"/>
      <c r="P7" s="804">
        <f t="shared" si="0"/>
        <v>1.6250000000000001E-2</v>
      </c>
      <c r="Q7" s="837">
        <f t="shared" si="1"/>
        <v>8.9999999999999993E-3</v>
      </c>
      <c r="R7" s="983">
        <f t="shared" ref="R7:R34" si="2">SQRT(P7^2+(G7+Q7)^2)</f>
        <v>0.99597481370724228</v>
      </c>
      <c r="S7" s="874">
        <f t="shared" ref="S7:S34" si="3">SQRT(P7^2+(H7+Q7)^2)</f>
        <v>1.0082039685989059</v>
      </c>
      <c r="T7" s="542">
        <f>6300/(SQRT(3)*R7)</f>
        <v>3652.0067032174929</v>
      </c>
      <c r="U7" s="619">
        <f>6300/(2*S7)</f>
        <v>3124.3677848020507</v>
      </c>
    </row>
    <row r="8" spans="1:44" ht="12.75" customHeight="1" x14ac:dyDescent="0.2">
      <c r="A8" s="144">
        <v>6</v>
      </c>
      <c r="B8" s="2868"/>
      <c r="C8" s="2837"/>
      <c r="D8" s="145" t="s">
        <v>39</v>
      </c>
      <c r="E8" s="2824"/>
      <c r="F8" s="146">
        <v>2</v>
      </c>
      <c r="G8" s="275">
        <f>'СР6 сущ.схема'!AG12</f>
        <v>0.98672256599933728</v>
      </c>
      <c r="H8" s="803">
        <f>'СР6 сущ.схема'!AH12</f>
        <v>0.99731955237251946</v>
      </c>
      <c r="I8" s="660"/>
      <c r="J8" s="660"/>
      <c r="K8" s="660"/>
      <c r="L8" s="660">
        <v>0.25</v>
      </c>
      <c r="M8" s="660"/>
      <c r="N8" s="980"/>
      <c r="O8" s="973"/>
      <c r="P8" s="804">
        <f t="shared" si="0"/>
        <v>1.6250000000000001E-2</v>
      </c>
      <c r="Q8" s="837">
        <f t="shared" si="1"/>
        <v>8.9999999999999993E-3</v>
      </c>
      <c r="R8" s="826">
        <f t="shared" si="2"/>
        <v>0.99585515560261295</v>
      </c>
      <c r="S8" s="637">
        <f t="shared" si="3"/>
        <v>1.006450745932074</v>
      </c>
      <c r="T8" s="542">
        <f t="shared" ref="T8:T34" si="4">6300/(SQRT(3)*R8)</f>
        <v>3652.4455142210227</v>
      </c>
      <c r="U8" s="619">
        <f t="shared" ref="U8:U34" si="5">6300/(2*S8)</f>
        <v>3129.8103883690655</v>
      </c>
    </row>
    <row r="9" spans="1:44" ht="12.75" customHeight="1" x14ac:dyDescent="0.2">
      <c r="A9" s="144">
        <v>6</v>
      </c>
      <c r="B9" s="2867" t="s">
        <v>116</v>
      </c>
      <c r="C9" s="2837" t="s">
        <v>352</v>
      </c>
      <c r="D9" s="145" t="s">
        <v>39</v>
      </c>
      <c r="E9" s="2823" t="s">
        <v>309</v>
      </c>
      <c r="F9" s="146">
        <v>1</v>
      </c>
      <c r="G9" s="275">
        <f>'СР6 сущ.схема'!AG9</f>
        <v>0.82605567997492491</v>
      </c>
      <c r="H9" s="803">
        <f>'СР6 сущ.схема'!AH9</f>
        <v>0.86485858136356364</v>
      </c>
      <c r="I9" s="660"/>
      <c r="J9" s="660"/>
      <c r="K9" s="660">
        <v>0.2</v>
      </c>
      <c r="L9" s="660"/>
      <c r="M9" s="660"/>
      <c r="N9" s="980"/>
      <c r="O9" s="973"/>
      <c r="P9" s="804">
        <f t="shared" si="0"/>
        <v>1.6800000000000002E-2</v>
      </c>
      <c r="Q9" s="837">
        <f t="shared" si="1"/>
        <v>7.4000000000000003E-3</v>
      </c>
      <c r="R9" s="826">
        <f t="shared" si="2"/>
        <v>0.83362498192080614</v>
      </c>
      <c r="S9" s="637">
        <f t="shared" si="3"/>
        <v>0.87242035324857969</v>
      </c>
      <c r="T9" s="542">
        <f t="shared" si="4"/>
        <v>4363.2409953858414</v>
      </c>
      <c r="U9" s="619">
        <f t="shared" si="5"/>
        <v>3610.6447863928584</v>
      </c>
    </row>
    <row r="10" spans="1:44" ht="12.75" customHeight="1" x14ac:dyDescent="0.2">
      <c r="A10" s="144">
        <v>6</v>
      </c>
      <c r="B10" s="2868"/>
      <c r="C10" s="2837"/>
      <c r="D10" s="145" t="s">
        <v>39</v>
      </c>
      <c r="E10" s="2824"/>
      <c r="F10" s="146">
        <v>2</v>
      </c>
      <c r="G10" s="275">
        <f>'СР6 сущ.схема'!AG10</f>
        <v>0.84256254513731632</v>
      </c>
      <c r="H10" s="803">
        <f>'СР6 сущ.схема'!AH10</f>
        <v>0.88137112291771413</v>
      </c>
      <c r="I10" s="660"/>
      <c r="J10" s="660"/>
      <c r="K10" s="660">
        <v>0.2</v>
      </c>
      <c r="L10" s="660"/>
      <c r="M10" s="660"/>
      <c r="N10" s="980"/>
      <c r="O10" s="973"/>
      <c r="P10" s="804">
        <f t="shared" si="0"/>
        <v>1.6800000000000002E-2</v>
      </c>
      <c r="Q10" s="837">
        <f t="shared" si="1"/>
        <v>7.4000000000000003E-3</v>
      </c>
      <c r="R10" s="826">
        <f t="shared" si="2"/>
        <v>0.8501285597698176</v>
      </c>
      <c r="S10" s="637">
        <f t="shared" si="3"/>
        <v>0.88892988977332421</v>
      </c>
      <c r="T10" s="542">
        <f t="shared" si="4"/>
        <v>4278.5372330974114</v>
      </c>
      <c r="U10" s="619">
        <f t="shared" si="5"/>
        <v>3543.5865485446161</v>
      </c>
    </row>
    <row r="11" spans="1:44" ht="12.75" customHeight="1" x14ac:dyDescent="0.2">
      <c r="A11" s="144">
        <v>6</v>
      </c>
      <c r="B11" s="2867" t="s">
        <v>310</v>
      </c>
      <c r="C11" s="2837" t="s">
        <v>352</v>
      </c>
      <c r="D11" s="145" t="s">
        <v>39</v>
      </c>
      <c r="E11" s="2823" t="s">
        <v>309</v>
      </c>
      <c r="F11" s="146">
        <v>1</v>
      </c>
      <c r="G11" s="275">
        <f>'СР6 сущ.схема'!AG9</f>
        <v>0.82605567997492491</v>
      </c>
      <c r="H11" s="803">
        <f>'СР6 сущ.схема'!AH9</f>
        <v>0.86485858136356364</v>
      </c>
      <c r="I11" s="660">
        <v>0.24</v>
      </c>
      <c r="J11" s="660"/>
      <c r="K11" s="660"/>
      <c r="L11" s="660"/>
      <c r="M11" s="660">
        <v>4.4999999999999998E-2</v>
      </c>
      <c r="N11" s="980"/>
      <c r="O11" s="973"/>
      <c r="P11" s="804">
        <f t="shared" si="0"/>
        <v>7.578E-2</v>
      </c>
      <c r="Q11" s="837">
        <f t="shared" si="1"/>
        <v>3.6239999999999994E-2</v>
      </c>
      <c r="R11" s="826">
        <f t="shared" si="2"/>
        <v>0.86561911260289193</v>
      </c>
      <c r="S11" s="637">
        <f t="shared" si="3"/>
        <v>0.90427941574240589</v>
      </c>
      <c r="T11" s="542">
        <f t="shared" si="4"/>
        <v>4201.971332353517</v>
      </c>
      <c r="U11" s="619">
        <f t="shared" si="5"/>
        <v>3483.4365851553484</v>
      </c>
    </row>
    <row r="12" spans="1:44" ht="12.75" customHeight="1" x14ac:dyDescent="0.2">
      <c r="A12" s="144">
        <v>6</v>
      </c>
      <c r="B12" s="2868"/>
      <c r="C12" s="2837"/>
      <c r="D12" s="145" t="s">
        <v>39</v>
      </c>
      <c r="E12" s="2824"/>
      <c r="F12" s="146">
        <v>2</v>
      </c>
      <c r="G12" s="275">
        <f>'СР6 сущ.схема'!AG10</f>
        <v>0.84256254513731632</v>
      </c>
      <c r="H12" s="803">
        <f>'СР6 сущ.схема'!AH10</f>
        <v>0.88137112291771413</v>
      </c>
      <c r="I12" s="660">
        <v>0.24</v>
      </c>
      <c r="J12" s="660"/>
      <c r="K12" s="660"/>
      <c r="L12" s="660"/>
      <c r="M12" s="660">
        <v>4.4999999999999998E-2</v>
      </c>
      <c r="N12" s="980"/>
      <c r="O12" s="973"/>
      <c r="P12" s="804">
        <f t="shared" si="0"/>
        <v>7.578E-2</v>
      </c>
      <c r="Q12" s="837">
        <f t="shared" si="1"/>
        <v>3.6239999999999994E-2</v>
      </c>
      <c r="R12" s="826">
        <f t="shared" si="2"/>
        <v>0.88206378552790887</v>
      </c>
      <c r="S12" s="637">
        <f t="shared" si="3"/>
        <v>0.92073491369791571</v>
      </c>
      <c r="T12" s="542">
        <f t="shared" si="4"/>
        <v>4123.6322764546339</v>
      </c>
      <c r="U12" s="619">
        <f t="shared" si="5"/>
        <v>3421.180138970471</v>
      </c>
    </row>
    <row r="13" spans="1:44" ht="12.75" customHeight="1" x14ac:dyDescent="0.2">
      <c r="A13" s="144">
        <v>6</v>
      </c>
      <c r="B13" s="2867" t="s">
        <v>253</v>
      </c>
      <c r="C13" s="2837" t="s">
        <v>352</v>
      </c>
      <c r="D13" s="145" t="s">
        <v>39</v>
      </c>
      <c r="E13" s="2823" t="s">
        <v>309</v>
      </c>
      <c r="F13" s="146">
        <v>1</v>
      </c>
      <c r="G13" s="275">
        <f>'СР6 сущ.схема'!AG9</f>
        <v>0.82605567997492491</v>
      </c>
      <c r="H13" s="803">
        <f>'СР6 сущ.схема'!AH9</f>
        <v>0.86485858136356364</v>
      </c>
      <c r="I13" s="660"/>
      <c r="J13" s="660">
        <v>0.2</v>
      </c>
      <c r="K13" s="660"/>
      <c r="L13" s="660"/>
      <c r="M13" s="660"/>
      <c r="N13" s="980"/>
      <c r="O13" s="973"/>
      <c r="P13" s="804">
        <f t="shared" si="0"/>
        <v>2.5800000000000003E-2</v>
      </c>
      <c r="Q13" s="837">
        <f t="shared" si="1"/>
        <v>7.6E-3</v>
      </c>
      <c r="R13" s="826">
        <f t="shared" si="2"/>
        <v>0.83405481399872905</v>
      </c>
      <c r="S13" s="637">
        <f t="shared" si="3"/>
        <v>0.87283997169866256</v>
      </c>
      <c r="T13" s="542">
        <f t="shared" si="4"/>
        <v>4360.9923890448108</v>
      </c>
      <c r="U13" s="619">
        <f t="shared" si="5"/>
        <v>3608.908966290443</v>
      </c>
    </row>
    <row r="14" spans="1:44" ht="12.75" customHeight="1" x14ac:dyDescent="0.2">
      <c r="A14" s="161">
        <v>6</v>
      </c>
      <c r="B14" s="2868"/>
      <c r="C14" s="2837"/>
      <c r="D14" s="145" t="s">
        <v>39</v>
      </c>
      <c r="E14" s="2824"/>
      <c r="F14" s="146">
        <v>2</v>
      </c>
      <c r="G14" s="275">
        <f>'СР6 сущ.схема'!AG10</f>
        <v>0.84256254513731632</v>
      </c>
      <c r="H14" s="803">
        <f>'СР6 сущ.схема'!AH10</f>
        <v>0.88137112291771413</v>
      </c>
      <c r="I14" s="660"/>
      <c r="J14" s="660">
        <v>0.18</v>
      </c>
      <c r="K14" s="660"/>
      <c r="L14" s="660"/>
      <c r="M14" s="660"/>
      <c r="N14" s="980"/>
      <c r="O14" s="973"/>
      <c r="P14" s="804">
        <f t="shared" si="0"/>
        <v>2.3220000000000001E-2</v>
      </c>
      <c r="Q14" s="837">
        <f t="shared" si="1"/>
        <v>6.8399999999999997E-3</v>
      </c>
      <c r="R14" s="826">
        <f t="shared" si="2"/>
        <v>0.84971986683009282</v>
      </c>
      <c r="S14" s="637">
        <f t="shared" si="3"/>
        <v>0.88851458472821176</v>
      </c>
      <c r="T14" s="542">
        <f t="shared" si="4"/>
        <v>4280.5950971391685</v>
      </c>
      <c r="U14" s="619">
        <f t="shared" si="5"/>
        <v>3545.242874053165</v>
      </c>
    </row>
    <row r="15" spans="1:44" ht="12.75" customHeight="1" x14ac:dyDescent="0.2">
      <c r="A15" s="161">
        <v>6</v>
      </c>
      <c r="B15" s="2867" t="s">
        <v>311</v>
      </c>
      <c r="C15" s="2837" t="s">
        <v>352</v>
      </c>
      <c r="D15" s="145" t="s">
        <v>39</v>
      </c>
      <c r="E15" s="2823" t="s">
        <v>146</v>
      </c>
      <c r="F15" s="146">
        <v>1</v>
      </c>
      <c r="G15" s="275">
        <f>'СР6 сущ.схема'!AG21</f>
        <v>0.77131855515106684</v>
      </c>
      <c r="H15" s="803">
        <f>'СР6 сущ.схема'!AH21</f>
        <v>0.78368894435846448</v>
      </c>
      <c r="I15" s="660">
        <v>8.5000000000000006E-2</v>
      </c>
      <c r="J15" s="660"/>
      <c r="K15" s="660"/>
      <c r="L15" s="660"/>
      <c r="M15" s="660">
        <v>0.5</v>
      </c>
      <c r="N15" s="980">
        <v>0.6</v>
      </c>
      <c r="O15" s="973"/>
      <c r="P15" s="804">
        <f t="shared" si="0"/>
        <v>0.32533000000000001</v>
      </c>
      <c r="Q15" s="837">
        <f t="shared" si="1"/>
        <v>0.44645999999999997</v>
      </c>
      <c r="R15" s="826">
        <f t="shared" si="2"/>
        <v>1.260485707291368</v>
      </c>
      <c r="S15" s="637">
        <f t="shared" si="3"/>
        <v>1.2724409747435221</v>
      </c>
      <c r="T15" s="542">
        <f t="shared" si="4"/>
        <v>2885.6389841268228</v>
      </c>
      <c r="U15" s="619">
        <f t="shared" si="5"/>
        <v>2475.5568725967232</v>
      </c>
    </row>
    <row r="16" spans="1:44" ht="12.75" customHeight="1" thickBot="1" x14ac:dyDescent="0.25">
      <c r="A16" s="196">
        <v>6</v>
      </c>
      <c r="B16" s="2869"/>
      <c r="C16" s="2870"/>
      <c r="D16" s="164" t="s">
        <v>39</v>
      </c>
      <c r="E16" s="2828"/>
      <c r="F16" s="165">
        <v>2</v>
      </c>
      <c r="G16" s="805">
        <f>'СР6 сущ.схема'!AG22</f>
        <v>0.80387695686388405</v>
      </c>
      <c r="H16" s="806">
        <f>'СР6 сущ.схема'!AH22</f>
        <v>0.81459944166975307</v>
      </c>
      <c r="I16" s="661">
        <v>8.5000000000000006E-2</v>
      </c>
      <c r="J16" s="661"/>
      <c r="K16" s="661"/>
      <c r="L16" s="661"/>
      <c r="M16" s="661">
        <v>0.4</v>
      </c>
      <c r="N16" s="981">
        <v>0.7</v>
      </c>
      <c r="O16" s="994"/>
      <c r="P16" s="997">
        <f t="shared" si="0"/>
        <v>0.31942999999999999</v>
      </c>
      <c r="Q16" s="998">
        <f t="shared" si="1"/>
        <v>0.44645999999999997</v>
      </c>
      <c r="R16" s="876">
        <f t="shared" si="2"/>
        <v>1.2904952656246509</v>
      </c>
      <c r="S16" s="877">
        <f t="shared" si="3"/>
        <v>1.3008867899722978</v>
      </c>
      <c r="T16" s="628">
        <f t="shared" si="4"/>
        <v>2818.5354822933364</v>
      </c>
      <c r="U16" s="629">
        <f t="shared" si="5"/>
        <v>2421.4251572706635</v>
      </c>
    </row>
    <row r="17" spans="1:21" ht="12.75" customHeight="1" x14ac:dyDescent="0.2">
      <c r="A17" s="257">
        <v>6</v>
      </c>
      <c r="B17" s="2832" t="s">
        <v>168</v>
      </c>
      <c r="C17" s="2842" t="s">
        <v>352</v>
      </c>
      <c r="D17" s="643" t="s">
        <v>35</v>
      </c>
      <c r="E17" s="2825" t="s">
        <v>168</v>
      </c>
      <c r="F17" s="231">
        <v>1</v>
      </c>
      <c r="G17" s="630">
        <f>'СР6 сущ.схема'!AG29</f>
        <v>0.92955359473647492</v>
      </c>
      <c r="H17" s="631">
        <f>'СР6 сущ.схема'!AH29</f>
        <v>0.95543923218645455</v>
      </c>
      <c r="I17" s="234"/>
      <c r="J17" s="664"/>
      <c r="K17" s="664"/>
      <c r="L17" s="664">
        <v>0.25</v>
      </c>
      <c r="M17" s="664"/>
      <c r="N17" s="235"/>
      <c r="O17" s="974"/>
      <c r="P17" s="567">
        <f t="shared" si="0"/>
        <v>1.6250000000000001E-2</v>
      </c>
      <c r="Q17" s="682">
        <f t="shared" si="1"/>
        <v>8.9999999999999993E-3</v>
      </c>
      <c r="R17" s="617">
        <f>SQRT(P17^2+(G17+Q17)^2)</f>
        <v>0.93869425943315499</v>
      </c>
      <c r="S17" s="140">
        <f>SQRT(P17^2+(H17+Q17)^2)</f>
        <v>0.96457612197296172</v>
      </c>
      <c r="T17" s="319">
        <f>6300/(SQRT(3)*R17)</f>
        <v>3874.8577178804589</v>
      </c>
      <c r="U17" s="665">
        <f>6300/(2*S17)</f>
        <v>3265.6831620058479</v>
      </c>
    </row>
    <row r="18" spans="1:21" ht="12.75" customHeight="1" x14ac:dyDescent="0.2">
      <c r="A18" s="255">
        <v>6</v>
      </c>
      <c r="B18" s="2833"/>
      <c r="C18" s="2840"/>
      <c r="D18" s="500" t="s">
        <v>35</v>
      </c>
      <c r="E18" s="2826"/>
      <c r="F18" s="210">
        <v>2</v>
      </c>
      <c r="G18" s="308">
        <f>'СР6 сущ.схема'!AG30</f>
        <v>0.92987007649087794</v>
      </c>
      <c r="H18" s="634">
        <f>'СР6 сущ.схема'!AH30</f>
        <v>0.95587966141336522</v>
      </c>
      <c r="I18" s="213"/>
      <c r="J18" s="666"/>
      <c r="K18" s="666"/>
      <c r="L18" s="666">
        <v>0.25</v>
      </c>
      <c r="M18" s="666"/>
      <c r="N18" s="214"/>
      <c r="O18" s="311"/>
      <c r="P18" s="678">
        <f t="shared" si="0"/>
        <v>1.6250000000000001E-2</v>
      </c>
      <c r="Q18" s="814">
        <f t="shared" si="1"/>
        <v>8.9999999999999993E-3</v>
      </c>
      <c r="R18" s="157">
        <f>SQRT(P18^2+(G18+Q18)^2)</f>
        <v>0.93901069377829083</v>
      </c>
      <c r="S18" s="158">
        <f>SQRT(P18^2+(H18+Q18)^2)</f>
        <v>0.9650164887239856</v>
      </c>
      <c r="T18" s="341">
        <f>6300/(SQRT(3)*R18)</f>
        <v>3873.5519414153177</v>
      </c>
      <c r="U18" s="667">
        <f>6300/(2*S18)</f>
        <v>3264.1929301800401</v>
      </c>
    </row>
    <row r="19" spans="1:21" ht="12.75" customHeight="1" x14ac:dyDescent="0.2">
      <c r="A19" s="409">
        <v>6</v>
      </c>
      <c r="B19" s="2834" t="s">
        <v>116</v>
      </c>
      <c r="C19" s="2840" t="s">
        <v>352</v>
      </c>
      <c r="D19" s="644" t="s">
        <v>35</v>
      </c>
      <c r="E19" s="2821" t="s">
        <v>309</v>
      </c>
      <c r="F19" s="656">
        <v>1</v>
      </c>
      <c r="G19" s="976">
        <f>'СР6 сущ.схема'!AG27</f>
        <v>0.71606729506208366</v>
      </c>
      <c r="H19" s="636">
        <f>'СР6 сущ.схема'!AH27</f>
        <v>0.74206673157009451</v>
      </c>
      <c r="I19" s="200"/>
      <c r="J19" s="856"/>
      <c r="K19" s="856">
        <v>0.2</v>
      </c>
      <c r="L19" s="856"/>
      <c r="M19" s="856"/>
      <c r="N19" s="214"/>
      <c r="O19" s="311"/>
      <c r="P19" s="678">
        <f t="shared" si="0"/>
        <v>1.6800000000000002E-2</v>
      </c>
      <c r="Q19" s="814">
        <f t="shared" si="1"/>
        <v>7.4000000000000003E-3</v>
      </c>
      <c r="R19" s="179">
        <f t="shared" si="2"/>
        <v>0.72366232942198117</v>
      </c>
      <c r="S19" s="874">
        <f t="shared" si="3"/>
        <v>0.74965500180440336</v>
      </c>
      <c r="T19" s="341">
        <f t="shared" si="4"/>
        <v>5026.2484974171712</v>
      </c>
      <c r="U19" s="667">
        <f t="shared" si="5"/>
        <v>4201.9328790150375</v>
      </c>
    </row>
    <row r="20" spans="1:21" ht="12.75" customHeight="1" x14ac:dyDescent="0.2">
      <c r="A20" s="256">
        <v>6</v>
      </c>
      <c r="B20" s="2833"/>
      <c r="C20" s="2840"/>
      <c r="D20" s="644" t="s">
        <v>35</v>
      </c>
      <c r="E20" s="2826"/>
      <c r="F20" s="210">
        <v>2</v>
      </c>
      <c r="G20" s="308">
        <f>'СР6 сущ.схема'!AG28</f>
        <v>0.73024253515800053</v>
      </c>
      <c r="H20" s="634">
        <f>'СР6 сущ.схема'!AH28</f>
        <v>0.75636655599780445</v>
      </c>
      <c r="I20" s="213"/>
      <c r="J20" s="666"/>
      <c r="K20" s="666">
        <v>0.2</v>
      </c>
      <c r="L20" s="666"/>
      <c r="M20" s="666"/>
      <c r="N20" s="214"/>
      <c r="O20" s="311"/>
      <c r="P20" s="678">
        <f t="shared" si="0"/>
        <v>1.6800000000000002E-2</v>
      </c>
      <c r="Q20" s="814">
        <f t="shared" si="1"/>
        <v>7.4000000000000003E-3</v>
      </c>
      <c r="R20" s="157">
        <f t="shared" si="2"/>
        <v>0.73783382253344965</v>
      </c>
      <c r="S20" s="637">
        <f t="shared" si="3"/>
        <v>0.7639513021526616</v>
      </c>
      <c r="T20" s="341">
        <f t="shared" si="4"/>
        <v>4929.7098951163161</v>
      </c>
      <c r="U20" s="667">
        <f t="shared" si="5"/>
        <v>4123.2994709530985</v>
      </c>
    </row>
    <row r="21" spans="1:21" ht="12.75" customHeight="1" x14ac:dyDescent="0.2">
      <c r="A21" s="256">
        <v>6</v>
      </c>
      <c r="B21" s="2834" t="s">
        <v>310</v>
      </c>
      <c r="C21" s="2840" t="s">
        <v>352</v>
      </c>
      <c r="D21" s="644" t="s">
        <v>35</v>
      </c>
      <c r="E21" s="2821" t="s">
        <v>309</v>
      </c>
      <c r="F21" s="210">
        <v>1</v>
      </c>
      <c r="G21" s="308">
        <f>'СР6 сущ.схема'!AG27</f>
        <v>0.71606729506208366</v>
      </c>
      <c r="H21" s="634">
        <f>'СР6 сущ.схема'!AH27</f>
        <v>0.74206673157009451</v>
      </c>
      <c r="I21" s="213">
        <v>0.24</v>
      </c>
      <c r="J21" s="666"/>
      <c r="K21" s="666"/>
      <c r="L21" s="666"/>
      <c r="M21" s="666">
        <v>4.4999999999999998E-2</v>
      </c>
      <c r="N21" s="214"/>
      <c r="O21" s="311"/>
      <c r="P21" s="678">
        <f t="shared" si="0"/>
        <v>7.578E-2</v>
      </c>
      <c r="Q21" s="814">
        <f t="shared" si="1"/>
        <v>3.6239999999999994E-2</v>
      </c>
      <c r="R21" s="157">
        <f t="shared" si="2"/>
        <v>0.75611432641078102</v>
      </c>
      <c r="S21" s="637">
        <f t="shared" si="3"/>
        <v>0.7819871973423369</v>
      </c>
      <c r="T21" s="341">
        <f t="shared" si="4"/>
        <v>4810.5247696610504</v>
      </c>
      <c r="U21" s="667">
        <f t="shared" si="5"/>
        <v>4028.198940731505</v>
      </c>
    </row>
    <row r="22" spans="1:21" ht="12.75" customHeight="1" x14ac:dyDescent="0.2">
      <c r="A22" s="256">
        <v>6</v>
      </c>
      <c r="B22" s="2833"/>
      <c r="C22" s="2840"/>
      <c r="D22" s="644" t="s">
        <v>35</v>
      </c>
      <c r="E22" s="2826"/>
      <c r="F22" s="210">
        <v>2</v>
      </c>
      <c r="G22" s="308">
        <f>'СР6 сущ.схема'!AG28</f>
        <v>0.73024253515800053</v>
      </c>
      <c r="H22" s="634">
        <f>'СР6 сущ.схема'!AH28</f>
        <v>0.75636655599780445</v>
      </c>
      <c r="I22" s="213">
        <v>0.24</v>
      </c>
      <c r="J22" s="666"/>
      <c r="K22" s="666"/>
      <c r="L22" s="666"/>
      <c r="M22" s="666">
        <v>4.4999999999999998E-2</v>
      </c>
      <c r="N22" s="214"/>
      <c r="O22" s="311"/>
      <c r="P22" s="678">
        <f t="shared" si="0"/>
        <v>7.578E-2</v>
      </c>
      <c r="Q22" s="814">
        <f t="shared" si="1"/>
        <v>3.6239999999999994E-2</v>
      </c>
      <c r="R22" s="157">
        <f t="shared" si="2"/>
        <v>0.77021950449351473</v>
      </c>
      <c r="S22" s="637">
        <f t="shared" si="3"/>
        <v>0.79622092475060002</v>
      </c>
      <c r="T22" s="341">
        <f t="shared" si="4"/>
        <v>4722.4287033428</v>
      </c>
      <c r="U22" s="667">
        <f t="shared" si="5"/>
        <v>3956.1884171615725</v>
      </c>
    </row>
    <row r="23" spans="1:21" ht="12.75" customHeight="1" x14ac:dyDescent="0.2">
      <c r="A23" s="256">
        <v>6</v>
      </c>
      <c r="B23" s="2834" t="s">
        <v>253</v>
      </c>
      <c r="C23" s="2840" t="s">
        <v>352</v>
      </c>
      <c r="D23" s="644" t="s">
        <v>35</v>
      </c>
      <c r="E23" s="2821" t="s">
        <v>309</v>
      </c>
      <c r="F23" s="210">
        <v>1</v>
      </c>
      <c r="G23" s="308">
        <f>'СР6 сущ.схема'!AG27</f>
        <v>0.71606729506208366</v>
      </c>
      <c r="H23" s="634">
        <f>'СР6 сущ.схема'!AH27</f>
        <v>0.74206673157009451</v>
      </c>
      <c r="I23" s="213"/>
      <c r="J23" s="666">
        <v>0.2</v>
      </c>
      <c r="K23" s="666"/>
      <c r="L23" s="666"/>
      <c r="M23" s="666"/>
      <c r="N23" s="214"/>
      <c r="O23" s="311"/>
      <c r="P23" s="678">
        <f t="shared" si="0"/>
        <v>2.5800000000000003E-2</v>
      </c>
      <c r="Q23" s="814">
        <f t="shared" si="1"/>
        <v>7.6E-3</v>
      </c>
      <c r="R23" s="157">
        <f t="shared" si="2"/>
        <v>0.72412705649110565</v>
      </c>
      <c r="S23" s="637">
        <f t="shared" si="3"/>
        <v>0.75011055746668986</v>
      </c>
      <c r="T23" s="341">
        <f t="shared" si="4"/>
        <v>5023.0227738207977</v>
      </c>
      <c r="U23" s="667">
        <f t="shared" si="5"/>
        <v>4199.3809694378042</v>
      </c>
    </row>
    <row r="24" spans="1:21" ht="12.75" customHeight="1" x14ac:dyDescent="0.2">
      <c r="A24" s="256">
        <v>6</v>
      </c>
      <c r="B24" s="2833"/>
      <c r="C24" s="2840"/>
      <c r="D24" s="644" t="s">
        <v>35</v>
      </c>
      <c r="E24" s="2826"/>
      <c r="F24" s="210">
        <v>2</v>
      </c>
      <c r="G24" s="308">
        <f>'СР6 сущ.схема'!AG28</f>
        <v>0.73024253515800053</v>
      </c>
      <c r="H24" s="634">
        <f>'СР6 сущ.схема'!AH28</f>
        <v>0.75636655599780445</v>
      </c>
      <c r="I24" s="213"/>
      <c r="J24" s="666">
        <v>0.18</v>
      </c>
      <c r="K24" s="666"/>
      <c r="L24" s="666"/>
      <c r="M24" s="666"/>
      <c r="N24" s="214"/>
      <c r="O24" s="311"/>
      <c r="P24" s="678">
        <f t="shared" si="0"/>
        <v>2.3220000000000001E-2</v>
      </c>
      <c r="Q24" s="814">
        <f t="shared" si="1"/>
        <v>6.8399999999999997E-3</v>
      </c>
      <c r="R24" s="157">
        <f t="shared" si="2"/>
        <v>0.73744818939024115</v>
      </c>
      <c r="S24" s="637">
        <f t="shared" si="3"/>
        <v>0.76355970003532125</v>
      </c>
      <c r="T24" s="341">
        <f t="shared" si="4"/>
        <v>4932.287784043715</v>
      </c>
      <c r="U24" s="667">
        <f t="shared" si="5"/>
        <v>4125.4141619237962</v>
      </c>
    </row>
    <row r="25" spans="1:21" ht="12.75" customHeight="1" x14ac:dyDescent="0.2">
      <c r="A25" s="255">
        <v>6</v>
      </c>
      <c r="B25" s="2834" t="s">
        <v>311</v>
      </c>
      <c r="C25" s="2840" t="s">
        <v>352</v>
      </c>
      <c r="D25" s="644" t="s">
        <v>35</v>
      </c>
      <c r="E25" s="2821" t="s">
        <v>146</v>
      </c>
      <c r="F25" s="210">
        <v>1</v>
      </c>
      <c r="G25" s="308">
        <f>'СР6 сущ.схема'!AG39</f>
        <v>0.86041642982076538</v>
      </c>
      <c r="H25" s="634">
        <f>'СР6 сущ.схема'!AH39</f>
        <v>0.8863217219173003</v>
      </c>
      <c r="I25" s="213">
        <v>8.5000000000000006E-2</v>
      </c>
      <c r="J25" s="666"/>
      <c r="K25" s="666"/>
      <c r="L25" s="666"/>
      <c r="M25" s="666">
        <v>0.5</v>
      </c>
      <c r="N25" s="214">
        <v>0.6</v>
      </c>
      <c r="O25" s="311"/>
      <c r="P25" s="678">
        <f t="shared" si="0"/>
        <v>0.32533000000000001</v>
      </c>
      <c r="Q25" s="814">
        <f t="shared" si="1"/>
        <v>0.44645999999999997</v>
      </c>
      <c r="R25" s="157">
        <f t="shared" si="2"/>
        <v>1.3467611561524448</v>
      </c>
      <c r="S25" s="637">
        <f t="shared" si="3"/>
        <v>1.3719135275872325</v>
      </c>
      <c r="T25" s="341">
        <f t="shared" si="4"/>
        <v>2700.780817205959</v>
      </c>
      <c r="U25" s="667">
        <f t="shared" si="5"/>
        <v>2296.063080258321</v>
      </c>
    </row>
    <row r="26" spans="1:21" ht="12.75" customHeight="1" thickBot="1" x14ac:dyDescent="0.25">
      <c r="A26" s="258">
        <v>6</v>
      </c>
      <c r="B26" s="2835"/>
      <c r="C26" s="2841"/>
      <c r="D26" s="645" t="s">
        <v>35</v>
      </c>
      <c r="E26" s="2822"/>
      <c r="F26" s="240">
        <v>2</v>
      </c>
      <c r="G26" s="638">
        <f>'СР6 сущ.схема'!AG40</f>
        <v>0.89075409278276252</v>
      </c>
      <c r="H26" s="639">
        <f>'СР6 сущ.схема'!AH40</f>
        <v>0.91679189133391059</v>
      </c>
      <c r="I26" s="242">
        <v>8.5000000000000006E-2</v>
      </c>
      <c r="J26" s="668"/>
      <c r="K26" s="668"/>
      <c r="L26" s="668"/>
      <c r="M26" s="668">
        <v>0.4</v>
      </c>
      <c r="N26" s="243">
        <v>0.7</v>
      </c>
      <c r="O26" s="975"/>
      <c r="P26" s="680">
        <f t="shared" si="0"/>
        <v>0.31942999999999999</v>
      </c>
      <c r="Q26" s="815">
        <f t="shared" si="1"/>
        <v>0.44645999999999997</v>
      </c>
      <c r="R26" s="175">
        <f t="shared" si="2"/>
        <v>1.3748371012002938</v>
      </c>
      <c r="S26" s="642">
        <f t="shared" si="3"/>
        <v>1.4001754333387959</v>
      </c>
      <c r="T26" s="669">
        <f t="shared" si="4"/>
        <v>2645.6273930337725</v>
      </c>
      <c r="U26" s="670">
        <f t="shared" si="5"/>
        <v>2249.7180888887979</v>
      </c>
    </row>
    <row r="27" spans="1:21" ht="12.75" customHeight="1" x14ac:dyDescent="0.2">
      <c r="A27" s="418">
        <v>6</v>
      </c>
      <c r="B27" s="2864" t="s">
        <v>168</v>
      </c>
      <c r="C27" s="2866" t="s">
        <v>352</v>
      </c>
      <c r="D27" s="770" t="s">
        <v>35</v>
      </c>
      <c r="E27" s="2845" t="s">
        <v>168</v>
      </c>
      <c r="F27" s="420">
        <v>1</v>
      </c>
      <c r="G27" s="771">
        <f>'СР6 сущ.схема'!AG49</f>
        <v>1.0336002511414337</v>
      </c>
      <c r="H27" s="817">
        <f>'СР6 сущ.схема'!AH49</f>
        <v>1.0476905349465073</v>
      </c>
      <c r="I27" s="423"/>
      <c r="J27" s="773"/>
      <c r="K27" s="773"/>
      <c r="L27" s="773">
        <v>0.25</v>
      </c>
      <c r="M27" s="773"/>
      <c r="N27" s="424"/>
      <c r="O27" s="999"/>
      <c r="P27" s="775">
        <f t="shared" si="0"/>
        <v>1.6250000000000001E-2</v>
      </c>
      <c r="Q27" s="772">
        <f t="shared" si="1"/>
        <v>8.9999999999999993E-3</v>
      </c>
      <c r="R27" s="617">
        <f t="shared" si="2"/>
        <v>1.0427268799547562</v>
      </c>
      <c r="S27" s="140">
        <f t="shared" si="3"/>
        <v>1.0568154754475994</v>
      </c>
      <c r="T27" s="514">
        <f t="shared" si="4"/>
        <v>3488.2640563101863</v>
      </c>
      <c r="U27" s="794">
        <f t="shared" si="5"/>
        <v>2980.6527943450692</v>
      </c>
    </row>
    <row r="28" spans="1:21" ht="12.75" customHeight="1" x14ac:dyDescent="0.2">
      <c r="A28" s="940">
        <v>6</v>
      </c>
      <c r="B28" s="2865"/>
      <c r="C28" s="2859"/>
      <c r="D28" s="1000" t="s">
        <v>35</v>
      </c>
      <c r="E28" s="2844"/>
      <c r="F28" s="413">
        <v>2</v>
      </c>
      <c r="G28" s="778">
        <f>'СР6 сущ.схема'!AG50</f>
        <v>1.0336002511414337</v>
      </c>
      <c r="H28" s="1001">
        <f>'СР6 сущ.схема'!AH50</f>
        <v>1.0476905349465073</v>
      </c>
      <c r="I28" s="485"/>
      <c r="J28" s="780"/>
      <c r="K28" s="780"/>
      <c r="L28" s="780">
        <v>0.25</v>
      </c>
      <c r="M28" s="780"/>
      <c r="N28" s="464"/>
      <c r="O28" s="1002"/>
      <c r="P28" s="784">
        <f t="shared" si="0"/>
        <v>1.6250000000000001E-2</v>
      </c>
      <c r="Q28" s="1003">
        <f t="shared" si="1"/>
        <v>8.9999999999999993E-3</v>
      </c>
      <c r="R28" s="157">
        <f t="shared" si="2"/>
        <v>1.0427268799547562</v>
      </c>
      <c r="S28" s="158">
        <f t="shared" si="3"/>
        <v>1.0568154754475994</v>
      </c>
      <c r="T28" s="795">
        <f t="shared" si="4"/>
        <v>3488.2640563101863</v>
      </c>
      <c r="U28" s="796">
        <f t="shared" si="5"/>
        <v>2980.6527943450692</v>
      </c>
    </row>
    <row r="29" spans="1:21" ht="12.75" customHeight="1" x14ac:dyDescent="0.2">
      <c r="A29" s="940">
        <v>6</v>
      </c>
      <c r="B29" s="2857" t="s">
        <v>311</v>
      </c>
      <c r="C29" s="2859" t="s">
        <v>352</v>
      </c>
      <c r="D29" s="777" t="s">
        <v>35</v>
      </c>
      <c r="E29" s="2843" t="s">
        <v>146</v>
      </c>
      <c r="F29" s="413">
        <v>1</v>
      </c>
      <c r="G29" s="778">
        <f>'СР6 сущ.схема'!AG53</f>
        <v>0.81857079960752688</v>
      </c>
      <c r="H29" s="1001">
        <f>'СР6 сущ.схема'!AH53</f>
        <v>0.83280954097921445</v>
      </c>
      <c r="I29" s="485">
        <v>8.5000000000000006E-2</v>
      </c>
      <c r="J29" s="780"/>
      <c r="K29" s="780"/>
      <c r="L29" s="780"/>
      <c r="M29" s="780">
        <v>0.5</v>
      </c>
      <c r="N29" s="464">
        <v>0.6</v>
      </c>
      <c r="O29" s="1002"/>
      <c r="P29" s="784">
        <f t="shared" si="0"/>
        <v>0.32533000000000001</v>
      </c>
      <c r="Q29" s="1003">
        <f t="shared" si="1"/>
        <v>0.44645999999999997</v>
      </c>
      <c r="R29" s="157">
        <f t="shared" si="2"/>
        <v>1.3061939108936538</v>
      </c>
      <c r="S29" s="637">
        <f t="shared" si="3"/>
        <v>1.3199886997157098</v>
      </c>
      <c r="T29" s="795">
        <f t="shared" si="4"/>
        <v>2784.6605818320804</v>
      </c>
      <c r="U29" s="796">
        <f t="shared" si="5"/>
        <v>2386.3840657714918</v>
      </c>
    </row>
    <row r="30" spans="1:21" ht="12.75" customHeight="1" thickBot="1" x14ac:dyDescent="0.25">
      <c r="A30" s="432">
        <v>6</v>
      </c>
      <c r="B30" s="2858"/>
      <c r="C30" s="2860"/>
      <c r="D30" s="787" t="s">
        <v>35</v>
      </c>
      <c r="E30" s="2849"/>
      <c r="F30" s="435">
        <v>2</v>
      </c>
      <c r="G30" s="788">
        <f>'СР6 сущ.схема'!AG54</f>
        <v>0.85126697807421214</v>
      </c>
      <c r="H30" s="818">
        <f>'СР6 сущ.схема'!AH54</f>
        <v>0.86551047102222001</v>
      </c>
      <c r="I30" s="438">
        <v>8.5000000000000006E-2</v>
      </c>
      <c r="J30" s="790"/>
      <c r="K30" s="790"/>
      <c r="L30" s="790"/>
      <c r="M30" s="790">
        <v>0.4</v>
      </c>
      <c r="N30" s="439">
        <v>0.7</v>
      </c>
      <c r="O30" s="1004"/>
      <c r="P30" s="792">
        <f t="shared" si="0"/>
        <v>0.31942999999999999</v>
      </c>
      <c r="Q30" s="820">
        <f t="shared" si="1"/>
        <v>0.44645999999999997</v>
      </c>
      <c r="R30" s="175">
        <f t="shared" si="2"/>
        <v>1.3364620587662139</v>
      </c>
      <c r="S30" s="642">
        <f t="shared" si="3"/>
        <v>1.3502970198198121</v>
      </c>
      <c r="T30" s="797">
        <f t="shared" si="4"/>
        <v>2721.5936823919319</v>
      </c>
      <c r="U30" s="798">
        <f t="shared" si="5"/>
        <v>2332.8200786670964</v>
      </c>
    </row>
    <row r="31" spans="1:21" ht="12.75" customHeight="1" x14ac:dyDescent="0.2">
      <c r="A31" s="738">
        <v>6</v>
      </c>
      <c r="B31" s="2861" t="s">
        <v>168</v>
      </c>
      <c r="C31" s="2863" t="s">
        <v>352</v>
      </c>
      <c r="D31" s="739" t="s">
        <v>35</v>
      </c>
      <c r="E31" s="2846" t="s">
        <v>168</v>
      </c>
      <c r="F31" s="740">
        <v>1</v>
      </c>
      <c r="G31" s="741">
        <f>'СР6 сущ.схема'!AG55</f>
        <v>0.9875508983454423</v>
      </c>
      <c r="H31" s="1005">
        <f>'СР6 сущ.схема'!AH55</f>
        <v>0.99978120295567308</v>
      </c>
      <c r="I31" s="743"/>
      <c r="J31" s="744"/>
      <c r="K31" s="744"/>
      <c r="L31" s="744">
        <v>0.25</v>
      </c>
      <c r="M31" s="744"/>
      <c r="N31" s="698"/>
      <c r="O31" s="1006"/>
      <c r="P31" s="748">
        <f t="shared" si="0"/>
        <v>1.6250000000000001E-2</v>
      </c>
      <c r="Q31" s="742">
        <f t="shared" si="1"/>
        <v>8.9999999999999993E-3</v>
      </c>
      <c r="R31" s="617">
        <f t="shared" si="2"/>
        <v>0.99668337775499594</v>
      </c>
      <c r="S31" s="140">
        <f t="shared" si="3"/>
        <v>1.0089120764153312</v>
      </c>
      <c r="T31" s="808">
        <f t="shared" si="4"/>
        <v>3649.4104116470603</v>
      </c>
      <c r="U31" s="809">
        <f t="shared" si="5"/>
        <v>3122.1749383672391</v>
      </c>
    </row>
    <row r="32" spans="1:21" ht="12.75" customHeight="1" x14ac:dyDescent="0.2">
      <c r="A32" s="955">
        <v>6</v>
      </c>
      <c r="B32" s="2862"/>
      <c r="C32" s="2854"/>
      <c r="D32" s="1007" t="s">
        <v>35</v>
      </c>
      <c r="E32" s="2847"/>
      <c r="F32" s="753">
        <v>2</v>
      </c>
      <c r="G32" s="754">
        <f>'СР6 сущ.схема'!AG56</f>
        <v>0.98743122883371937</v>
      </c>
      <c r="H32" s="1008">
        <f>'СР6 сущ.схема'!AH56</f>
        <v>0.99802781739488478</v>
      </c>
      <c r="I32" s="756"/>
      <c r="J32" s="757"/>
      <c r="K32" s="757"/>
      <c r="L32" s="757">
        <v>0.25</v>
      </c>
      <c r="M32" s="757"/>
      <c r="N32" s="706"/>
      <c r="O32" s="1009"/>
      <c r="P32" s="760">
        <f t="shared" si="0"/>
        <v>1.6250000000000001E-2</v>
      </c>
      <c r="Q32" s="1010">
        <f t="shared" si="1"/>
        <v>8.9999999999999993E-3</v>
      </c>
      <c r="R32" s="157">
        <f t="shared" si="2"/>
        <v>0.99656372415168515</v>
      </c>
      <c r="S32" s="158">
        <f t="shared" si="3"/>
        <v>1.0071589186951111</v>
      </c>
      <c r="T32" s="810">
        <f t="shared" si="4"/>
        <v>3649.848582428448</v>
      </c>
      <c r="U32" s="811">
        <f t="shared" si="5"/>
        <v>3127.6096964729095</v>
      </c>
    </row>
    <row r="33" spans="1:21" ht="12.75" customHeight="1" x14ac:dyDescent="0.2">
      <c r="A33" s="955">
        <v>6</v>
      </c>
      <c r="B33" s="2852" t="s">
        <v>311</v>
      </c>
      <c r="C33" s="2854" t="s">
        <v>352</v>
      </c>
      <c r="D33" s="751" t="s">
        <v>35</v>
      </c>
      <c r="E33" s="2848" t="s">
        <v>146</v>
      </c>
      <c r="F33" s="753">
        <v>1</v>
      </c>
      <c r="G33" s="754">
        <f>'СР6 сущ.схема'!AG59</f>
        <v>0.7419871203859929</v>
      </c>
      <c r="H33" s="1008">
        <f>'СР6 сущ.схема'!AH59</f>
        <v>0.80150105083920242</v>
      </c>
      <c r="I33" s="756">
        <v>8.5000000000000006E-2</v>
      </c>
      <c r="J33" s="757"/>
      <c r="K33" s="757"/>
      <c r="L33" s="757"/>
      <c r="M33" s="757">
        <v>0.5</v>
      </c>
      <c r="N33" s="706">
        <v>0.6</v>
      </c>
      <c r="O33" s="1009"/>
      <c r="P33" s="760">
        <f t="shared" si="0"/>
        <v>0.32533000000000001</v>
      </c>
      <c r="Q33" s="1010">
        <f t="shared" si="1"/>
        <v>0.44645999999999997</v>
      </c>
      <c r="R33" s="157">
        <f t="shared" si="2"/>
        <v>1.2321713220383594</v>
      </c>
      <c r="S33" s="637">
        <f t="shared" si="3"/>
        <v>1.2896691022551816</v>
      </c>
      <c r="T33" s="810">
        <f t="shared" si="4"/>
        <v>2951.9488327950285</v>
      </c>
      <c r="U33" s="811">
        <f t="shared" si="5"/>
        <v>2442.4869871595342</v>
      </c>
    </row>
    <row r="34" spans="1:21" ht="12.75" customHeight="1" thickBot="1" x14ac:dyDescent="0.25">
      <c r="A34" s="584">
        <v>6</v>
      </c>
      <c r="B34" s="2853"/>
      <c r="C34" s="2855"/>
      <c r="D34" s="762" t="s">
        <v>35</v>
      </c>
      <c r="E34" s="2856"/>
      <c r="F34" s="587">
        <v>2</v>
      </c>
      <c r="G34" s="763">
        <f>'СР6 сущ.схема'!AG60</f>
        <v>0.77465243540893436</v>
      </c>
      <c r="H34" s="1011">
        <f>'СР6 сущ.схема'!AH60</f>
        <v>0.83419116673688232</v>
      </c>
      <c r="I34" s="589">
        <v>8.5000000000000006E-2</v>
      </c>
      <c r="J34" s="765"/>
      <c r="K34" s="765"/>
      <c r="L34" s="765"/>
      <c r="M34" s="765">
        <v>0.4</v>
      </c>
      <c r="N34" s="590">
        <v>0.7</v>
      </c>
      <c r="O34" s="1012"/>
      <c r="P34" s="768">
        <f t="shared" si="0"/>
        <v>0.31942999999999999</v>
      </c>
      <c r="Q34" s="1013">
        <f t="shared" si="1"/>
        <v>0.44645999999999997</v>
      </c>
      <c r="R34" s="175">
        <f t="shared" si="2"/>
        <v>1.2622008971674592</v>
      </c>
      <c r="S34" s="642">
        <f t="shared" si="3"/>
        <v>1.3198874708718686</v>
      </c>
      <c r="T34" s="812">
        <f t="shared" si="4"/>
        <v>2881.717723428359</v>
      </c>
      <c r="U34" s="813">
        <f t="shared" si="5"/>
        <v>2386.5670896316842</v>
      </c>
    </row>
    <row r="35" spans="1:21" x14ac:dyDescent="0.2">
      <c r="E35" s="187"/>
      <c r="F35" s="187"/>
      <c r="P35" s="188"/>
    </row>
    <row r="36" spans="1:21" ht="15.75" x14ac:dyDescent="0.2">
      <c r="B36" s="192" t="s">
        <v>158</v>
      </c>
      <c r="C36" s="192"/>
      <c r="D36" s="2378">
        <v>42282</v>
      </c>
      <c r="E36" s="2378"/>
      <c r="F36" s="186"/>
    </row>
    <row r="37" spans="1:21" x14ac:dyDescent="0.2">
      <c r="B37" s="185" t="s">
        <v>252</v>
      </c>
      <c r="D37" s="2380" t="s">
        <v>189</v>
      </c>
      <c r="E37" s="2380"/>
    </row>
    <row r="41" spans="1:21" x14ac:dyDescent="0.2">
      <c r="N41" s="100"/>
      <c r="O41" s="100"/>
      <c r="P41" s="100"/>
      <c r="Q41" s="100"/>
    </row>
    <row r="109" spans="1:1" x14ac:dyDescent="0.2">
      <c r="A109" s="195"/>
    </row>
    <row r="110" spans="1:1" x14ac:dyDescent="0.2">
      <c r="A110" s="195"/>
    </row>
    <row r="111" spans="1:1" x14ac:dyDescent="0.2">
      <c r="A111" s="195"/>
    </row>
    <row r="112" spans="1:1" x14ac:dyDescent="0.2">
      <c r="A112" s="195"/>
    </row>
  </sheetData>
  <mergeCells count="59">
    <mergeCell ref="B7:B8"/>
    <mergeCell ref="C7:C8"/>
    <mergeCell ref="E7:E8"/>
    <mergeCell ref="A1:U1"/>
    <mergeCell ref="A2:A4"/>
    <mergeCell ref="B2:B4"/>
    <mergeCell ref="C2:C4"/>
    <mergeCell ref="D2:D4"/>
    <mergeCell ref="E2:E4"/>
    <mergeCell ref="F2:F4"/>
    <mergeCell ref="G2:H2"/>
    <mergeCell ref="I2:O2"/>
    <mergeCell ref="P2:Q3"/>
    <mergeCell ref="R2:S2"/>
    <mergeCell ref="T2:U2"/>
    <mergeCell ref="B5:B6"/>
    <mergeCell ref="C5:C6"/>
    <mergeCell ref="E5:E6"/>
    <mergeCell ref="B9:B10"/>
    <mergeCell ref="C9:C10"/>
    <mergeCell ref="E9:E10"/>
    <mergeCell ref="B11:B12"/>
    <mergeCell ref="C11:C12"/>
    <mergeCell ref="E11:E12"/>
    <mergeCell ref="B13:B14"/>
    <mergeCell ref="C13:C14"/>
    <mergeCell ref="E13:E14"/>
    <mergeCell ref="B15:B16"/>
    <mergeCell ref="C15:C16"/>
    <mergeCell ref="E15:E16"/>
    <mergeCell ref="B17:B18"/>
    <mergeCell ref="C17:C18"/>
    <mergeCell ref="E17:E18"/>
    <mergeCell ref="B19:B20"/>
    <mergeCell ref="C19:C20"/>
    <mergeCell ref="E19:E20"/>
    <mergeCell ref="B21:B22"/>
    <mergeCell ref="C21:C22"/>
    <mergeCell ref="E21:E22"/>
    <mergeCell ref="B23:B24"/>
    <mergeCell ref="C23:C24"/>
    <mergeCell ref="E23:E24"/>
    <mergeCell ref="B25:B26"/>
    <mergeCell ref="C25:C26"/>
    <mergeCell ref="E25:E26"/>
    <mergeCell ref="B27:B28"/>
    <mergeCell ref="C27:C28"/>
    <mergeCell ref="E27:E28"/>
    <mergeCell ref="B29:B30"/>
    <mergeCell ref="C29:C30"/>
    <mergeCell ref="E29:E30"/>
    <mergeCell ref="B31:B32"/>
    <mergeCell ref="C31:C32"/>
    <mergeCell ref="E31:E32"/>
    <mergeCell ref="B33:B34"/>
    <mergeCell ref="C33:C34"/>
    <mergeCell ref="E33:E34"/>
    <mergeCell ref="D36:E36"/>
    <mergeCell ref="D37:E37"/>
  </mergeCells>
  <pageMargins left="0.59055118110236227" right="0.59055118110236227" top="0.39370078740157483" bottom="0.31496062992125984" header="0.35433070866141736" footer="0.15748031496062992"/>
  <pageSetup paperSize="9" scale="96" orientation="landscape" r:id="rId1"/>
  <headerFooter>
    <oddFooter>&amp;L&amp;8&amp;Z&amp;F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C4329-426A-4059-BBD2-B120B1CF92E0}">
  <sheetPr codeName="Лист23"/>
  <dimension ref="A1:AR112"/>
  <sheetViews>
    <sheetView zoomScaleNormal="100" workbookViewId="0">
      <selection activeCell="R5" sqref="R5:S6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3" width="5.5703125" style="188" customWidth="1"/>
    <col min="14" max="15" width="5.5703125" style="189" customWidth="1"/>
    <col min="16" max="17" width="6.7109375" style="186" customWidth="1"/>
    <col min="18" max="19" width="6.7109375" style="100" customWidth="1"/>
    <col min="20" max="21" width="6.7109375" style="190" customWidth="1"/>
    <col min="22" max="16384" width="9.140625" style="100"/>
  </cols>
  <sheetData>
    <row r="1" spans="1:44" ht="36.75" customHeight="1" thickBot="1" x14ac:dyDescent="0.25">
      <c r="A1" s="2302" t="s">
        <v>392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  <c r="AP1" s="269"/>
      <c r="AQ1" s="269"/>
      <c r="AR1" s="269"/>
    </row>
    <row r="2" spans="1:44" s="101" customFormat="1" ht="69.75" customHeight="1" x14ac:dyDescent="0.2">
      <c r="A2" s="2303" t="s">
        <v>0</v>
      </c>
      <c r="B2" s="2875" t="s">
        <v>406</v>
      </c>
      <c r="C2" s="2306" t="s">
        <v>10</v>
      </c>
      <c r="D2" s="2312" t="s">
        <v>4</v>
      </c>
      <c r="E2" s="2315" t="s">
        <v>413</v>
      </c>
      <c r="F2" s="2315" t="s">
        <v>225</v>
      </c>
      <c r="G2" s="2318" t="s">
        <v>414</v>
      </c>
      <c r="H2" s="2876"/>
      <c r="I2" s="2536" t="s">
        <v>230</v>
      </c>
      <c r="J2" s="2323"/>
      <c r="K2" s="2323"/>
      <c r="L2" s="2323"/>
      <c r="M2" s="2323"/>
      <c r="N2" s="2323"/>
      <c r="O2" s="2537"/>
      <c r="P2" s="2323" t="s">
        <v>360</v>
      </c>
      <c r="Q2" s="2537"/>
      <c r="R2" s="2871" t="s">
        <v>232</v>
      </c>
      <c r="S2" s="2872"/>
      <c r="T2" s="2873" t="s">
        <v>231</v>
      </c>
      <c r="U2" s="2829"/>
    </row>
    <row r="3" spans="1:44" s="101" customFormat="1" ht="36" customHeight="1" x14ac:dyDescent="0.2">
      <c r="A3" s="2304"/>
      <c r="B3" s="2874"/>
      <c r="C3" s="2307"/>
      <c r="D3" s="2313"/>
      <c r="E3" s="2316"/>
      <c r="F3" s="2316"/>
      <c r="G3" s="102" t="s">
        <v>220</v>
      </c>
      <c r="H3" s="832" t="s">
        <v>29</v>
      </c>
      <c r="I3" s="611" t="s">
        <v>312</v>
      </c>
      <c r="J3" s="612" t="s">
        <v>297</v>
      </c>
      <c r="K3" s="612" t="s">
        <v>313</v>
      </c>
      <c r="L3" s="612" t="s">
        <v>314</v>
      </c>
      <c r="M3" s="612" t="s">
        <v>286</v>
      </c>
      <c r="N3" s="685" t="s">
        <v>25</v>
      </c>
      <c r="O3" s="403" t="s">
        <v>393</v>
      </c>
      <c r="P3" s="2325"/>
      <c r="Q3" s="2877"/>
      <c r="R3" s="982" t="s">
        <v>216</v>
      </c>
      <c r="S3" s="984" t="s">
        <v>217</v>
      </c>
      <c r="T3" s="985" t="s">
        <v>218</v>
      </c>
      <c r="U3" s="111" t="s">
        <v>219</v>
      </c>
    </row>
    <row r="4" spans="1:44" s="101" customFormat="1" ht="13.5" thickBot="1" x14ac:dyDescent="0.25">
      <c r="A4" s="2305"/>
      <c r="B4" s="2869"/>
      <c r="C4" s="2307"/>
      <c r="D4" s="2314"/>
      <c r="E4" s="2317"/>
      <c r="F4" s="2317"/>
      <c r="G4" s="112" t="s">
        <v>30</v>
      </c>
      <c r="H4" s="834" t="s">
        <v>30</v>
      </c>
      <c r="I4" s="114" t="s">
        <v>31</v>
      </c>
      <c r="J4" s="115" t="s">
        <v>31</v>
      </c>
      <c r="K4" s="115" t="s">
        <v>31</v>
      </c>
      <c r="L4" s="115" t="s">
        <v>31</v>
      </c>
      <c r="M4" s="115" t="s">
        <v>31</v>
      </c>
      <c r="N4" s="122" t="s">
        <v>31</v>
      </c>
      <c r="O4" s="117" t="s">
        <v>31</v>
      </c>
      <c r="P4" s="118" t="s">
        <v>30</v>
      </c>
      <c r="Q4" s="117" t="s">
        <v>30</v>
      </c>
      <c r="R4" s="989" t="s">
        <v>30</v>
      </c>
      <c r="S4" s="990" t="s">
        <v>30</v>
      </c>
      <c r="T4" s="991" t="s">
        <v>35</v>
      </c>
      <c r="U4" s="126" t="s">
        <v>35</v>
      </c>
    </row>
    <row r="5" spans="1:44" s="101" customFormat="1" x14ac:dyDescent="0.2">
      <c r="A5" s="992">
        <v>6</v>
      </c>
      <c r="B5" s="2309" t="s">
        <v>100</v>
      </c>
      <c r="C5" s="2836"/>
      <c r="D5" s="128" t="s">
        <v>39</v>
      </c>
      <c r="E5" s="2827" t="s">
        <v>100</v>
      </c>
      <c r="F5" s="655">
        <v>1</v>
      </c>
      <c r="G5" s="2155">
        <f>'СР6 перевод на Баграс'!AG5</f>
        <v>0.98434535605805296</v>
      </c>
      <c r="H5" s="2156">
        <f>'СР6 перевод на Баграс'!AH5</f>
        <v>1.0103094158994337</v>
      </c>
      <c r="I5" s="986"/>
      <c r="J5" s="987"/>
      <c r="K5" s="987"/>
      <c r="L5" s="987"/>
      <c r="M5" s="987"/>
      <c r="N5" s="988"/>
      <c r="O5" s="995">
        <v>0.06</v>
      </c>
      <c r="P5" s="804">
        <f>0.258*I5+0.129*J5+0.084*K5+0.065*L5+0.308*M5+0.249*N5+0.03*O5</f>
        <v>1.8E-3</v>
      </c>
      <c r="Q5" s="837">
        <f>0.076*I5+0.038*J5+0.037*K5+0.036*L5+0.4*M5+0.4*N5+0.2*O5</f>
        <v>1.2E-2</v>
      </c>
      <c r="R5" s="2161">
        <f>SQRT(P5^2+(G5+Q5)^2)</f>
        <v>0.99634698199896621</v>
      </c>
      <c r="S5" s="2138">
        <f>SQRT(P5^2+(H5+Q5)^2)</f>
        <v>1.0223110005456468</v>
      </c>
      <c r="T5" s="542">
        <f>6300/(SQRT(3)*R5)</f>
        <v>3650.6425588775624</v>
      </c>
      <c r="U5" s="619">
        <f>6300/(2*S5)</f>
        <v>3081.254137262265</v>
      </c>
    </row>
    <row r="6" spans="1:44" s="101" customFormat="1" x14ac:dyDescent="0.2">
      <c r="A6" s="993">
        <v>6</v>
      </c>
      <c r="B6" s="2830"/>
      <c r="C6" s="2837"/>
      <c r="D6" s="145" t="s">
        <v>39</v>
      </c>
      <c r="E6" s="2824"/>
      <c r="F6" s="146">
        <v>2</v>
      </c>
      <c r="G6" s="2157">
        <f>'СР6 перевод на Баграс'!AG6</f>
        <v>0.9661334031749006</v>
      </c>
      <c r="H6" s="2158">
        <f>'СР6 перевод на Баграс'!AH6</f>
        <v>0.99222258233181493</v>
      </c>
      <c r="I6" s="978"/>
      <c r="J6" s="977"/>
      <c r="K6" s="977"/>
      <c r="L6" s="977"/>
      <c r="M6" s="977"/>
      <c r="N6" s="106"/>
      <c r="O6" s="996">
        <v>0.06</v>
      </c>
      <c r="P6" s="804">
        <f t="shared" ref="P6:P25" si="0">0.258*I6+0.129*J6+0.084*K6+0.065*L6+0.308*M6+0.249*N6+0.03*O6</f>
        <v>1.8E-3</v>
      </c>
      <c r="Q6" s="837">
        <f t="shared" ref="Q6:Q26" si="1">0.076*I6+0.038*J6+0.037*K6+0.036*L6+0.4*M6+0.4*N6+0.2*O6</f>
        <v>1.2E-2</v>
      </c>
      <c r="R6" s="2161">
        <f>SQRT(P6^2+(G6+Q6)^2)</f>
        <v>0.97813505938930156</v>
      </c>
      <c r="S6" s="2138">
        <f>SQRT(P6^2+(H6+Q6)^2)</f>
        <v>1.0042241955186995</v>
      </c>
      <c r="T6" s="542">
        <f>6300/(SQRT(3)*R6)</f>
        <v>3718.6139694916919</v>
      </c>
      <c r="U6" s="619">
        <f>6300/(2*S6)</f>
        <v>3136.7497557385277</v>
      </c>
    </row>
    <row r="7" spans="1:44" ht="12.75" customHeight="1" x14ac:dyDescent="0.2">
      <c r="A7" s="127">
        <v>6</v>
      </c>
      <c r="B7" s="2874" t="s">
        <v>168</v>
      </c>
      <c r="C7" s="2837" t="s">
        <v>352</v>
      </c>
      <c r="D7" s="128" t="s">
        <v>39</v>
      </c>
      <c r="E7" s="2823" t="s">
        <v>168</v>
      </c>
      <c r="F7" s="655">
        <v>1</v>
      </c>
      <c r="G7" s="615">
        <f>'СР6 перевод на Баграс'!AG11</f>
        <v>0.98684224003562726</v>
      </c>
      <c r="H7" s="837">
        <f>'СР6 перевод на Баграс'!AH11</f>
        <v>0.99907300320888648</v>
      </c>
      <c r="I7" s="659"/>
      <c r="J7" s="659"/>
      <c r="K7" s="659"/>
      <c r="L7" s="659">
        <v>0.25</v>
      </c>
      <c r="M7" s="659"/>
      <c r="N7" s="979"/>
      <c r="O7" s="973"/>
      <c r="P7" s="804">
        <f t="shared" si="0"/>
        <v>1.6250000000000001E-2</v>
      </c>
      <c r="Q7" s="837">
        <f t="shared" si="1"/>
        <v>8.9999999999999993E-3</v>
      </c>
      <c r="R7" s="983">
        <f t="shared" ref="R7:R28" si="2">SQRT(P7^2+(G7+Q7)^2)</f>
        <v>0.99597481370724228</v>
      </c>
      <c r="S7" s="874">
        <f t="shared" ref="S7:S28" si="3">SQRT(P7^2+(H7+Q7)^2)</f>
        <v>1.0082039685989059</v>
      </c>
      <c r="T7" s="542">
        <f>6300/(SQRT(3)*R7)</f>
        <v>3652.0067032174929</v>
      </c>
      <c r="U7" s="619">
        <f>6300/(2*S7)</f>
        <v>3124.3677848020507</v>
      </c>
    </row>
    <row r="8" spans="1:44" ht="12.75" customHeight="1" x14ac:dyDescent="0.2">
      <c r="A8" s="144">
        <v>6</v>
      </c>
      <c r="B8" s="2868"/>
      <c r="C8" s="2837"/>
      <c r="D8" s="145" t="s">
        <v>39</v>
      </c>
      <c r="E8" s="2824"/>
      <c r="F8" s="146">
        <v>2</v>
      </c>
      <c r="G8" s="275">
        <f>'СР6 перевод на Баграс'!AG12</f>
        <v>0.98672256599933728</v>
      </c>
      <c r="H8" s="803">
        <f>'СР6 перевод на Баграс'!AH12</f>
        <v>0.99731955237251946</v>
      </c>
      <c r="I8" s="660"/>
      <c r="J8" s="660"/>
      <c r="K8" s="660"/>
      <c r="L8" s="660">
        <v>0.25</v>
      </c>
      <c r="M8" s="660"/>
      <c r="N8" s="980"/>
      <c r="O8" s="973"/>
      <c r="P8" s="804">
        <f t="shared" si="0"/>
        <v>1.6250000000000001E-2</v>
      </c>
      <c r="Q8" s="837">
        <f t="shared" si="1"/>
        <v>8.9999999999999993E-3</v>
      </c>
      <c r="R8" s="826">
        <f t="shared" si="2"/>
        <v>0.99585515560261295</v>
      </c>
      <c r="S8" s="637">
        <f t="shared" si="3"/>
        <v>1.006450745932074</v>
      </c>
      <c r="T8" s="542">
        <f t="shared" ref="T8:T26" si="4">6300/(SQRT(3)*R8)</f>
        <v>3652.4455142210227</v>
      </c>
      <c r="U8" s="619">
        <f t="shared" ref="U8:U26" si="5">6300/(2*S8)</f>
        <v>3129.8103883690655</v>
      </c>
    </row>
    <row r="9" spans="1:44" ht="12.75" customHeight="1" x14ac:dyDescent="0.2">
      <c r="A9" s="144">
        <v>6</v>
      </c>
      <c r="B9" s="2867" t="s">
        <v>116</v>
      </c>
      <c r="C9" s="2837" t="s">
        <v>352</v>
      </c>
      <c r="D9" s="145" t="s">
        <v>39</v>
      </c>
      <c r="E9" s="2823" t="s">
        <v>309</v>
      </c>
      <c r="F9" s="146">
        <v>1</v>
      </c>
      <c r="G9" s="275">
        <f>'СР6 перевод на Баграс'!AG9</f>
        <v>0.82605567997492491</v>
      </c>
      <c r="H9" s="803">
        <f>'СР6 перевод на Баграс'!AH9</f>
        <v>0.86485858136356364</v>
      </c>
      <c r="I9" s="660"/>
      <c r="J9" s="660"/>
      <c r="K9" s="660">
        <v>0.2</v>
      </c>
      <c r="L9" s="660"/>
      <c r="M9" s="660"/>
      <c r="N9" s="980"/>
      <c r="O9" s="973"/>
      <c r="P9" s="804">
        <f t="shared" si="0"/>
        <v>1.6800000000000002E-2</v>
      </c>
      <c r="Q9" s="837">
        <f t="shared" si="1"/>
        <v>7.4000000000000003E-3</v>
      </c>
      <c r="R9" s="826">
        <f t="shared" si="2"/>
        <v>0.83362498192080614</v>
      </c>
      <c r="S9" s="637">
        <f t="shared" si="3"/>
        <v>0.87242035324857969</v>
      </c>
      <c r="T9" s="542">
        <f t="shared" si="4"/>
        <v>4363.2409953858414</v>
      </c>
      <c r="U9" s="619">
        <f t="shared" si="5"/>
        <v>3610.6447863928584</v>
      </c>
    </row>
    <row r="10" spans="1:44" ht="12.75" customHeight="1" x14ac:dyDescent="0.2">
      <c r="A10" s="144">
        <v>6</v>
      </c>
      <c r="B10" s="2868"/>
      <c r="C10" s="2837"/>
      <c r="D10" s="145" t="s">
        <v>39</v>
      </c>
      <c r="E10" s="2824"/>
      <c r="F10" s="146">
        <v>2</v>
      </c>
      <c r="G10" s="275">
        <f>'СР6 перевод на Баграс'!AG10</f>
        <v>0.84256254513731632</v>
      </c>
      <c r="H10" s="803">
        <f>'СР6 перевод на Баграс'!AH10</f>
        <v>0.88137112291771413</v>
      </c>
      <c r="I10" s="660"/>
      <c r="J10" s="660"/>
      <c r="K10" s="660">
        <v>0.2</v>
      </c>
      <c r="L10" s="660"/>
      <c r="M10" s="660"/>
      <c r="N10" s="980"/>
      <c r="O10" s="973"/>
      <c r="P10" s="804">
        <f t="shared" si="0"/>
        <v>1.6800000000000002E-2</v>
      </c>
      <c r="Q10" s="837">
        <f t="shared" si="1"/>
        <v>7.4000000000000003E-3</v>
      </c>
      <c r="R10" s="826">
        <f t="shared" si="2"/>
        <v>0.8501285597698176</v>
      </c>
      <c r="S10" s="637">
        <f t="shared" si="3"/>
        <v>0.88892988977332421</v>
      </c>
      <c r="T10" s="542">
        <f t="shared" si="4"/>
        <v>4278.5372330974114</v>
      </c>
      <c r="U10" s="619">
        <f t="shared" si="5"/>
        <v>3543.5865485446161</v>
      </c>
    </row>
    <row r="11" spans="1:44" ht="12.75" customHeight="1" x14ac:dyDescent="0.2">
      <c r="A11" s="144">
        <v>6</v>
      </c>
      <c r="B11" s="2867" t="s">
        <v>310</v>
      </c>
      <c r="C11" s="2837" t="s">
        <v>352</v>
      </c>
      <c r="D11" s="145" t="s">
        <v>39</v>
      </c>
      <c r="E11" s="2823" t="s">
        <v>309</v>
      </c>
      <c r="F11" s="146">
        <v>1</v>
      </c>
      <c r="G11" s="275">
        <f>'СР6 перевод на Баграс'!AG9</f>
        <v>0.82605567997492491</v>
      </c>
      <c r="H11" s="803">
        <f>'СР6 перевод на Баграс'!AH9</f>
        <v>0.86485858136356364</v>
      </c>
      <c r="I11" s="660">
        <v>0.24</v>
      </c>
      <c r="J11" s="660"/>
      <c r="K11" s="660"/>
      <c r="L11" s="660"/>
      <c r="M11" s="660">
        <v>4.4999999999999998E-2</v>
      </c>
      <c r="N11" s="980"/>
      <c r="O11" s="973"/>
      <c r="P11" s="804">
        <f t="shared" si="0"/>
        <v>7.578E-2</v>
      </c>
      <c r="Q11" s="837">
        <f t="shared" si="1"/>
        <v>3.6239999999999994E-2</v>
      </c>
      <c r="R11" s="826">
        <f t="shared" si="2"/>
        <v>0.86561911260289193</v>
      </c>
      <c r="S11" s="637">
        <f t="shared" si="3"/>
        <v>0.90427941574240589</v>
      </c>
      <c r="T11" s="542">
        <f t="shared" si="4"/>
        <v>4201.971332353517</v>
      </c>
      <c r="U11" s="619">
        <f t="shared" si="5"/>
        <v>3483.4365851553484</v>
      </c>
    </row>
    <row r="12" spans="1:44" ht="12.75" customHeight="1" x14ac:dyDescent="0.2">
      <c r="A12" s="144">
        <v>6</v>
      </c>
      <c r="B12" s="2868"/>
      <c r="C12" s="2837"/>
      <c r="D12" s="145" t="s">
        <v>39</v>
      </c>
      <c r="E12" s="2824"/>
      <c r="F12" s="146">
        <v>2</v>
      </c>
      <c r="G12" s="275">
        <f>'СР6 перевод на Баграс'!AG10</f>
        <v>0.84256254513731632</v>
      </c>
      <c r="H12" s="803">
        <f>'СР6 перевод на Баграс'!AH10</f>
        <v>0.88137112291771413</v>
      </c>
      <c r="I12" s="660">
        <v>0.24</v>
      </c>
      <c r="J12" s="660"/>
      <c r="K12" s="660"/>
      <c r="L12" s="660"/>
      <c r="M12" s="660">
        <v>4.4999999999999998E-2</v>
      </c>
      <c r="N12" s="980"/>
      <c r="O12" s="973"/>
      <c r="P12" s="804">
        <f t="shared" si="0"/>
        <v>7.578E-2</v>
      </c>
      <c r="Q12" s="837">
        <f t="shared" si="1"/>
        <v>3.6239999999999994E-2</v>
      </c>
      <c r="R12" s="826">
        <f t="shared" si="2"/>
        <v>0.88206378552790887</v>
      </c>
      <c r="S12" s="637">
        <f t="shared" si="3"/>
        <v>0.92073491369791571</v>
      </c>
      <c r="T12" s="542">
        <f t="shared" si="4"/>
        <v>4123.6322764546339</v>
      </c>
      <c r="U12" s="619">
        <f t="shared" si="5"/>
        <v>3421.180138970471</v>
      </c>
    </row>
    <row r="13" spans="1:44" ht="12.75" customHeight="1" x14ac:dyDescent="0.2">
      <c r="A13" s="144">
        <v>6</v>
      </c>
      <c r="B13" s="2867" t="s">
        <v>253</v>
      </c>
      <c r="C13" s="2837" t="s">
        <v>352</v>
      </c>
      <c r="D13" s="145" t="s">
        <v>39</v>
      </c>
      <c r="E13" s="2823" t="s">
        <v>309</v>
      </c>
      <c r="F13" s="146">
        <v>1</v>
      </c>
      <c r="G13" s="275">
        <f>'СР6 перевод на Баграс'!AG9</f>
        <v>0.82605567997492491</v>
      </c>
      <c r="H13" s="803">
        <f>'СР6 перевод на Баграс'!AH9</f>
        <v>0.86485858136356364</v>
      </c>
      <c r="I13" s="660"/>
      <c r="J13" s="660">
        <v>0.2</v>
      </c>
      <c r="K13" s="660"/>
      <c r="L13" s="660"/>
      <c r="M13" s="660"/>
      <c r="N13" s="980"/>
      <c r="O13" s="973"/>
      <c r="P13" s="804">
        <f t="shared" si="0"/>
        <v>2.5800000000000003E-2</v>
      </c>
      <c r="Q13" s="837">
        <f t="shared" si="1"/>
        <v>7.6E-3</v>
      </c>
      <c r="R13" s="826">
        <f t="shared" si="2"/>
        <v>0.83405481399872905</v>
      </c>
      <c r="S13" s="637">
        <f t="shared" si="3"/>
        <v>0.87283997169866256</v>
      </c>
      <c r="T13" s="542">
        <f t="shared" si="4"/>
        <v>4360.9923890448108</v>
      </c>
      <c r="U13" s="619">
        <f t="shared" si="5"/>
        <v>3608.908966290443</v>
      </c>
    </row>
    <row r="14" spans="1:44" ht="12.75" customHeight="1" x14ac:dyDescent="0.2">
      <c r="A14" s="161">
        <v>6</v>
      </c>
      <c r="B14" s="2868"/>
      <c r="C14" s="2837"/>
      <c r="D14" s="145" t="s">
        <v>39</v>
      </c>
      <c r="E14" s="2824"/>
      <c r="F14" s="146">
        <v>2</v>
      </c>
      <c r="G14" s="275">
        <f>'СР6 перевод на Баграс'!AG10</f>
        <v>0.84256254513731632</v>
      </c>
      <c r="H14" s="803">
        <f>'СР6 перевод на Баграс'!AH10</f>
        <v>0.88137112291771413</v>
      </c>
      <c r="I14" s="660"/>
      <c r="J14" s="660">
        <v>0.18</v>
      </c>
      <c r="K14" s="660"/>
      <c r="L14" s="660"/>
      <c r="M14" s="660"/>
      <c r="N14" s="980"/>
      <c r="O14" s="973"/>
      <c r="P14" s="804">
        <f t="shared" si="0"/>
        <v>2.3220000000000001E-2</v>
      </c>
      <c r="Q14" s="837">
        <f t="shared" si="1"/>
        <v>6.8399999999999997E-3</v>
      </c>
      <c r="R14" s="826">
        <f t="shared" si="2"/>
        <v>0.84971986683009282</v>
      </c>
      <c r="S14" s="637">
        <f t="shared" si="3"/>
        <v>0.88851458472821176</v>
      </c>
      <c r="T14" s="542">
        <f t="shared" si="4"/>
        <v>4280.5950971391685</v>
      </c>
      <c r="U14" s="619">
        <f t="shared" si="5"/>
        <v>3545.242874053165</v>
      </c>
    </row>
    <row r="15" spans="1:44" ht="12.75" customHeight="1" x14ac:dyDescent="0.2">
      <c r="A15" s="161">
        <v>6</v>
      </c>
      <c r="B15" s="2867" t="s">
        <v>311</v>
      </c>
      <c r="C15" s="2837" t="s">
        <v>352</v>
      </c>
      <c r="D15" s="145" t="s">
        <v>39</v>
      </c>
      <c r="E15" s="2823" t="s">
        <v>146</v>
      </c>
      <c r="F15" s="146">
        <v>1</v>
      </c>
      <c r="G15" s="275">
        <f>'СР6 перевод на Баграс'!AG21</f>
        <v>0.80387362924901606</v>
      </c>
      <c r="H15" s="803">
        <f>'СР6 перевод на Баграс'!AH21</f>
        <v>0.81625033065239039</v>
      </c>
      <c r="I15" s="660">
        <v>8.5000000000000006E-2</v>
      </c>
      <c r="J15" s="660"/>
      <c r="K15" s="660"/>
      <c r="L15" s="660"/>
      <c r="M15" s="660">
        <v>0.5</v>
      </c>
      <c r="N15" s="980">
        <v>0.6</v>
      </c>
      <c r="O15" s="973"/>
      <c r="P15" s="804">
        <f t="shared" si="0"/>
        <v>0.32533000000000001</v>
      </c>
      <c r="Q15" s="837">
        <f t="shared" si="1"/>
        <v>0.44645999999999997</v>
      </c>
      <c r="R15" s="826">
        <f t="shared" si="2"/>
        <v>1.2919650898267396</v>
      </c>
      <c r="S15" s="637">
        <f t="shared" si="3"/>
        <v>1.3039466967772375</v>
      </c>
      <c r="T15" s="542">
        <f t="shared" si="4"/>
        <v>2815.3289315134884</v>
      </c>
      <c r="U15" s="619">
        <f t="shared" si="5"/>
        <v>2415.7429193887801</v>
      </c>
    </row>
    <row r="16" spans="1:44" ht="12.75" customHeight="1" thickBot="1" x14ac:dyDescent="0.25">
      <c r="A16" s="196">
        <v>6</v>
      </c>
      <c r="B16" s="2869"/>
      <c r="C16" s="2870"/>
      <c r="D16" s="164" t="s">
        <v>39</v>
      </c>
      <c r="E16" s="2828"/>
      <c r="F16" s="165">
        <v>2</v>
      </c>
      <c r="G16" s="805">
        <f>'СР6 перевод на Баграс'!AG22</f>
        <v>0.80387695686388405</v>
      </c>
      <c r="H16" s="806">
        <f>'СР6 перевод на Баграс'!AH22</f>
        <v>0.81459944166975307</v>
      </c>
      <c r="I16" s="661">
        <v>8.5000000000000006E-2</v>
      </c>
      <c r="J16" s="661"/>
      <c r="K16" s="661"/>
      <c r="L16" s="661"/>
      <c r="M16" s="661">
        <v>0.4</v>
      </c>
      <c r="N16" s="981">
        <v>0.7</v>
      </c>
      <c r="O16" s="994"/>
      <c r="P16" s="997">
        <f t="shared" si="0"/>
        <v>0.31942999999999999</v>
      </c>
      <c r="Q16" s="998">
        <f t="shared" si="1"/>
        <v>0.44645999999999997</v>
      </c>
      <c r="R16" s="876">
        <f t="shared" si="2"/>
        <v>1.2904952656246509</v>
      </c>
      <c r="S16" s="877">
        <f t="shared" si="3"/>
        <v>1.3008867899722978</v>
      </c>
      <c r="T16" s="628">
        <f t="shared" si="4"/>
        <v>2818.5354822933364</v>
      </c>
      <c r="U16" s="629">
        <f t="shared" si="5"/>
        <v>2421.4251572706635</v>
      </c>
    </row>
    <row r="17" spans="1:21" ht="12.75" customHeight="1" x14ac:dyDescent="0.2">
      <c r="A17" s="257">
        <v>6</v>
      </c>
      <c r="B17" s="2832" t="s">
        <v>168</v>
      </c>
      <c r="C17" s="2842" t="s">
        <v>352</v>
      </c>
      <c r="D17" s="643" t="s">
        <v>35</v>
      </c>
      <c r="E17" s="2825" t="s">
        <v>168</v>
      </c>
      <c r="F17" s="231">
        <v>1</v>
      </c>
      <c r="G17" s="630">
        <f>'СР6 перевод на Баграс'!AG29</f>
        <v>0.92955359473647492</v>
      </c>
      <c r="H17" s="631">
        <f>'СР6 перевод на Баграс'!AH29</f>
        <v>0.95543923218645455</v>
      </c>
      <c r="I17" s="234"/>
      <c r="J17" s="664"/>
      <c r="K17" s="664"/>
      <c r="L17" s="664">
        <v>0.25</v>
      </c>
      <c r="M17" s="664"/>
      <c r="N17" s="235"/>
      <c r="O17" s="974"/>
      <c r="P17" s="567">
        <f t="shared" si="0"/>
        <v>1.6250000000000001E-2</v>
      </c>
      <c r="Q17" s="682">
        <f t="shared" si="1"/>
        <v>8.9999999999999993E-3</v>
      </c>
      <c r="R17" s="617">
        <f>SQRT(P17^2+(G17+Q17)^2)</f>
        <v>0.93869425943315499</v>
      </c>
      <c r="S17" s="140">
        <f>SQRT(P17^2+(H17+Q17)^2)</f>
        <v>0.96457612197296172</v>
      </c>
      <c r="T17" s="319">
        <f>6300/(SQRT(3)*R17)</f>
        <v>3874.8577178804589</v>
      </c>
      <c r="U17" s="665">
        <f>6300/(2*S17)</f>
        <v>3265.6831620058479</v>
      </c>
    </row>
    <row r="18" spans="1:21" ht="12.75" customHeight="1" x14ac:dyDescent="0.2">
      <c r="A18" s="255">
        <v>6</v>
      </c>
      <c r="B18" s="2833"/>
      <c r="C18" s="2840"/>
      <c r="D18" s="500" t="s">
        <v>35</v>
      </c>
      <c r="E18" s="2826"/>
      <c r="F18" s="210">
        <v>2</v>
      </c>
      <c r="G18" s="308">
        <f>'СР6 перевод на Баграс'!AG30</f>
        <v>0.92987007649087794</v>
      </c>
      <c r="H18" s="634">
        <f>'СР6 перевод на Баграс'!AH30</f>
        <v>0.95587966141336522</v>
      </c>
      <c r="I18" s="213"/>
      <c r="J18" s="666"/>
      <c r="K18" s="666"/>
      <c r="L18" s="666">
        <v>0.25</v>
      </c>
      <c r="M18" s="666"/>
      <c r="N18" s="214"/>
      <c r="O18" s="311"/>
      <c r="P18" s="678">
        <f t="shared" si="0"/>
        <v>1.6250000000000001E-2</v>
      </c>
      <c r="Q18" s="814">
        <f t="shared" si="1"/>
        <v>8.9999999999999993E-3</v>
      </c>
      <c r="R18" s="157">
        <f>SQRT(P18^2+(G18+Q18)^2)</f>
        <v>0.93901069377829083</v>
      </c>
      <c r="S18" s="158">
        <f>SQRT(P18^2+(H18+Q18)^2)</f>
        <v>0.9650164887239856</v>
      </c>
      <c r="T18" s="341">
        <f>6300/(SQRT(3)*R18)</f>
        <v>3873.5519414153177</v>
      </c>
      <c r="U18" s="667">
        <f>6300/(2*S18)</f>
        <v>3264.1929301800401</v>
      </c>
    </row>
    <row r="19" spans="1:21" ht="12.75" customHeight="1" x14ac:dyDescent="0.2">
      <c r="A19" s="409">
        <v>6</v>
      </c>
      <c r="B19" s="2834" t="s">
        <v>116</v>
      </c>
      <c r="C19" s="2840" t="s">
        <v>352</v>
      </c>
      <c r="D19" s="644" t="s">
        <v>35</v>
      </c>
      <c r="E19" s="2821" t="s">
        <v>309</v>
      </c>
      <c r="F19" s="656">
        <v>1</v>
      </c>
      <c r="G19" s="976">
        <f>'СР6 перевод на Баграс'!AG27</f>
        <v>0.71606729506208366</v>
      </c>
      <c r="H19" s="636">
        <f>'СР6 перевод на Баграс'!AH27</f>
        <v>0.74206673157009451</v>
      </c>
      <c r="I19" s="200"/>
      <c r="J19" s="856"/>
      <c r="K19" s="856">
        <v>0.2</v>
      </c>
      <c r="L19" s="856"/>
      <c r="M19" s="856"/>
      <c r="N19" s="214"/>
      <c r="O19" s="311"/>
      <c r="P19" s="678">
        <f t="shared" si="0"/>
        <v>1.6800000000000002E-2</v>
      </c>
      <c r="Q19" s="814">
        <f t="shared" si="1"/>
        <v>7.4000000000000003E-3</v>
      </c>
      <c r="R19" s="179">
        <f t="shared" si="2"/>
        <v>0.72366232942198117</v>
      </c>
      <c r="S19" s="874">
        <f t="shared" si="3"/>
        <v>0.74965500180440336</v>
      </c>
      <c r="T19" s="341">
        <f t="shared" si="4"/>
        <v>5026.2484974171712</v>
      </c>
      <c r="U19" s="667">
        <f t="shared" si="5"/>
        <v>4201.9328790150375</v>
      </c>
    </row>
    <row r="20" spans="1:21" ht="12.75" customHeight="1" x14ac:dyDescent="0.2">
      <c r="A20" s="256">
        <v>6</v>
      </c>
      <c r="B20" s="2833"/>
      <c r="C20" s="2840"/>
      <c r="D20" s="644" t="s">
        <v>35</v>
      </c>
      <c r="E20" s="2826"/>
      <c r="F20" s="210">
        <v>2</v>
      </c>
      <c r="G20" s="308">
        <f>'СР6 перевод на Баграс'!AG28</f>
        <v>0.73024253515800053</v>
      </c>
      <c r="H20" s="634">
        <f>'СР6 перевод на Баграс'!AH28</f>
        <v>0.75636655599780445</v>
      </c>
      <c r="I20" s="213"/>
      <c r="J20" s="666"/>
      <c r="K20" s="666">
        <v>0.2</v>
      </c>
      <c r="L20" s="666"/>
      <c r="M20" s="666"/>
      <c r="N20" s="214"/>
      <c r="O20" s="311"/>
      <c r="P20" s="678">
        <f t="shared" si="0"/>
        <v>1.6800000000000002E-2</v>
      </c>
      <c r="Q20" s="814">
        <f t="shared" si="1"/>
        <v>7.4000000000000003E-3</v>
      </c>
      <c r="R20" s="157">
        <f t="shared" si="2"/>
        <v>0.73783382253344965</v>
      </c>
      <c r="S20" s="637">
        <f t="shared" si="3"/>
        <v>0.7639513021526616</v>
      </c>
      <c r="T20" s="341">
        <f t="shared" si="4"/>
        <v>4929.7098951163161</v>
      </c>
      <c r="U20" s="667">
        <f t="shared" si="5"/>
        <v>4123.2994709530985</v>
      </c>
    </row>
    <row r="21" spans="1:21" ht="12.75" customHeight="1" x14ac:dyDescent="0.2">
      <c r="A21" s="256">
        <v>6</v>
      </c>
      <c r="B21" s="2834" t="s">
        <v>310</v>
      </c>
      <c r="C21" s="2840" t="s">
        <v>352</v>
      </c>
      <c r="D21" s="644" t="s">
        <v>35</v>
      </c>
      <c r="E21" s="2821" t="s">
        <v>309</v>
      </c>
      <c r="F21" s="210">
        <v>1</v>
      </c>
      <c r="G21" s="308">
        <f>'СР6 перевод на Баграс'!AG27</f>
        <v>0.71606729506208366</v>
      </c>
      <c r="H21" s="634">
        <f>'СР6 перевод на Баграс'!AH27</f>
        <v>0.74206673157009451</v>
      </c>
      <c r="I21" s="213">
        <v>0.24</v>
      </c>
      <c r="J21" s="666"/>
      <c r="K21" s="666"/>
      <c r="L21" s="666"/>
      <c r="M21" s="666">
        <v>4.4999999999999998E-2</v>
      </c>
      <c r="N21" s="214"/>
      <c r="O21" s="311"/>
      <c r="P21" s="678">
        <f t="shared" si="0"/>
        <v>7.578E-2</v>
      </c>
      <c r="Q21" s="814">
        <f t="shared" si="1"/>
        <v>3.6239999999999994E-2</v>
      </c>
      <c r="R21" s="157">
        <f t="shared" si="2"/>
        <v>0.75611432641078102</v>
      </c>
      <c r="S21" s="637">
        <f t="shared" si="3"/>
        <v>0.7819871973423369</v>
      </c>
      <c r="T21" s="341">
        <f t="shared" si="4"/>
        <v>4810.5247696610504</v>
      </c>
      <c r="U21" s="667">
        <f t="shared" si="5"/>
        <v>4028.198940731505</v>
      </c>
    </row>
    <row r="22" spans="1:21" ht="12.75" customHeight="1" x14ac:dyDescent="0.2">
      <c r="A22" s="256">
        <v>6</v>
      </c>
      <c r="B22" s="2833"/>
      <c r="C22" s="2840"/>
      <c r="D22" s="644" t="s">
        <v>35</v>
      </c>
      <c r="E22" s="2826"/>
      <c r="F22" s="210">
        <v>2</v>
      </c>
      <c r="G22" s="308">
        <f>'СР6 перевод на Баграс'!AG28</f>
        <v>0.73024253515800053</v>
      </c>
      <c r="H22" s="634">
        <f>'СР6 перевод на Баграс'!AH28</f>
        <v>0.75636655599780445</v>
      </c>
      <c r="I22" s="213">
        <v>0.24</v>
      </c>
      <c r="J22" s="666"/>
      <c r="K22" s="666"/>
      <c r="L22" s="666"/>
      <c r="M22" s="666">
        <v>4.4999999999999998E-2</v>
      </c>
      <c r="N22" s="214"/>
      <c r="O22" s="311"/>
      <c r="P22" s="678">
        <f t="shared" si="0"/>
        <v>7.578E-2</v>
      </c>
      <c r="Q22" s="814">
        <f t="shared" si="1"/>
        <v>3.6239999999999994E-2</v>
      </c>
      <c r="R22" s="157">
        <f t="shared" si="2"/>
        <v>0.77021950449351473</v>
      </c>
      <c r="S22" s="637">
        <f t="shared" si="3"/>
        <v>0.79622092475060002</v>
      </c>
      <c r="T22" s="341">
        <f t="shared" si="4"/>
        <v>4722.4287033428</v>
      </c>
      <c r="U22" s="667">
        <f t="shared" si="5"/>
        <v>3956.1884171615725</v>
      </c>
    </row>
    <row r="23" spans="1:21" ht="12.75" customHeight="1" x14ac:dyDescent="0.2">
      <c r="A23" s="256">
        <v>6</v>
      </c>
      <c r="B23" s="2834" t="s">
        <v>253</v>
      </c>
      <c r="C23" s="2840" t="s">
        <v>352</v>
      </c>
      <c r="D23" s="644" t="s">
        <v>35</v>
      </c>
      <c r="E23" s="2821" t="s">
        <v>309</v>
      </c>
      <c r="F23" s="210">
        <v>1</v>
      </c>
      <c r="G23" s="308">
        <f>'СР6 перевод на Баграс'!AG27</f>
        <v>0.71606729506208366</v>
      </c>
      <c r="H23" s="634">
        <f>'СР6 перевод на Баграс'!AH27</f>
        <v>0.74206673157009451</v>
      </c>
      <c r="I23" s="213"/>
      <c r="J23" s="666">
        <v>0.2</v>
      </c>
      <c r="K23" s="666"/>
      <c r="L23" s="666"/>
      <c r="M23" s="666"/>
      <c r="N23" s="214"/>
      <c r="O23" s="311"/>
      <c r="P23" s="678">
        <f t="shared" si="0"/>
        <v>2.5800000000000003E-2</v>
      </c>
      <c r="Q23" s="814">
        <f t="shared" si="1"/>
        <v>7.6E-3</v>
      </c>
      <c r="R23" s="157">
        <f t="shared" si="2"/>
        <v>0.72412705649110565</v>
      </c>
      <c r="S23" s="637">
        <f t="shared" si="3"/>
        <v>0.75011055746668986</v>
      </c>
      <c r="T23" s="341">
        <f t="shared" si="4"/>
        <v>5023.0227738207977</v>
      </c>
      <c r="U23" s="667">
        <f t="shared" si="5"/>
        <v>4199.3809694378042</v>
      </c>
    </row>
    <row r="24" spans="1:21" ht="12.75" customHeight="1" x14ac:dyDescent="0.2">
      <c r="A24" s="256">
        <v>6</v>
      </c>
      <c r="B24" s="2833"/>
      <c r="C24" s="2840"/>
      <c r="D24" s="644" t="s">
        <v>35</v>
      </c>
      <c r="E24" s="2826"/>
      <c r="F24" s="210">
        <v>2</v>
      </c>
      <c r="G24" s="308">
        <f>'СР6 перевод на Баграс'!AG28</f>
        <v>0.73024253515800053</v>
      </c>
      <c r="H24" s="634">
        <f>'СР6 перевод на Баграс'!AH28</f>
        <v>0.75636655599780445</v>
      </c>
      <c r="I24" s="213"/>
      <c r="J24" s="666">
        <v>0.18</v>
      </c>
      <c r="K24" s="666"/>
      <c r="L24" s="666"/>
      <c r="M24" s="666"/>
      <c r="N24" s="214"/>
      <c r="O24" s="311"/>
      <c r="P24" s="678">
        <f t="shared" si="0"/>
        <v>2.3220000000000001E-2</v>
      </c>
      <c r="Q24" s="814">
        <f t="shared" si="1"/>
        <v>6.8399999999999997E-3</v>
      </c>
      <c r="R24" s="157">
        <f t="shared" si="2"/>
        <v>0.73744818939024115</v>
      </c>
      <c r="S24" s="637">
        <f t="shared" si="3"/>
        <v>0.76355970003532125</v>
      </c>
      <c r="T24" s="341">
        <f t="shared" si="4"/>
        <v>4932.287784043715</v>
      </c>
      <c r="U24" s="667">
        <f t="shared" si="5"/>
        <v>4125.4141619237962</v>
      </c>
    </row>
    <row r="25" spans="1:21" ht="12.75" customHeight="1" x14ac:dyDescent="0.2">
      <c r="A25" s="255">
        <v>6</v>
      </c>
      <c r="B25" s="2834" t="s">
        <v>311</v>
      </c>
      <c r="C25" s="2840" t="s">
        <v>352</v>
      </c>
      <c r="D25" s="644" t="s">
        <v>35</v>
      </c>
      <c r="E25" s="2821" t="s">
        <v>146</v>
      </c>
      <c r="F25" s="210">
        <v>1</v>
      </c>
      <c r="G25" s="308">
        <f>'СР6 перевод на Баграс'!AG39</f>
        <v>0.89305255475237078</v>
      </c>
      <c r="H25" s="634">
        <f>'СР6 перевод на Баграс'!AH39</f>
        <v>0.91896487088695122</v>
      </c>
      <c r="I25" s="213">
        <v>8.5000000000000006E-2</v>
      </c>
      <c r="J25" s="666"/>
      <c r="K25" s="666"/>
      <c r="L25" s="666"/>
      <c r="M25" s="666">
        <v>0.5</v>
      </c>
      <c r="N25" s="214">
        <v>0.6</v>
      </c>
      <c r="O25" s="311"/>
      <c r="P25" s="678">
        <f t="shared" si="0"/>
        <v>0.32533000000000001</v>
      </c>
      <c r="Q25" s="814">
        <f t="shared" si="1"/>
        <v>0.44645999999999997</v>
      </c>
      <c r="R25" s="157">
        <f t="shared" si="2"/>
        <v>1.3784532974458086</v>
      </c>
      <c r="S25" s="637">
        <f t="shared" si="3"/>
        <v>1.4036469238867184</v>
      </c>
      <c r="T25" s="341">
        <f t="shared" si="4"/>
        <v>2638.6869273223506</v>
      </c>
      <c r="U25" s="667">
        <f t="shared" si="5"/>
        <v>2244.1541005750969</v>
      </c>
    </row>
    <row r="26" spans="1:21" ht="12.75" customHeight="1" thickBot="1" x14ac:dyDescent="0.25">
      <c r="A26" s="258">
        <v>6</v>
      </c>
      <c r="B26" s="2835"/>
      <c r="C26" s="2841"/>
      <c r="D26" s="645" t="s">
        <v>35</v>
      </c>
      <c r="E26" s="2822"/>
      <c r="F26" s="240">
        <v>2</v>
      </c>
      <c r="G26" s="638">
        <f>'СР6 перевод на Баграс'!AG40</f>
        <v>0.89075409278276252</v>
      </c>
      <c r="H26" s="639">
        <f>'СР6 перевод на Баграс'!AH40</f>
        <v>0.91679189133391059</v>
      </c>
      <c r="I26" s="242">
        <v>8.5000000000000006E-2</v>
      </c>
      <c r="J26" s="668"/>
      <c r="K26" s="668"/>
      <c r="L26" s="668"/>
      <c r="M26" s="668">
        <v>0.4</v>
      </c>
      <c r="N26" s="243">
        <v>0.7</v>
      </c>
      <c r="O26" s="975"/>
      <c r="P26" s="680">
        <f t="shared" ref="P26:P34" si="6">0.258*I26+0.129*J26+0.084*K26+0.065*L26+0.308*M26+0.249*N26+0.03*O26</f>
        <v>0.31942999999999999</v>
      </c>
      <c r="Q26" s="815">
        <f t="shared" si="1"/>
        <v>0.44645999999999997</v>
      </c>
      <c r="R26" s="175">
        <f t="shared" si="2"/>
        <v>1.3748371012002938</v>
      </c>
      <c r="S26" s="642">
        <f t="shared" si="3"/>
        <v>1.4001754333387959</v>
      </c>
      <c r="T26" s="669">
        <f t="shared" si="4"/>
        <v>2645.6273930337725</v>
      </c>
      <c r="U26" s="670">
        <f t="shared" si="5"/>
        <v>2249.7180888887979</v>
      </c>
    </row>
    <row r="27" spans="1:21" ht="12.75" customHeight="1" x14ac:dyDescent="0.2">
      <c r="A27" s="418">
        <v>6</v>
      </c>
      <c r="B27" s="2864" t="s">
        <v>168</v>
      </c>
      <c r="C27" s="2866" t="s">
        <v>352</v>
      </c>
      <c r="D27" s="770" t="s">
        <v>35</v>
      </c>
      <c r="E27" s="2845" t="s">
        <v>168</v>
      </c>
      <c r="F27" s="420">
        <v>1</v>
      </c>
      <c r="G27" s="771">
        <f>'СР6 перевод на Баграс'!AG41</f>
        <v>1.0336002511414337</v>
      </c>
      <c r="H27" s="817">
        <f>'СР6 перевод на Баграс'!AH41</f>
        <v>1.0476905349465073</v>
      </c>
      <c r="I27" s="423"/>
      <c r="J27" s="773"/>
      <c r="K27" s="773"/>
      <c r="L27" s="773">
        <v>0.25</v>
      </c>
      <c r="M27" s="773"/>
      <c r="N27" s="424"/>
      <c r="O27" s="999"/>
      <c r="P27" s="775">
        <f t="shared" si="6"/>
        <v>1.6250000000000001E-2</v>
      </c>
      <c r="Q27" s="772">
        <f t="shared" ref="Q27:Q34" si="7">0.076*I27+0.038*J27+0.037*K27+0.036*L27+0.4*M27+0.4*N27+0.2*O27</f>
        <v>8.9999999999999993E-3</v>
      </c>
      <c r="R27" s="617">
        <f t="shared" si="2"/>
        <v>1.0427268799547562</v>
      </c>
      <c r="S27" s="140">
        <f t="shared" si="3"/>
        <v>1.0568154754475994</v>
      </c>
      <c r="T27" s="514">
        <f t="shared" ref="T27:T34" si="8">6300/(SQRT(3)*R27)</f>
        <v>3488.2640563101863</v>
      </c>
      <c r="U27" s="794">
        <f t="shared" ref="U27:U34" si="9">6300/(2*S27)</f>
        <v>2980.6527943450692</v>
      </c>
    </row>
    <row r="28" spans="1:21" ht="12.75" customHeight="1" x14ac:dyDescent="0.2">
      <c r="A28" s="940">
        <v>6</v>
      </c>
      <c r="B28" s="2865"/>
      <c r="C28" s="2859"/>
      <c r="D28" s="1000" t="s">
        <v>35</v>
      </c>
      <c r="E28" s="2844"/>
      <c r="F28" s="413">
        <v>2</v>
      </c>
      <c r="G28" s="778">
        <f>'СР6 перевод на Баграс'!AG42</f>
        <v>1.0336002511414337</v>
      </c>
      <c r="H28" s="1001">
        <f>'СР6 перевод на Баграс'!AH42</f>
        <v>1.0476905349465073</v>
      </c>
      <c r="I28" s="485"/>
      <c r="J28" s="780"/>
      <c r="K28" s="780"/>
      <c r="L28" s="780">
        <v>0.25</v>
      </c>
      <c r="M28" s="780"/>
      <c r="N28" s="464"/>
      <c r="O28" s="1002"/>
      <c r="P28" s="784">
        <f t="shared" si="6"/>
        <v>1.6250000000000001E-2</v>
      </c>
      <c r="Q28" s="1003">
        <f t="shared" si="7"/>
        <v>8.9999999999999993E-3</v>
      </c>
      <c r="R28" s="157">
        <f t="shared" si="2"/>
        <v>1.0427268799547562</v>
      </c>
      <c r="S28" s="158">
        <f t="shared" si="3"/>
        <v>1.0568154754475994</v>
      </c>
      <c r="T28" s="795">
        <f t="shared" si="8"/>
        <v>3488.2640563101863</v>
      </c>
      <c r="U28" s="796">
        <f t="shared" si="9"/>
        <v>2980.6527943450692</v>
      </c>
    </row>
    <row r="29" spans="1:21" ht="12.75" customHeight="1" x14ac:dyDescent="0.2">
      <c r="A29" s="940">
        <v>6</v>
      </c>
      <c r="B29" s="2857" t="s">
        <v>311</v>
      </c>
      <c r="C29" s="2859" t="s">
        <v>352</v>
      </c>
      <c r="D29" s="777" t="s">
        <v>35</v>
      </c>
      <c r="E29" s="2843" t="s">
        <v>146</v>
      </c>
      <c r="F29" s="413">
        <v>1</v>
      </c>
      <c r="G29" s="778">
        <f>'СР6 перевод на Баграс'!AG45</f>
        <v>0.85114713881379267</v>
      </c>
      <c r="H29" s="1001">
        <f>'СР6 перевод на Баграс'!AH45</f>
        <v>0.86539200845790665</v>
      </c>
      <c r="I29" s="485">
        <v>8.5000000000000006E-2</v>
      </c>
      <c r="J29" s="780"/>
      <c r="K29" s="780"/>
      <c r="L29" s="780"/>
      <c r="M29" s="780">
        <v>0.5</v>
      </c>
      <c r="N29" s="464">
        <v>0.6</v>
      </c>
      <c r="O29" s="1002"/>
      <c r="P29" s="784">
        <f t="shared" si="6"/>
        <v>0.32533000000000001</v>
      </c>
      <c r="Q29" s="1003">
        <f t="shared" si="7"/>
        <v>0.44645999999999997</v>
      </c>
      <c r="R29" s="157">
        <f t="shared" ref="R29:R34" si="10">SQRT(P29^2+(G29+Q29)^2)</f>
        <v>1.3377682518285883</v>
      </c>
      <c r="S29" s="637">
        <f t="shared" ref="S29:S34" si="11">SQRT(P29^2+(H29+Q29)^2)</f>
        <v>1.3515899159860003</v>
      </c>
      <c r="T29" s="795">
        <f t="shared" si="8"/>
        <v>2718.9363261707153</v>
      </c>
      <c r="U29" s="796">
        <f t="shared" si="9"/>
        <v>2330.5885629533118</v>
      </c>
    </row>
    <row r="30" spans="1:21" ht="12.75" customHeight="1" thickBot="1" x14ac:dyDescent="0.25">
      <c r="A30" s="432">
        <v>6</v>
      </c>
      <c r="B30" s="2858"/>
      <c r="C30" s="2860"/>
      <c r="D30" s="787" t="s">
        <v>35</v>
      </c>
      <c r="E30" s="2849"/>
      <c r="F30" s="435">
        <v>2</v>
      </c>
      <c r="G30" s="788">
        <f>'СР6 перевод на Баграс'!AG46</f>
        <v>0.85126697807421214</v>
      </c>
      <c r="H30" s="818">
        <f>'СР6 перевод на Баграс'!AH46</f>
        <v>0.86551047102222001</v>
      </c>
      <c r="I30" s="438">
        <v>8.5000000000000006E-2</v>
      </c>
      <c r="J30" s="790"/>
      <c r="K30" s="790"/>
      <c r="L30" s="790"/>
      <c r="M30" s="790">
        <v>0.4</v>
      </c>
      <c r="N30" s="439">
        <v>0.7</v>
      </c>
      <c r="O30" s="1004"/>
      <c r="P30" s="792">
        <f t="shared" si="6"/>
        <v>0.31942999999999999</v>
      </c>
      <c r="Q30" s="820">
        <f t="shared" si="7"/>
        <v>0.44645999999999997</v>
      </c>
      <c r="R30" s="175">
        <f t="shared" si="10"/>
        <v>1.3364620587662139</v>
      </c>
      <c r="S30" s="642">
        <f t="shared" si="11"/>
        <v>1.3502970198198121</v>
      </c>
      <c r="T30" s="797">
        <f t="shared" si="8"/>
        <v>2721.5936823919319</v>
      </c>
      <c r="U30" s="798">
        <f t="shared" si="9"/>
        <v>2332.8200786670964</v>
      </c>
    </row>
    <row r="31" spans="1:21" ht="12.75" customHeight="1" x14ac:dyDescent="0.2">
      <c r="A31" s="738">
        <v>6</v>
      </c>
      <c r="B31" s="2861" t="s">
        <v>168</v>
      </c>
      <c r="C31" s="2863" t="s">
        <v>352</v>
      </c>
      <c r="D31" s="739" t="s">
        <v>35</v>
      </c>
      <c r="E31" s="2846" t="s">
        <v>168</v>
      </c>
      <c r="F31" s="740">
        <v>1</v>
      </c>
      <c r="G31" s="741">
        <f>'СР6 перевод на Баграс'!AG47</f>
        <v>0.98655732139261698</v>
      </c>
      <c r="H31" s="1005">
        <f>'СР6 перевод на Баграс'!AH47</f>
        <v>0.99878834253774718</v>
      </c>
      <c r="I31" s="743"/>
      <c r="J31" s="744"/>
      <c r="K31" s="744"/>
      <c r="L31" s="744">
        <v>0.25</v>
      </c>
      <c r="M31" s="744"/>
      <c r="N31" s="698"/>
      <c r="O31" s="1006"/>
      <c r="P31" s="748">
        <f t="shared" si="6"/>
        <v>1.6250000000000001E-2</v>
      </c>
      <c r="Q31" s="742">
        <f t="shared" si="7"/>
        <v>8.9999999999999993E-3</v>
      </c>
      <c r="R31" s="617">
        <f t="shared" si="10"/>
        <v>0.99568993300045094</v>
      </c>
      <c r="S31" s="140">
        <f t="shared" si="11"/>
        <v>1.0079193449155441</v>
      </c>
      <c r="T31" s="808">
        <f t="shared" si="8"/>
        <v>3653.0515930133397</v>
      </c>
      <c r="U31" s="809">
        <f t="shared" si="9"/>
        <v>3125.25006677389</v>
      </c>
    </row>
    <row r="32" spans="1:21" ht="12.75" customHeight="1" x14ac:dyDescent="0.2">
      <c r="A32" s="955">
        <v>6</v>
      </c>
      <c r="B32" s="2862"/>
      <c r="C32" s="2854"/>
      <c r="D32" s="1007" t="s">
        <v>35</v>
      </c>
      <c r="E32" s="2847"/>
      <c r="F32" s="753">
        <v>2</v>
      </c>
      <c r="G32" s="754">
        <f>'СР6 перевод на Баграс'!AG48</f>
        <v>0.98643764480780993</v>
      </c>
      <c r="H32" s="1008">
        <f>'СР6 перевод на Баграс'!AH48</f>
        <v>0.99703485501789002</v>
      </c>
      <c r="I32" s="756"/>
      <c r="J32" s="757"/>
      <c r="K32" s="757"/>
      <c r="L32" s="757">
        <v>0.25</v>
      </c>
      <c r="M32" s="757"/>
      <c r="N32" s="706"/>
      <c r="O32" s="1009"/>
      <c r="P32" s="760">
        <f t="shared" si="6"/>
        <v>1.6250000000000001E-2</v>
      </c>
      <c r="Q32" s="1010">
        <f t="shared" si="7"/>
        <v>8.9999999999999993E-3</v>
      </c>
      <c r="R32" s="157">
        <f t="shared" si="10"/>
        <v>0.99557027235676321</v>
      </c>
      <c r="S32" s="158">
        <f t="shared" si="11"/>
        <v>1.0061660856990098</v>
      </c>
      <c r="T32" s="810">
        <f t="shared" si="8"/>
        <v>3653.4906644854213</v>
      </c>
      <c r="U32" s="811">
        <f t="shared" si="9"/>
        <v>3130.6958610233946</v>
      </c>
    </row>
    <row r="33" spans="1:21" ht="12.75" customHeight="1" x14ac:dyDescent="0.2">
      <c r="A33" s="955">
        <v>6</v>
      </c>
      <c r="B33" s="2852" t="s">
        <v>311</v>
      </c>
      <c r="C33" s="2854" t="s">
        <v>352</v>
      </c>
      <c r="D33" s="751" t="s">
        <v>35</v>
      </c>
      <c r="E33" s="2848" t="s">
        <v>146</v>
      </c>
      <c r="F33" s="753">
        <v>1</v>
      </c>
      <c r="G33" s="754">
        <f>'СР6 перевод на Баграс'!AG51</f>
        <v>0.80359834510064598</v>
      </c>
      <c r="H33" s="1008">
        <f>'СР6 перевод на Баграс'!AH51</f>
        <v>0.81597526709471113</v>
      </c>
      <c r="I33" s="756">
        <v>8.5000000000000006E-2</v>
      </c>
      <c r="J33" s="757"/>
      <c r="K33" s="757"/>
      <c r="L33" s="757"/>
      <c r="M33" s="757">
        <v>0.5</v>
      </c>
      <c r="N33" s="706">
        <v>0.6</v>
      </c>
      <c r="O33" s="1009"/>
      <c r="P33" s="760">
        <f t="shared" si="6"/>
        <v>0.32533000000000001</v>
      </c>
      <c r="Q33" s="1010">
        <f t="shared" si="7"/>
        <v>0.44645999999999997</v>
      </c>
      <c r="R33" s="157">
        <f t="shared" si="10"/>
        <v>1.2916986781195394</v>
      </c>
      <c r="S33" s="637">
        <f t="shared" si="11"/>
        <v>1.3036803337108738</v>
      </c>
      <c r="T33" s="810">
        <f t="shared" si="8"/>
        <v>2815.9095906096691</v>
      </c>
      <c r="U33" s="811">
        <f t="shared" si="9"/>
        <v>2416.2364949033567</v>
      </c>
    </row>
    <row r="34" spans="1:21" ht="12.75" customHeight="1" thickBot="1" x14ac:dyDescent="0.25">
      <c r="A34" s="584">
        <v>6</v>
      </c>
      <c r="B34" s="2853"/>
      <c r="C34" s="2855"/>
      <c r="D34" s="762" t="s">
        <v>35</v>
      </c>
      <c r="E34" s="2856"/>
      <c r="F34" s="587">
        <v>2</v>
      </c>
      <c r="G34" s="763">
        <f>'СР6 перевод на Баграс'!AG52</f>
        <v>0.80360153955987057</v>
      </c>
      <c r="H34" s="1011">
        <f>'СР6 перевод на Баграс'!AH52</f>
        <v>0.81432421719440995</v>
      </c>
      <c r="I34" s="589">
        <v>8.5000000000000006E-2</v>
      </c>
      <c r="J34" s="765"/>
      <c r="K34" s="765"/>
      <c r="L34" s="765"/>
      <c r="M34" s="765">
        <v>0.4</v>
      </c>
      <c r="N34" s="590">
        <v>0.7</v>
      </c>
      <c r="O34" s="1012"/>
      <c r="P34" s="768">
        <f t="shared" si="6"/>
        <v>0.31942999999999999</v>
      </c>
      <c r="Q34" s="1013">
        <f t="shared" si="7"/>
        <v>0.44645999999999997</v>
      </c>
      <c r="R34" s="175">
        <f t="shared" si="10"/>
        <v>1.2902284207018515</v>
      </c>
      <c r="S34" s="642">
        <f t="shared" si="11"/>
        <v>1.3006199933979645</v>
      </c>
      <c r="T34" s="812">
        <f t="shared" si="8"/>
        <v>2819.118411541454</v>
      </c>
      <c r="U34" s="813">
        <f t="shared" si="9"/>
        <v>2421.9218649487275</v>
      </c>
    </row>
    <row r="35" spans="1:21" x14ac:dyDescent="0.2">
      <c r="E35" s="187"/>
      <c r="F35" s="187"/>
      <c r="P35" s="188"/>
    </row>
    <row r="36" spans="1:21" ht="15.75" x14ac:dyDescent="0.2">
      <c r="B36" s="192" t="s">
        <v>158</v>
      </c>
      <c r="C36" s="192"/>
      <c r="D36" s="2378">
        <v>42282</v>
      </c>
      <c r="E36" s="2378"/>
      <c r="F36" s="186"/>
    </row>
    <row r="37" spans="1:21" x14ac:dyDescent="0.2">
      <c r="B37" s="185" t="s">
        <v>252</v>
      </c>
      <c r="D37" s="2380" t="s">
        <v>189</v>
      </c>
      <c r="E37" s="2380"/>
    </row>
    <row r="41" spans="1:21" x14ac:dyDescent="0.2">
      <c r="N41" s="100"/>
      <c r="O41" s="100"/>
      <c r="P41" s="100"/>
      <c r="Q41" s="100"/>
    </row>
    <row r="109" spans="1:1" x14ac:dyDescent="0.2">
      <c r="A109" s="195"/>
    </row>
    <row r="110" spans="1:1" x14ac:dyDescent="0.2">
      <c r="A110" s="195"/>
    </row>
    <row r="111" spans="1:1" x14ac:dyDescent="0.2">
      <c r="A111" s="195"/>
    </row>
    <row r="112" spans="1:1" x14ac:dyDescent="0.2">
      <c r="A112" s="195"/>
    </row>
  </sheetData>
  <mergeCells count="59">
    <mergeCell ref="A1:U1"/>
    <mergeCell ref="A2:A4"/>
    <mergeCell ref="B2:B4"/>
    <mergeCell ref="D2:D4"/>
    <mergeCell ref="E2:E4"/>
    <mergeCell ref="F2:F4"/>
    <mergeCell ref="G2:H2"/>
    <mergeCell ref="P2:Q3"/>
    <mergeCell ref="R2:S2"/>
    <mergeCell ref="T2:U2"/>
    <mergeCell ref="D36:E36"/>
    <mergeCell ref="D37:E37"/>
    <mergeCell ref="B7:B8"/>
    <mergeCell ref="B9:B10"/>
    <mergeCell ref="B11:B12"/>
    <mergeCell ref="B13:B14"/>
    <mergeCell ref="B15:B16"/>
    <mergeCell ref="B17:B18"/>
    <mergeCell ref="B19:B20"/>
    <mergeCell ref="C23:C24"/>
    <mergeCell ref="C2:C4"/>
    <mergeCell ref="C5:C6"/>
    <mergeCell ref="C7:C8"/>
    <mergeCell ref="C9:C10"/>
    <mergeCell ref="C11:C12"/>
    <mergeCell ref="B5:B6"/>
    <mergeCell ref="E13:E14"/>
    <mergeCell ref="E15:E16"/>
    <mergeCell ref="C15:C16"/>
    <mergeCell ref="C17:C18"/>
    <mergeCell ref="C13:C14"/>
    <mergeCell ref="B27:B28"/>
    <mergeCell ref="C27:C28"/>
    <mergeCell ref="E27:E28"/>
    <mergeCell ref="C21:C22"/>
    <mergeCell ref="E17:E18"/>
    <mergeCell ref="E21:E22"/>
    <mergeCell ref="E23:E24"/>
    <mergeCell ref="E25:E26"/>
    <mergeCell ref="C25:C26"/>
    <mergeCell ref="B21:B22"/>
    <mergeCell ref="B23:B24"/>
    <mergeCell ref="B25:B26"/>
    <mergeCell ref="C19:C20"/>
    <mergeCell ref="E19:E20"/>
    <mergeCell ref="I2:O2"/>
    <mergeCell ref="E5:E6"/>
    <mergeCell ref="E7:E8"/>
    <mergeCell ref="E9:E10"/>
    <mergeCell ref="E11:E12"/>
    <mergeCell ref="B33:B34"/>
    <mergeCell ref="C33:C34"/>
    <mergeCell ref="E33:E34"/>
    <mergeCell ref="B29:B30"/>
    <mergeCell ref="C29:C30"/>
    <mergeCell ref="E29:E30"/>
    <mergeCell ref="B31:B32"/>
    <mergeCell ref="C31:C32"/>
    <mergeCell ref="E31:E32"/>
  </mergeCells>
  <pageMargins left="0.59055118110236227" right="0.59055118110236227" top="0.74803149606299213" bottom="0.74803149606299213" header="0.31496062992125984" footer="0.31496062992125984"/>
  <pageSetup paperSize="9" orientation="landscape" r:id="rId1"/>
  <headerFooter>
    <oddFooter>&amp;L&amp;8&amp;Z&amp;F&amp;D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55E45-FEF2-4061-992F-5335A1E322E8}">
  <sheetPr codeName="Лист24"/>
  <dimension ref="A1:AM86"/>
  <sheetViews>
    <sheetView zoomScaleNormal="100" workbookViewId="0">
      <selection activeCell="R22" sqref="R22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9" width="5.5703125" style="188" customWidth="1"/>
    <col min="10" max="10" width="5.5703125" style="189" customWidth="1"/>
    <col min="11" max="12" width="6.7109375" style="186" customWidth="1"/>
    <col min="13" max="14" width="6.7109375" style="100" customWidth="1"/>
    <col min="15" max="16" width="6.7109375" style="190" customWidth="1"/>
    <col min="17" max="16384" width="9.140625" style="100"/>
  </cols>
  <sheetData>
    <row r="1" spans="1:39" ht="36.75" customHeight="1" thickBot="1" x14ac:dyDescent="0.25">
      <c r="A1" s="2302" t="s">
        <v>373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69"/>
      <c r="R1" s="269"/>
      <c r="S1" s="269"/>
      <c r="T1" s="269"/>
      <c r="U1" s="269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</row>
    <row r="2" spans="1:39" s="101" customFormat="1" ht="69.75" customHeight="1" x14ac:dyDescent="0.2">
      <c r="A2" s="2303" t="s">
        <v>0</v>
      </c>
      <c r="B2" s="2306" t="s">
        <v>406</v>
      </c>
      <c r="C2" s="2306" t="s">
        <v>10</v>
      </c>
      <c r="D2" s="2312" t="s">
        <v>4</v>
      </c>
      <c r="E2" s="2315" t="s">
        <v>407</v>
      </c>
      <c r="F2" s="2315" t="s">
        <v>225</v>
      </c>
      <c r="G2" s="2318" t="s">
        <v>415</v>
      </c>
      <c r="H2" s="2319"/>
      <c r="I2" s="2320" t="s">
        <v>230</v>
      </c>
      <c r="J2" s="2322"/>
      <c r="K2" s="2323" t="s">
        <v>360</v>
      </c>
      <c r="L2" s="2324"/>
      <c r="M2" s="2347" t="s">
        <v>232</v>
      </c>
      <c r="N2" s="2348"/>
      <c r="O2" s="2328" t="s">
        <v>231</v>
      </c>
      <c r="P2" s="2829"/>
    </row>
    <row r="3" spans="1:39" s="101" customFormat="1" ht="36" customHeight="1" x14ac:dyDescent="0.2">
      <c r="A3" s="2304"/>
      <c r="B3" s="2307"/>
      <c r="C3" s="2307"/>
      <c r="D3" s="2313"/>
      <c r="E3" s="2316"/>
      <c r="F3" s="2316"/>
      <c r="G3" s="102" t="s">
        <v>220</v>
      </c>
      <c r="H3" s="103" t="s">
        <v>29</v>
      </c>
      <c r="I3" s="611" t="s">
        <v>290</v>
      </c>
      <c r="J3" s="403" t="s">
        <v>291</v>
      </c>
      <c r="K3" s="2325"/>
      <c r="L3" s="2326"/>
      <c r="M3" s="107" t="s">
        <v>216</v>
      </c>
      <c r="N3" s="108" t="s">
        <v>217</v>
      </c>
      <c r="O3" s="109" t="s">
        <v>218</v>
      </c>
      <c r="P3" s="111" t="s">
        <v>219</v>
      </c>
    </row>
    <row r="4" spans="1:39" s="101" customFormat="1" ht="13.5" thickBot="1" x14ac:dyDescent="0.25">
      <c r="A4" s="2305"/>
      <c r="B4" s="2308"/>
      <c r="C4" s="2308"/>
      <c r="D4" s="2314"/>
      <c r="E4" s="2317"/>
      <c r="F4" s="2317"/>
      <c r="G4" s="112" t="s">
        <v>30</v>
      </c>
      <c r="H4" s="113" t="s">
        <v>30</v>
      </c>
      <c r="I4" s="114" t="s">
        <v>31</v>
      </c>
      <c r="J4" s="117" t="s">
        <v>31</v>
      </c>
      <c r="K4" s="821" t="s">
        <v>30</v>
      </c>
      <c r="L4" s="822" t="s">
        <v>30</v>
      </c>
      <c r="M4" s="613" t="s">
        <v>30</v>
      </c>
      <c r="N4" s="614" t="s">
        <v>30</v>
      </c>
      <c r="O4" s="125" t="s">
        <v>35</v>
      </c>
      <c r="P4" s="126" t="s">
        <v>35</v>
      </c>
    </row>
    <row r="5" spans="1:39" ht="12.75" customHeight="1" x14ac:dyDescent="0.2">
      <c r="A5" s="658">
        <v>7</v>
      </c>
      <c r="B5" s="2306" t="s">
        <v>289</v>
      </c>
      <c r="C5" s="2482" t="s">
        <v>352</v>
      </c>
      <c r="D5" s="490" t="s">
        <v>39</v>
      </c>
      <c r="E5" s="2827" t="s">
        <v>109</v>
      </c>
      <c r="F5" s="491">
        <v>1</v>
      </c>
      <c r="G5" s="799">
        <v>0.31900000000000001</v>
      </c>
      <c r="H5" s="823">
        <v>0.432</v>
      </c>
      <c r="I5" s="492"/>
      <c r="J5" s="801">
        <v>0.04</v>
      </c>
      <c r="K5" s="802">
        <f>0.077*I5+0.06*J5</f>
        <v>2.3999999999999998E-3</v>
      </c>
      <c r="L5" s="800">
        <f>0.071*I5+0.4*J5</f>
        <v>1.6E-2</v>
      </c>
      <c r="M5" s="824">
        <f>SQRT(K5^2+(G5+L5)^2)</f>
        <v>0.33500859690461676</v>
      </c>
      <c r="N5" s="140">
        <f>SQRT(K5^2+(H5+L5)^2)</f>
        <v>0.44800642852530587</v>
      </c>
      <c r="O5" s="356">
        <f>6300/(SQRT(3)*M5)</f>
        <v>10857.353302280335</v>
      </c>
      <c r="P5" s="618">
        <f>6300/(2*N5)</f>
        <v>7031.1491073215047</v>
      </c>
    </row>
    <row r="6" spans="1:39" ht="12.75" customHeight="1" x14ac:dyDescent="0.2">
      <c r="A6" s="144">
        <v>7</v>
      </c>
      <c r="B6" s="2359"/>
      <c r="C6" s="2363"/>
      <c r="D6" s="145" t="s">
        <v>39</v>
      </c>
      <c r="E6" s="2824"/>
      <c r="F6" s="146">
        <v>2</v>
      </c>
      <c r="G6" s="275">
        <v>0.31900000000000001</v>
      </c>
      <c r="H6" s="278">
        <v>0.432</v>
      </c>
      <c r="I6" s="147"/>
      <c r="J6" s="687">
        <v>0.04</v>
      </c>
      <c r="K6" s="825">
        <f>0.077*I6+0.06*J6</f>
        <v>2.3999999999999998E-3</v>
      </c>
      <c r="L6" s="803">
        <f>0.071*I6+0.4*J6</f>
        <v>1.6E-2</v>
      </c>
      <c r="M6" s="826">
        <f>SQRT(K6^2+(G6+L6)^2)</f>
        <v>0.33500859690461676</v>
      </c>
      <c r="N6" s="158">
        <f>SQRT(K6^2+(H6+L6)^2)</f>
        <v>0.44800642852530587</v>
      </c>
      <c r="O6" s="542">
        <f>6300/(SQRT(3)*M6)</f>
        <v>10857.353302280335</v>
      </c>
      <c r="P6" s="619">
        <f>6300/(2*N6)</f>
        <v>7031.1491073215047</v>
      </c>
    </row>
    <row r="7" spans="1:39" ht="12.75" customHeight="1" x14ac:dyDescent="0.2">
      <c r="A7" s="161">
        <v>7</v>
      </c>
      <c r="B7" s="2358" t="s">
        <v>151</v>
      </c>
      <c r="C7" s="2362" t="s">
        <v>342</v>
      </c>
      <c r="D7" s="145" t="s">
        <v>39</v>
      </c>
      <c r="E7" s="2823" t="s">
        <v>151</v>
      </c>
      <c r="F7" s="146">
        <v>1</v>
      </c>
      <c r="G7" s="275">
        <f>СР7!AG7</f>
        <v>0.51838442777936289</v>
      </c>
      <c r="H7" s="278">
        <f>СР7!AH7</f>
        <v>0.67150668462803664</v>
      </c>
      <c r="I7" s="147">
        <v>0.22</v>
      </c>
      <c r="J7" s="687"/>
      <c r="K7" s="825">
        <f>0.077*I7+0.06*J7</f>
        <v>1.694E-2</v>
      </c>
      <c r="L7" s="803">
        <f>0.071*I7+0.4*J7</f>
        <v>1.5619999999999998E-2</v>
      </c>
      <c r="M7" s="826">
        <f>SQRT(K7^2+(G7+L7)^2)</f>
        <v>0.53427305049755669</v>
      </c>
      <c r="N7" s="158">
        <f>SQRT(K7^2+(H7+L7)^2)</f>
        <v>0.68733546709588422</v>
      </c>
      <c r="O7" s="542">
        <f>6300/(SQRT(3)*M7)</f>
        <v>6807.9546451150754</v>
      </c>
      <c r="P7" s="619">
        <f>6300/(2*N7)</f>
        <v>4582.9149677221167</v>
      </c>
    </row>
    <row r="8" spans="1:39" ht="12.75" customHeight="1" thickBot="1" x14ac:dyDescent="0.25">
      <c r="A8" s="196">
        <v>7</v>
      </c>
      <c r="B8" s="2308"/>
      <c r="C8" s="2364"/>
      <c r="D8" s="164" t="s">
        <v>39</v>
      </c>
      <c r="E8" s="2828"/>
      <c r="F8" s="165">
        <v>2</v>
      </c>
      <c r="G8" s="805">
        <f>СР7!AG8</f>
        <v>0.51838442777936289</v>
      </c>
      <c r="H8" s="827">
        <f>СР7!AH8</f>
        <v>0.67150668462803664</v>
      </c>
      <c r="I8" s="167">
        <v>0.22</v>
      </c>
      <c r="J8" s="807"/>
      <c r="K8" s="828">
        <f>0.077*I8+0.06*J8</f>
        <v>1.694E-2</v>
      </c>
      <c r="L8" s="806">
        <f>0.071*I8+0.4*J8</f>
        <v>1.5619999999999998E-2</v>
      </c>
      <c r="M8" s="829">
        <f>SQRT(K8^2+(G8+L8)^2)</f>
        <v>0.53427305049755669</v>
      </c>
      <c r="N8" s="176">
        <f>SQRT(K8^2+(H8+L8)^2)</f>
        <v>0.68733546709588422</v>
      </c>
      <c r="O8" s="628">
        <f>6300/(SQRT(3)*M8)</f>
        <v>6807.9546451150754</v>
      </c>
      <c r="P8" s="629">
        <f>6300/(2*N8)</f>
        <v>4582.9149677221167</v>
      </c>
    </row>
    <row r="9" spans="1:39" x14ac:dyDescent="0.2">
      <c r="E9" s="187"/>
      <c r="F9" s="187"/>
      <c r="K9" s="188"/>
    </row>
    <row r="10" spans="1:39" ht="15.75" x14ac:dyDescent="0.2">
      <c r="B10" s="192" t="s">
        <v>158</v>
      </c>
      <c r="C10" s="192"/>
      <c r="D10" s="2378">
        <v>42648</v>
      </c>
      <c r="E10" s="2378"/>
      <c r="F10" s="186"/>
    </row>
    <row r="11" spans="1:39" x14ac:dyDescent="0.2">
      <c r="B11" s="185" t="s">
        <v>328</v>
      </c>
      <c r="D11" s="2380" t="s">
        <v>189</v>
      </c>
      <c r="E11" s="2380"/>
    </row>
    <row r="15" spans="1:39" x14ac:dyDescent="0.2">
      <c r="J15" s="100"/>
      <c r="K15" s="100"/>
      <c r="L15" s="100"/>
    </row>
    <row r="83" spans="1:1" x14ac:dyDescent="0.2">
      <c r="A83" s="195"/>
    </row>
    <row r="84" spans="1:1" x14ac:dyDescent="0.2">
      <c r="A84" s="195"/>
    </row>
    <row r="85" spans="1:1" x14ac:dyDescent="0.2">
      <c r="A85" s="195"/>
    </row>
    <row r="86" spans="1:1" x14ac:dyDescent="0.2">
      <c r="A86" s="195"/>
    </row>
  </sheetData>
  <mergeCells count="20">
    <mergeCell ref="E5:E6"/>
    <mergeCell ref="E7:E8"/>
    <mergeCell ref="C5:C6"/>
    <mergeCell ref="C7:C8"/>
    <mergeCell ref="O2:P2"/>
    <mergeCell ref="D10:E10"/>
    <mergeCell ref="D11:E11"/>
    <mergeCell ref="A1:P1"/>
    <mergeCell ref="A2:A4"/>
    <mergeCell ref="B2:B4"/>
    <mergeCell ref="D2:D4"/>
    <mergeCell ref="E2:E4"/>
    <mergeCell ref="F2:F4"/>
    <mergeCell ref="G2:H2"/>
    <mergeCell ref="I2:J2"/>
    <mergeCell ref="K2:L3"/>
    <mergeCell ref="M2:N2"/>
    <mergeCell ref="C2:C4"/>
    <mergeCell ref="B5:B6"/>
    <mergeCell ref="B7:B8"/>
  </mergeCells>
  <pageMargins left="0.78740157480314965" right="0.78740157480314965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1AF87-EB36-49B6-B2AD-6970B7F00034}">
  <sheetPr codeName="Лист25"/>
  <dimension ref="A1:AQ96"/>
  <sheetViews>
    <sheetView zoomScaleNormal="100" workbookViewId="0">
      <selection activeCell="AA39" sqref="AA39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2" width="5.5703125" style="188" customWidth="1"/>
    <col min="13" max="14" width="5.5703125" style="189" customWidth="1"/>
    <col min="15" max="16" width="6.7109375" style="186" customWidth="1"/>
    <col min="17" max="18" width="6.7109375" style="100" customWidth="1"/>
    <col min="19" max="20" width="6.7109375" style="190" customWidth="1"/>
    <col min="21" max="16384" width="9.140625" style="100"/>
  </cols>
  <sheetData>
    <row r="1" spans="1:43" ht="36.75" customHeight="1" thickBot="1" x14ac:dyDescent="0.25">
      <c r="A1" s="2302" t="s">
        <v>374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69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  <c r="AP1" s="269"/>
      <c r="AQ1" s="269"/>
    </row>
    <row r="2" spans="1:43" s="101" customFormat="1" ht="69.75" customHeight="1" x14ac:dyDescent="0.2">
      <c r="A2" s="2303" t="s">
        <v>0</v>
      </c>
      <c r="B2" s="2306" t="s">
        <v>409</v>
      </c>
      <c r="C2" s="2306" t="s">
        <v>10</v>
      </c>
      <c r="D2" s="2312" t="s">
        <v>4</v>
      </c>
      <c r="E2" s="2315" t="s">
        <v>408</v>
      </c>
      <c r="F2" s="2315" t="s">
        <v>225</v>
      </c>
      <c r="G2" s="2318" t="s">
        <v>416</v>
      </c>
      <c r="H2" s="2319"/>
      <c r="I2" s="2320" t="s">
        <v>230</v>
      </c>
      <c r="J2" s="2321"/>
      <c r="K2" s="2321"/>
      <c r="L2" s="2321"/>
      <c r="M2" s="2321"/>
      <c r="N2" s="2322"/>
      <c r="O2" s="2323" t="s">
        <v>360</v>
      </c>
      <c r="P2" s="2324"/>
      <c r="Q2" s="2347" t="s">
        <v>232</v>
      </c>
      <c r="R2" s="2348"/>
      <c r="S2" s="2328" t="s">
        <v>231</v>
      </c>
      <c r="T2" s="2829"/>
    </row>
    <row r="3" spans="1:43" s="101" customFormat="1" ht="36" customHeight="1" x14ac:dyDescent="0.2">
      <c r="A3" s="2304"/>
      <c r="B3" s="2307"/>
      <c r="C3" s="2307"/>
      <c r="D3" s="2313"/>
      <c r="E3" s="2316"/>
      <c r="F3" s="2316"/>
      <c r="G3" s="102" t="s">
        <v>220</v>
      </c>
      <c r="H3" s="103" t="s">
        <v>29</v>
      </c>
      <c r="I3" s="611" t="s">
        <v>304</v>
      </c>
      <c r="J3" s="612" t="s">
        <v>305</v>
      </c>
      <c r="K3" s="612" t="s">
        <v>306</v>
      </c>
      <c r="L3" s="612" t="s">
        <v>307</v>
      </c>
      <c r="M3" s="402" t="s">
        <v>286</v>
      </c>
      <c r="N3" s="403" t="s">
        <v>25</v>
      </c>
      <c r="O3" s="2325"/>
      <c r="P3" s="2326"/>
      <c r="Q3" s="107" t="s">
        <v>216</v>
      </c>
      <c r="R3" s="108" t="s">
        <v>217</v>
      </c>
      <c r="S3" s="109" t="s">
        <v>218</v>
      </c>
      <c r="T3" s="111" t="s">
        <v>219</v>
      </c>
    </row>
    <row r="4" spans="1:43" s="101" customFormat="1" ht="13.5" thickBot="1" x14ac:dyDescent="0.25">
      <c r="A4" s="2305"/>
      <c r="B4" s="2308"/>
      <c r="C4" s="2307"/>
      <c r="D4" s="2314"/>
      <c r="E4" s="2317"/>
      <c r="F4" s="2317"/>
      <c r="G4" s="112" t="s">
        <v>30</v>
      </c>
      <c r="H4" s="113" t="s">
        <v>30</v>
      </c>
      <c r="I4" s="114" t="s">
        <v>31</v>
      </c>
      <c r="J4" s="115" t="s">
        <v>31</v>
      </c>
      <c r="K4" s="115" t="s">
        <v>31</v>
      </c>
      <c r="L4" s="115" t="s">
        <v>31</v>
      </c>
      <c r="M4" s="116" t="s">
        <v>31</v>
      </c>
      <c r="N4" s="117" t="s">
        <v>31</v>
      </c>
      <c r="O4" s="118" t="s">
        <v>30</v>
      </c>
      <c r="P4" s="116" t="s">
        <v>30</v>
      </c>
      <c r="Q4" s="613" t="s">
        <v>30</v>
      </c>
      <c r="R4" s="614" t="s">
        <v>30</v>
      </c>
      <c r="S4" s="125" t="s">
        <v>35</v>
      </c>
      <c r="T4" s="126" t="s">
        <v>35</v>
      </c>
    </row>
    <row r="5" spans="1:43" ht="12.75" customHeight="1" x14ac:dyDescent="0.2">
      <c r="A5" s="127">
        <v>8</v>
      </c>
      <c r="B5" s="2309" t="s">
        <v>298</v>
      </c>
      <c r="C5" s="2836" t="s">
        <v>352</v>
      </c>
      <c r="D5" s="128" t="s">
        <v>39</v>
      </c>
      <c r="E5" s="2827" t="s">
        <v>130</v>
      </c>
      <c r="F5" s="655">
        <v>1</v>
      </c>
      <c r="G5" s="615">
        <v>0.34399999999999997</v>
      </c>
      <c r="H5" s="616">
        <v>0.36499999999999999</v>
      </c>
      <c r="I5" s="131">
        <v>0.3</v>
      </c>
      <c r="J5" s="659"/>
      <c r="K5" s="659"/>
      <c r="L5" s="659"/>
      <c r="M5" s="133"/>
      <c r="N5" s="134"/>
      <c r="O5" s="620">
        <f>0.129*I5+0.129*J5+0.043*K5+0.039*L5+0.308*M5+0.246*N5</f>
        <v>3.8699999999999998E-2</v>
      </c>
      <c r="P5" s="616">
        <f>0.071*I5+0.038*J5+0.024*K5+0.036*L5+0.4*M5+0.4*N5</f>
        <v>2.1299999999999996E-2</v>
      </c>
      <c r="Q5" s="617">
        <f t="shared" ref="Q5:Q18" si="0">SQRT(O5^2+(G5+P5)^2)</f>
        <v>0.36734422548884577</v>
      </c>
      <c r="R5" s="140">
        <f t="shared" ref="R5:R18" si="1">SQRT(O5^2+(H5+P5)^2)</f>
        <v>0.38823366675238247</v>
      </c>
      <c r="S5" s="356">
        <f>6300/(SQRT(3)*Q5)</f>
        <v>9901.6302517190052</v>
      </c>
      <c r="T5" s="618">
        <f>6300/(2*R5)</f>
        <v>8113.6703736955587</v>
      </c>
    </row>
    <row r="6" spans="1:43" ht="12.75" customHeight="1" x14ac:dyDescent="0.2">
      <c r="A6" s="144">
        <v>8</v>
      </c>
      <c r="B6" s="2830"/>
      <c r="C6" s="2837"/>
      <c r="D6" s="145" t="s">
        <v>39</v>
      </c>
      <c r="E6" s="2824"/>
      <c r="F6" s="146">
        <v>2</v>
      </c>
      <c r="G6" s="275">
        <v>0.34399999999999997</v>
      </c>
      <c r="H6" s="278">
        <v>0.36499999999999999</v>
      </c>
      <c r="I6" s="147">
        <v>0.3</v>
      </c>
      <c r="J6" s="660"/>
      <c r="K6" s="660"/>
      <c r="L6" s="660"/>
      <c r="M6" s="149"/>
      <c r="N6" s="150"/>
      <c r="O6" s="620">
        <f t="shared" ref="O6:O17" si="2">0.129*I6+0.129*J6+0.043*K6+0.039*L6+0.308*M6+0.246*N6</f>
        <v>3.8699999999999998E-2</v>
      </c>
      <c r="P6" s="616">
        <f t="shared" ref="P6:P18" si="3">0.071*I6+0.038*J6+0.024*K6+0.036*L6+0.4*M6+0.4*N6</f>
        <v>2.1299999999999996E-2</v>
      </c>
      <c r="Q6" s="157">
        <f t="shared" si="0"/>
        <v>0.36734422548884577</v>
      </c>
      <c r="R6" s="158">
        <f t="shared" si="1"/>
        <v>0.38823366675238247</v>
      </c>
      <c r="S6" s="542">
        <f t="shared" ref="S6:S18" si="4">6300/(SQRT(3)*Q6)</f>
        <v>9901.6302517190052</v>
      </c>
      <c r="T6" s="619">
        <f t="shared" ref="T6:T18" si="5">6300/(2*R6)</f>
        <v>8113.6703736955587</v>
      </c>
    </row>
    <row r="7" spans="1:43" ht="12.75" customHeight="1" x14ac:dyDescent="0.2">
      <c r="A7" s="144">
        <v>8</v>
      </c>
      <c r="B7" s="2831" t="s">
        <v>299</v>
      </c>
      <c r="C7" s="2837" t="s">
        <v>375</v>
      </c>
      <c r="D7" s="145" t="s">
        <v>39</v>
      </c>
      <c r="E7" s="2823" t="s">
        <v>299</v>
      </c>
      <c r="F7" s="146">
        <v>1</v>
      </c>
      <c r="G7" s="275">
        <f>СР8!AF5</f>
        <v>1.1835066128121849</v>
      </c>
      <c r="H7" s="278">
        <f>СР8!AG5</f>
        <v>1.2659544779012279</v>
      </c>
      <c r="I7" s="147"/>
      <c r="J7" s="660"/>
      <c r="K7" s="660">
        <v>0.31</v>
      </c>
      <c r="L7" s="660"/>
      <c r="M7" s="149"/>
      <c r="N7" s="150"/>
      <c r="O7" s="620">
        <f t="shared" si="2"/>
        <v>1.3329999999999998E-2</v>
      </c>
      <c r="P7" s="616">
        <f t="shared" si="3"/>
        <v>7.4400000000000004E-3</v>
      </c>
      <c r="Q7" s="157">
        <f t="shared" si="0"/>
        <v>1.1910212103354063</v>
      </c>
      <c r="R7" s="158">
        <f t="shared" si="1"/>
        <v>1.2734642457679528</v>
      </c>
      <c r="S7" s="542">
        <f t="shared" si="4"/>
        <v>3053.9394801124758</v>
      </c>
      <c r="T7" s="619">
        <f t="shared" si="5"/>
        <v>2473.5676800257684</v>
      </c>
    </row>
    <row r="8" spans="1:43" ht="12.75" customHeight="1" x14ac:dyDescent="0.2">
      <c r="A8" s="144">
        <v>8</v>
      </c>
      <c r="B8" s="2830"/>
      <c r="C8" s="2837"/>
      <c r="D8" s="145" t="s">
        <v>39</v>
      </c>
      <c r="E8" s="2824"/>
      <c r="F8" s="146">
        <v>2</v>
      </c>
      <c r="G8" s="275">
        <f>СР8!AF6</f>
        <v>1.189702018561863</v>
      </c>
      <c r="H8" s="278">
        <f>СР8!AG6</f>
        <v>1.2721631306236523</v>
      </c>
      <c r="I8" s="147"/>
      <c r="J8" s="660"/>
      <c r="K8" s="660">
        <v>0.31</v>
      </c>
      <c r="L8" s="660"/>
      <c r="M8" s="149"/>
      <c r="N8" s="150"/>
      <c r="O8" s="620">
        <f t="shared" si="2"/>
        <v>1.3329999999999998E-2</v>
      </c>
      <c r="P8" s="616">
        <f t="shared" si="3"/>
        <v>7.4400000000000004E-3</v>
      </c>
      <c r="Q8" s="157">
        <f t="shared" si="0"/>
        <v>1.1972162300546929</v>
      </c>
      <c r="R8" s="158">
        <f t="shared" si="1"/>
        <v>1.2796725599940992</v>
      </c>
      <c r="S8" s="542">
        <f t="shared" si="4"/>
        <v>3038.1368081925166</v>
      </c>
      <c r="T8" s="619">
        <f t="shared" si="5"/>
        <v>2461.5671996706137</v>
      </c>
    </row>
    <row r="9" spans="1:43" ht="12.75" customHeight="1" x14ac:dyDescent="0.2">
      <c r="A9" s="144">
        <v>8</v>
      </c>
      <c r="B9" s="2831" t="s">
        <v>300</v>
      </c>
      <c r="C9" s="2362" t="s">
        <v>352</v>
      </c>
      <c r="D9" s="145" t="s">
        <v>39</v>
      </c>
      <c r="E9" s="2823" t="s">
        <v>147</v>
      </c>
      <c r="F9" s="146">
        <v>1</v>
      </c>
      <c r="G9" s="275">
        <f>СР8!AF7</f>
        <v>0.81099525330084354</v>
      </c>
      <c r="H9" s="278">
        <f>СР8!AG7</f>
        <v>0.82875569758901779</v>
      </c>
      <c r="I9" s="147"/>
      <c r="J9" s="660">
        <v>0.17</v>
      </c>
      <c r="K9" s="660"/>
      <c r="L9" s="660"/>
      <c r="M9" s="149">
        <v>0.1</v>
      </c>
      <c r="N9" s="150"/>
      <c r="O9" s="620">
        <f t="shared" si="2"/>
        <v>5.2729999999999999E-2</v>
      </c>
      <c r="P9" s="616">
        <f t="shared" si="3"/>
        <v>4.6460000000000008E-2</v>
      </c>
      <c r="Q9" s="157">
        <f t="shared" si="0"/>
        <v>0.85907506325885974</v>
      </c>
      <c r="R9" s="158">
        <f t="shared" si="1"/>
        <v>0.87680269742184935</v>
      </c>
      <c r="S9" s="542">
        <f t="shared" si="4"/>
        <v>4233.9800693279294</v>
      </c>
      <c r="T9" s="619">
        <f t="shared" si="5"/>
        <v>3592.5984366406033</v>
      </c>
    </row>
    <row r="10" spans="1:43" ht="12.75" customHeight="1" x14ac:dyDescent="0.2">
      <c r="A10" s="144">
        <v>8</v>
      </c>
      <c r="B10" s="2830"/>
      <c r="C10" s="2363"/>
      <c r="D10" s="145" t="s">
        <v>39</v>
      </c>
      <c r="E10" s="2824"/>
      <c r="F10" s="146">
        <v>2</v>
      </c>
      <c r="G10" s="275">
        <f>СР8!AF8</f>
        <v>0.78520687591010008</v>
      </c>
      <c r="H10" s="278">
        <f>СР8!AG8</f>
        <v>0.80296552601606708</v>
      </c>
      <c r="I10" s="147"/>
      <c r="J10" s="660">
        <v>0.17</v>
      </c>
      <c r="K10" s="660"/>
      <c r="L10" s="660"/>
      <c r="M10" s="149">
        <v>0.1</v>
      </c>
      <c r="N10" s="150"/>
      <c r="O10" s="620">
        <f t="shared" si="2"/>
        <v>5.2729999999999999E-2</v>
      </c>
      <c r="P10" s="616">
        <f t="shared" si="3"/>
        <v>4.6460000000000008E-2</v>
      </c>
      <c r="Q10" s="157">
        <f t="shared" si="0"/>
        <v>0.83333681389103753</v>
      </c>
      <c r="R10" s="158">
        <f t="shared" si="1"/>
        <v>0.85106061896181773</v>
      </c>
      <c r="S10" s="542">
        <f t="shared" si="4"/>
        <v>4364.7498049572987</v>
      </c>
      <c r="T10" s="619">
        <f t="shared" si="5"/>
        <v>3701.2639638320788</v>
      </c>
    </row>
    <row r="11" spans="1:43" ht="12.75" customHeight="1" x14ac:dyDescent="0.2">
      <c r="A11" s="144">
        <v>8</v>
      </c>
      <c r="B11" s="2831" t="s">
        <v>301</v>
      </c>
      <c r="C11" s="2838" t="s">
        <v>354</v>
      </c>
      <c r="D11" s="145" t="s">
        <v>39</v>
      </c>
      <c r="E11" s="2823" t="s">
        <v>110</v>
      </c>
      <c r="F11" s="146">
        <v>1</v>
      </c>
      <c r="G11" s="275">
        <v>0.47499999999999998</v>
      </c>
      <c r="H11" s="278">
        <v>0.55000000000000004</v>
      </c>
      <c r="I11" s="147"/>
      <c r="J11" s="660"/>
      <c r="K11" s="660"/>
      <c r="L11" s="660"/>
      <c r="M11" s="149"/>
      <c r="N11" s="150"/>
      <c r="O11" s="620">
        <f t="shared" si="2"/>
        <v>0</v>
      </c>
      <c r="P11" s="616">
        <f t="shared" si="3"/>
        <v>0</v>
      </c>
      <c r="Q11" s="157">
        <f t="shared" si="0"/>
        <v>0.47499999999999998</v>
      </c>
      <c r="R11" s="158">
        <f t="shared" si="1"/>
        <v>0.55000000000000004</v>
      </c>
      <c r="S11" s="542">
        <f t="shared" si="4"/>
        <v>7657.4877808308265</v>
      </c>
      <c r="T11" s="619">
        <f t="shared" si="5"/>
        <v>5727.272727272727</v>
      </c>
    </row>
    <row r="12" spans="1:43" ht="12.75" customHeight="1" x14ac:dyDescent="0.2">
      <c r="A12" s="144">
        <v>8</v>
      </c>
      <c r="B12" s="2830"/>
      <c r="C12" s="2839"/>
      <c r="D12" s="145" t="s">
        <v>39</v>
      </c>
      <c r="E12" s="2824"/>
      <c r="F12" s="146">
        <v>2</v>
      </c>
      <c r="G12" s="275">
        <v>0.47499999999999998</v>
      </c>
      <c r="H12" s="278">
        <v>0.55000000000000004</v>
      </c>
      <c r="I12" s="147"/>
      <c r="J12" s="660"/>
      <c r="K12" s="660"/>
      <c r="L12" s="660"/>
      <c r="M12" s="149"/>
      <c r="N12" s="150"/>
      <c r="O12" s="620">
        <f t="shared" si="2"/>
        <v>0</v>
      </c>
      <c r="P12" s="616">
        <f t="shared" si="3"/>
        <v>0</v>
      </c>
      <c r="Q12" s="157">
        <f t="shared" si="0"/>
        <v>0.47499999999999998</v>
      </c>
      <c r="R12" s="158">
        <f t="shared" si="1"/>
        <v>0.55000000000000004</v>
      </c>
      <c r="S12" s="542">
        <f t="shared" si="4"/>
        <v>7657.4877808308265</v>
      </c>
      <c r="T12" s="619">
        <f t="shared" si="5"/>
        <v>5727.272727272727</v>
      </c>
    </row>
    <row r="13" spans="1:43" ht="12.75" customHeight="1" x14ac:dyDescent="0.2">
      <c r="A13" s="161">
        <v>8</v>
      </c>
      <c r="B13" s="2831" t="s">
        <v>302</v>
      </c>
      <c r="C13" s="2838" t="s">
        <v>354</v>
      </c>
      <c r="D13" s="145" t="s">
        <v>39</v>
      </c>
      <c r="E13" s="2823" t="s">
        <v>144</v>
      </c>
      <c r="F13" s="146">
        <v>1</v>
      </c>
      <c r="G13" s="275">
        <f>СР8!AF11</f>
        <v>0.8626758653963349</v>
      </c>
      <c r="H13" s="278">
        <f>СР8!AG11</f>
        <v>0.8803740632885747</v>
      </c>
      <c r="I13" s="147"/>
      <c r="J13" s="660"/>
      <c r="K13" s="660"/>
      <c r="L13" s="660"/>
      <c r="M13" s="149"/>
      <c r="N13" s="150">
        <v>2.4</v>
      </c>
      <c r="O13" s="620">
        <f t="shared" si="2"/>
        <v>0.59039999999999992</v>
      </c>
      <c r="P13" s="616">
        <f t="shared" si="3"/>
        <v>0.96</v>
      </c>
      <c r="Q13" s="157">
        <f t="shared" si="0"/>
        <v>1.9159121770838763</v>
      </c>
      <c r="R13" s="158">
        <f t="shared" si="1"/>
        <v>1.9327568012622018</v>
      </c>
      <c r="S13" s="542">
        <f t="shared" si="4"/>
        <v>1898.4725601727857</v>
      </c>
      <c r="T13" s="619">
        <f t="shared" si="5"/>
        <v>1629.7963602781622</v>
      </c>
    </row>
    <row r="14" spans="1:43" ht="12.75" customHeight="1" x14ac:dyDescent="0.2">
      <c r="A14" s="161">
        <v>8</v>
      </c>
      <c r="B14" s="2830"/>
      <c r="C14" s="2839"/>
      <c r="D14" s="145" t="s">
        <v>39</v>
      </c>
      <c r="E14" s="2824"/>
      <c r="F14" s="146">
        <v>2</v>
      </c>
      <c r="G14" s="275">
        <f>СР8!AF12</f>
        <v>0.8626758653963349</v>
      </c>
      <c r="H14" s="278">
        <f>СР8!AG12</f>
        <v>0.8803740632885747</v>
      </c>
      <c r="I14" s="147"/>
      <c r="J14" s="660"/>
      <c r="K14" s="660"/>
      <c r="L14" s="660"/>
      <c r="M14" s="149"/>
      <c r="N14" s="150">
        <v>2.4</v>
      </c>
      <c r="O14" s="620">
        <f t="shared" si="2"/>
        <v>0.59039999999999992</v>
      </c>
      <c r="P14" s="616">
        <f t="shared" si="3"/>
        <v>0.96</v>
      </c>
      <c r="Q14" s="157">
        <f t="shared" si="0"/>
        <v>1.9159121770838763</v>
      </c>
      <c r="R14" s="158">
        <f t="shared" si="1"/>
        <v>1.9327568012622018</v>
      </c>
      <c r="S14" s="542">
        <f t="shared" si="4"/>
        <v>1898.4725601727857</v>
      </c>
      <c r="T14" s="619">
        <f t="shared" si="5"/>
        <v>1629.7963602781622</v>
      </c>
    </row>
    <row r="15" spans="1:43" ht="12.75" customHeight="1" x14ac:dyDescent="0.2">
      <c r="A15" s="161">
        <v>8</v>
      </c>
      <c r="B15" s="2831" t="s">
        <v>303</v>
      </c>
      <c r="C15" s="2838" t="s">
        <v>354</v>
      </c>
      <c r="D15" s="145" t="s">
        <v>39</v>
      </c>
      <c r="E15" s="2823" t="s">
        <v>377</v>
      </c>
      <c r="F15" s="146">
        <v>1</v>
      </c>
      <c r="G15" s="275">
        <f>Q11</f>
        <v>0.47499999999999998</v>
      </c>
      <c r="H15" s="278">
        <f>R11</f>
        <v>0.55000000000000004</v>
      </c>
      <c r="I15" s="147"/>
      <c r="J15" s="660"/>
      <c r="K15" s="660"/>
      <c r="L15" s="660">
        <v>0.28000000000000003</v>
      </c>
      <c r="M15" s="149"/>
      <c r="N15" s="150"/>
      <c r="O15" s="620">
        <f t="shared" si="2"/>
        <v>1.0920000000000001E-2</v>
      </c>
      <c r="P15" s="616">
        <f t="shared" si="3"/>
        <v>1.008E-2</v>
      </c>
      <c r="Q15" s="157">
        <f t="shared" si="0"/>
        <v>0.48520289858985793</v>
      </c>
      <c r="R15" s="158">
        <f t="shared" si="1"/>
        <v>0.56018644467712719</v>
      </c>
      <c r="S15" s="542">
        <f t="shared" si="4"/>
        <v>7496.4653065052235</v>
      </c>
      <c r="T15" s="619">
        <f t="shared" si="5"/>
        <v>5623.1278531124672</v>
      </c>
    </row>
    <row r="16" spans="1:43" ht="12.75" customHeight="1" thickBot="1" x14ac:dyDescent="0.25">
      <c r="A16" s="144">
        <v>8</v>
      </c>
      <c r="B16" s="2311"/>
      <c r="C16" s="2839"/>
      <c r="D16" s="281" t="s">
        <v>39</v>
      </c>
      <c r="E16" s="2828"/>
      <c r="F16" s="654">
        <v>2</v>
      </c>
      <c r="G16" s="621">
        <f>Q12</f>
        <v>0.47499999999999998</v>
      </c>
      <c r="H16" s="622">
        <f>R12</f>
        <v>0.55000000000000004</v>
      </c>
      <c r="I16" s="410"/>
      <c r="J16" s="661"/>
      <c r="K16" s="661"/>
      <c r="L16" s="661">
        <v>0.28000000000000003</v>
      </c>
      <c r="M16" s="624"/>
      <c r="N16" s="625"/>
      <c r="O16" s="626">
        <f t="shared" si="2"/>
        <v>1.0920000000000001E-2</v>
      </c>
      <c r="P16" s="627">
        <f t="shared" si="3"/>
        <v>1.008E-2</v>
      </c>
      <c r="Q16" s="175">
        <f t="shared" si="0"/>
        <v>0.48520289858985793</v>
      </c>
      <c r="R16" s="176">
        <f t="shared" si="1"/>
        <v>0.56018644467712719</v>
      </c>
      <c r="S16" s="628">
        <f t="shared" si="4"/>
        <v>7496.4653065052235</v>
      </c>
      <c r="T16" s="629">
        <f t="shared" si="5"/>
        <v>5623.1278531124672</v>
      </c>
    </row>
    <row r="17" spans="1:20" ht="12.75" customHeight="1" x14ac:dyDescent="0.2">
      <c r="A17" s="257">
        <v>8</v>
      </c>
      <c r="B17" s="2832" t="s">
        <v>299</v>
      </c>
      <c r="C17" s="2842" t="s">
        <v>375</v>
      </c>
      <c r="D17" s="643" t="s">
        <v>35</v>
      </c>
      <c r="E17" s="2825" t="s">
        <v>299</v>
      </c>
      <c r="F17" s="231">
        <v>1</v>
      </c>
      <c r="G17" s="630">
        <f>СР8!AF27</f>
        <v>1.1876467890506246</v>
      </c>
      <c r="H17" s="631">
        <f>СР8!AG27</f>
        <v>1.2049880326404649</v>
      </c>
      <c r="I17" s="234"/>
      <c r="J17" s="664"/>
      <c r="K17" s="664">
        <v>0.31</v>
      </c>
      <c r="L17" s="664"/>
      <c r="M17" s="236"/>
      <c r="N17" s="251"/>
      <c r="O17" s="567">
        <f t="shared" si="2"/>
        <v>1.3329999999999998E-2</v>
      </c>
      <c r="P17" s="682">
        <f t="shared" si="3"/>
        <v>7.4400000000000004E-3</v>
      </c>
      <c r="Q17" s="139">
        <f t="shared" si="0"/>
        <v>1.1951611281594343</v>
      </c>
      <c r="R17" s="633">
        <f t="shared" si="1"/>
        <v>1.2125013085487488</v>
      </c>
      <c r="S17" s="319">
        <f t="shared" si="4"/>
        <v>3043.3609412114565</v>
      </c>
      <c r="T17" s="665">
        <f t="shared" si="5"/>
        <v>2597.9353405979055</v>
      </c>
    </row>
    <row r="18" spans="1:20" ht="12.75" customHeight="1" thickBot="1" x14ac:dyDescent="0.25">
      <c r="A18" s="258">
        <v>8</v>
      </c>
      <c r="B18" s="2835"/>
      <c r="C18" s="2841"/>
      <c r="D18" s="645" t="s">
        <v>35</v>
      </c>
      <c r="E18" s="2822"/>
      <c r="F18" s="240">
        <v>2</v>
      </c>
      <c r="G18" s="638">
        <f>СР8!AF28</f>
        <v>1.1937871966570337</v>
      </c>
      <c r="H18" s="639">
        <f>СР8!AG28</f>
        <v>1.2111330471615158</v>
      </c>
      <c r="I18" s="242"/>
      <c r="J18" s="668"/>
      <c r="K18" s="668">
        <v>0.31</v>
      </c>
      <c r="L18" s="668"/>
      <c r="M18" s="244"/>
      <c r="N18" s="249"/>
      <c r="O18" s="680">
        <f>0.129*I18+0.129*J18+0.043*K18+0.039*L18+0.308*M18+0.246*N18</f>
        <v>1.3329999999999998E-2</v>
      </c>
      <c r="P18" s="815">
        <f t="shared" si="3"/>
        <v>7.4400000000000004E-3</v>
      </c>
      <c r="Q18" s="175">
        <f t="shared" si="0"/>
        <v>1.2013011557842255</v>
      </c>
      <c r="R18" s="642">
        <f t="shared" si="1"/>
        <v>1.2186459535765513</v>
      </c>
      <c r="S18" s="669">
        <f t="shared" si="4"/>
        <v>3027.8058739735088</v>
      </c>
      <c r="T18" s="670">
        <f t="shared" si="5"/>
        <v>2584.8360557512224</v>
      </c>
    </row>
    <row r="19" spans="1:20" x14ac:dyDescent="0.2">
      <c r="E19" s="187"/>
      <c r="F19" s="187"/>
      <c r="O19" s="188"/>
    </row>
    <row r="20" spans="1:20" ht="15.75" x14ac:dyDescent="0.2">
      <c r="B20" s="192" t="s">
        <v>158</v>
      </c>
      <c r="C20" s="192"/>
      <c r="D20" s="2378">
        <v>45300</v>
      </c>
      <c r="E20" s="2378"/>
      <c r="F20" s="186"/>
    </row>
    <row r="21" spans="1:20" x14ac:dyDescent="0.2">
      <c r="B21" s="185" t="s">
        <v>328</v>
      </c>
      <c r="D21" s="2380" t="s">
        <v>189</v>
      </c>
      <c r="E21" s="2380"/>
    </row>
    <row r="25" spans="1:20" x14ac:dyDescent="0.2">
      <c r="N25" s="100"/>
      <c r="O25" s="100"/>
      <c r="P25" s="100"/>
    </row>
    <row r="93" spans="1:1" x14ac:dyDescent="0.2">
      <c r="A93" s="195"/>
    </row>
    <row r="94" spans="1:1" x14ac:dyDescent="0.2">
      <c r="A94" s="195"/>
    </row>
    <row r="95" spans="1:1" x14ac:dyDescent="0.2">
      <c r="A95" s="195"/>
    </row>
    <row r="96" spans="1:1" x14ac:dyDescent="0.2">
      <c r="A96" s="195"/>
    </row>
  </sheetData>
  <mergeCells count="35">
    <mergeCell ref="B15:B16"/>
    <mergeCell ref="C17:C18"/>
    <mergeCell ref="B17:B18"/>
    <mergeCell ref="E7:E8"/>
    <mergeCell ref="E9:E10"/>
    <mergeCell ref="E11:E12"/>
    <mergeCell ref="E13:E14"/>
    <mergeCell ref="E15:E16"/>
    <mergeCell ref="C9:C10"/>
    <mergeCell ref="C11:C12"/>
    <mergeCell ref="C13:C14"/>
    <mergeCell ref="B5:B6"/>
    <mergeCell ref="B7:B8"/>
    <mergeCell ref="B9:B10"/>
    <mergeCell ref="B11:B12"/>
    <mergeCell ref="B13:B14"/>
    <mergeCell ref="A1:T1"/>
    <mergeCell ref="A2:A4"/>
    <mergeCell ref="B2:B4"/>
    <mergeCell ref="D2:D4"/>
    <mergeCell ref="E2:E4"/>
    <mergeCell ref="S2:T2"/>
    <mergeCell ref="O2:P3"/>
    <mergeCell ref="Q2:R2"/>
    <mergeCell ref="I2:N2"/>
    <mergeCell ref="C7:C8"/>
    <mergeCell ref="E17:E18"/>
    <mergeCell ref="C5:C6"/>
    <mergeCell ref="E5:E6"/>
    <mergeCell ref="C15:C16"/>
    <mergeCell ref="D20:E20"/>
    <mergeCell ref="D21:E21"/>
    <mergeCell ref="F2:F4"/>
    <mergeCell ref="G2:H2"/>
    <mergeCell ref="C2:C4"/>
  </mergeCells>
  <pageMargins left="0.59055118110236227" right="0.59055118110236227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B086-F4E2-4095-8DF2-4D96647D69C1}">
  <sheetPr codeName="Лист26"/>
  <dimension ref="A1:U18"/>
  <sheetViews>
    <sheetView zoomScale="130" zoomScaleNormal="130" workbookViewId="0">
      <selection activeCell="U12" sqref="U12"/>
    </sheetView>
  </sheetViews>
  <sheetFormatPr defaultRowHeight="12.75" x14ac:dyDescent="0.2"/>
  <cols>
    <col min="5" max="5" width="16.28515625" customWidth="1"/>
  </cols>
  <sheetData>
    <row r="1" spans="1:21" ht="24" thickBot="1" x14ac:dyDescent="0.25">
      <c r="A1" s="2302" t="s">
        <v>548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</row>
    <row r="2" spans="1:21" x14ac:dyDescent="0.2">
      <c r="A2" s="2303" t="s">
        <v>0</v>
      </c>
      <c r="B2" s="2306" t="s">
        <v>399</v>
      </c>
      <c r="C2" s="2306" t="s">
        <v>10</v>
      </c>
      <c r="D2" s="2881" t="s">
        <v>4</v>
      </c>
      <c r="E2" s="2306" t="s">
        <v>547</v>
      </c>
      <c r="F2" s="2306" t="s">
        <v>225</v>
      </c>
      <c r="G2" s="2883" t="s">
        <v>411</v>
      </c>
      <c r="H2" s="2876"/>
      <c r="I2" s="2320" t="s">
        <v>230</v>
      </c>
      <c r="J2" s="2321"/>
      <c r="K2" s="2321"/>
      <c r="L2" s="2321"/>
      <c r="M2" s="2321"/>
      <c r="N2" s="2321"/>
      <c r="O2" s="2322"/>
      <c r="P2" s="2536" t="s">
        <v>360</v>
      </c>
      <c r="Q2" s="2537"/>
      <c r="R2" s="2347" t="s">
        <v>232</v>
      </c>
      <c r="S2" s="2872"/>
      <c r="T2" s="2873" t="s">
        <v>231</v>
      </c>
      <c r="U2" s="2829"/>
    </row>
    <row r="3" spans="1:21" ht="27" x14ac:dyDescent="0.2">
      <c r="A3" s="2304"/>
      <c r="B3" s="2307"/>
      <c r="C3" s="2307"/>
      <c r="D3" s="2882"/>
      <c r="E3" s="2307"/>
      <c r="F3" s="2307"/>
      <c r="G3" s="831" t="s">
        <v>220</v>
      </c>
      <c r="H3" s="832" t="s">
        <v>29</v>
      </c>
      <c r="I3" s="611" t="s">
        <v>551</v>
      </c>
      <c r="J3" s="612" t="s">
        <v>295</v>
      </c>
      <c r="K3" s="612" t="s">
        <v>290</v>
      </c>
      <c r="L3" s="612" t="s">
        <v>296</v>
      </c>
      <c r="M3" s="612" t="s">
        <v>297</v>
      </c>
      <c r="N3" s="402" t="s">
        <v>286</v>
      </c>
      <c r="O3" s="403" t="s">
        <v>25</v>
      </c>
      <c r="P3" s="2884"/>
      <c r="Q3" s="2877"/>
      <c r="R3" s="107" t="s">
        <v>216</v>
      </c>
      <c r="S3" s="984" t="s">
        <v>217</v>
      </c>
      <c r="T3" s="985" t="s">
        <v>218</v>
      </c>
      <c r="U3" s="111" t="s">
        <v>219</v>
      </c>
    </row>
    <row r="4" spans="1:21" ht="40.5" customHeight="1" x14ac:dyDescent="0.2">
      <c r="A4" s="2304"/>
      <c r="B4" s="2307"/>
      <c r="C4" s="2307"/>
      <c r="D4" s="2882"/>
      <c r="E4" s="2359"/>
      <c r="F4" s="2307"/>
      <c r="G4" s="1119" t="s">
        <v>30</v>
      </c>
      <c r="H4" s="1120" t="s">
        <v>30</v>
      </c>
      <c r="I4" s="1287" t="s">
        <v>31</v>
      </c>
      <c r="J4" s="1288" t="s">
        <v>31</v>
      </c>
      <c r="K4" s="1288" t="s">
        <v>31</v>
      </c>
      <c r="L4" s="1288" t="s">
        <v>31</v>
      </c>
      <c r="M4" s="1288" t="s">
        <v>31</v>
      </c>
      <c r="N4" s="822" t="s">
        <v>31</v>
      </c>
      <c r="O4" s="1289" t="s">
        <v>31</v>
      </c>
      <c r="P4" s="1292" t="s">
        <v>30</v>
      </c>
      <c r="Q4" s="1289" t="s">
        <v>30</v>
      </c>
      <c r="R4" s="613" t="s">
        <v>30</v>
      </c>
      <c r="S4" s="1293" t="s">
        <v>30</v>
      </c>
      <c r="T4" s="1296" t="s">
        <v>35</v>
      </c>
      <c r="U4" s="1089" t="s">
        <v>35</v>
      </c>
    </row>
    <row r="5" spans="1:21" ht="28.5" customHeight="1" x14ac:dyDescent="0.2">
      <c r="A5" s="2621">
        <v>9</v>
      </c>
      <c r="B5" s="2556" t="s">
        <v>59</v>
      </c>
      <c r="C5" s="2837" t="s">
        <v>342</v>
      </c>
      <c r="D5" s="1121" t="s">
        <v>39</v>
      </c>
      <c r="E5" s="2837" t="s">
        <v>549</v>
      </c>
      <c r="F5" s="673">
        <v>1</v>
      </c>
      <c r="G5" s="825">
        <v>0.93443581350405758</v>
      </c>
      <c r="H5" s="803">
        <v>0.97852521852362662</v>
      </c>
      <c r="I5" s="1297"/>
      <c r="J5" s="1298"/>
      <c r="K5" s="1298"/>
      <c r="L5" s="1298">
        <v>0.85</v>
      </c>
      <c r="M5" s="1298"/>
      <c r="N5" s="1299"/>
      <c r="O5" s="1300"/>
      <c r="P5" s="825">
        <f>0.153*I5+0.099*J5+0.077*K5+0.0495*L5+0.129*M5+0.308*N5+0.249*O5</f>
        <v>4.2075000000000001E-2</v>
      </c>
      <c r="Q5" s="803">
        <f>0.076*I5+0.073*J5+0.077*K5+0.07*L5+0.037*M5+0.4*N5+0.4*O5</f>
        <v>5.9500000000000004E-2</v>
      </c>
      <c r="R5" s="1125">
        <f>SQRT(P5^2+(G5+Q5)^2)</f>
        <v>0.99482596819291602</v>
      </c>
      <c r="S5" s="637">
        <f>SQRT(P5^2+(H5+Q5)^2)</f>
        <v>1.03887759621431</v>
      </c>
      <c r="T5" s="360">
        <f>6300/(SQRT(3)*R5)</f>
        <v>3656.2241157634303</v>
      </c>
      <c r="U5" s="160">
        <f>6300/(2*S5)</f>
        <v>3032.1185204865915</v>
      </c>
    </row>
    <row r="6" spans="1:21" ht="28.5" customHeight="1" x14ac:dyDescent="0.2">
      <c r="A6" s="2621"/>
      <c r="B6" s="2556"/>
      <c r="C6" s="2837"/>
      <c r="D6" s="1121" t="s">
        <v>39</v>
      </c>
      <c r="E6" s="2837"/>
      <c r="F6" s="673">
        <v>2</v>
      </c>
      <c r="G6" s="825">
        <v>0.93177201995976999</v>
      </c>
      <c r="H6" s="803">
        <v>0.97584467484959869</v>
      </c>
      <c r="I6" s="1297"/>
      <c r="J6" s="1298"/>
      <c r="K6" s="1298"/>
      <c r="L6" s="1298">
        <v>0.85</v>
      </c>
      <c r="M6" s="1298"/>
      <c r="N6" s="1299"/>
      <c r="O6" s="1300"/>
      <c r="P6" s="825">
        <f>0.153*I6+0.099*J6+0.077*K6+0.0495*L6+0.129*M6+0.308*N6+0.249*O6</f>
        <v>4.2075000000000001E-2</v>
      </c>
      <c r="Q6" s="803">
        <f>0.076*I6+0.073*J6+0.077*K6+0.07*L6+0.037*M6+0.4*N6+0.4*O6</f>
        <v>5.9500000000000004E-2</v>
      </c>
      <c r="R6" s="157">
        <f>SQRT(P6^2+(G6+Q6)^2)</f>
        <v>0.9921645645658399</v>
      </c>
      <c r="S6" s="1294">
        <f>SQRT(P6^2+(H6+Q6)^2)</f>
        <v>1.0361992575583236</v>
      </c>
      <c r="T6" s="360">
        <f>6300/(SQRT(3)*R6)</f>
        <v>3666.031650189288</v>
      </c>
      <c r="U6" s="160">
        <f>6300/(2*S6)</f>
        <v>3039.9558550375614</v>
      </c>
    </row>
    <row r="7" spans="1:21" ht="30" customHeight="1" x14ac:dyDescent="0.2">
      <c r="A7" s="2621">
        <v>9</v>
      </c>
      <c r="B7" s="2556" t="s">
        <v>550</v>
      </c>
      <c r="C7" s="2837" t="s">
        <v>342</v>
      </c>
      <c r="D7" s="1121" t="s">
        <v>39</v>
      </c>
      <c r="E7" s="2878" t="s">
        <v>549</v>
      </c>
      <c r="F7" s="673">
        <v>1</v>
      </c>
      <c r="G7" s="825">
        <v>0.93443581350405758</v>
      </c>
      <c r="H7" s="803">
        <v>0.97852521852362662</v>
      </c>
      <c r="I7" s="1297">
        <v>0.161</v>
      </c>
      <c r="J7" s="1298"/>
      <c r="K7" s="1298"/>
      <c r="L7" s="1298"/>
      <c r="M7" s="1298"/>
      <c r="N7" s="1299"/>
      <c r="O7" s="1300"/>
      <c r="P7" s="825">
        <f>0.0235*I7+0.099*J7+0.077*K7+0.0495*L7+0.129*M7+0.308*N7+0.249*O7</f>
        <v>3.7835E-3</v>
      </c>
      <c r="Q7" s="803">
        <f>0.07*I7+0.073*J7+0.077*K7+0.07*L7+0.037*M7+0.4*N7+0.4*O7</f>
        <v>1.1270000000000001E-2</v>
      </c>
      <c r="R7" s="825">
        <f>SQRT(P7^2+(G7+Q7)^2)</f>
        <v>0.94571338182750775</v>
      </c>
      <c r="S7" s="278">
        <f>SQRT(P7^2+(H7+Q7)^2)</f>
        <v>0.98980244972645115</v>
      </c>
      <c r="T7" s="360">
        <f>6300/(SQRT(3)*R7)</f>
        <v>3846.0983695354589</v>
      </c>
      <c r="U7" s="160">
        <f>6300/(2*S7)</f>
        <v>3182.4532267732379</v>
      </c>
    </row>
    <row r="8" spans="1:21" ht="30" customHeight="1" x14ac:dyDescent="0.2">
      <c r="A8" s="2621"/>
      <c r="B8" s="2556"/>
      <c r="C8" s="2837"/>
      <c r="D8" s="1121" t="s">
        <v>39</v>
      </c>
      <c r="E8" s="2879"/>
      <c r="F8" s="673">
        <v>2</v>
      </c>
      <c r="G8" s="825">
        <v>0.93177201995976999</v>
      </c>
      <c r="H8" s="803">
        <v>0.97584467484959869</v>
      </c>
      <c r="I8" s="1297">
        <v>0.161</v>
      </c>
      <c r="J8" s="1298"/>
      <c r="K8" s="1298"/>
      <c r="L8" s="1298"/>
      <c r="M8" s="1298"/>
      <c r="N8" s="1299"/>
      <c r="O8" s="1300"/>
      <c r="P8" s="825">
        <f>0.0235*I8+0.099*J8+0.077*K8+0.0495*L8+0.129*M8+0.308*N8+0.249*O8</f>
        <v>3.7835E-3</v>
      </c>
      <c r="Q8" s="803">
        <f>0.07*I8+0.073*J8+0.077*K8+0.07*L8+0.037*M8+0.4*N8+0.4*O8</f>
        <v>1.1270000000000001E-2</v>
      </c>
      <c r="R8" s="825">
        <f>SQRT(P8^2+(G8+Q8)^2)</f>
        <v>0.94304960966115314</v>
      </c>
      <c r="S8" s="278">
        <f>SQRT(P8^2+(H8+Q8)^2)</f>
        <v>0.98712192568885782</v>
      </c>
      <c r="T8" s="360">
        <f>6300/(SQRT(3)*R8)</f>
        <v>3856.9621986287257</v>
      </c>
      <c r="U8" s="160">
        <f>6300/(2*S8)</f>
        <v>3191.0951606122912</v>
      </c>
    </row>
    <row r="9" spans="1:21" x14ac:dyDescent="0.2">
      <c r="A9" s="195"/>
      <c r="B9" s="1127"/>
      <c r="C9" s="187"/>
      <c r="D9" s="187"/>
      <c r="E9" s="187"/>
      <c r="F9" s="187"/>
      <c r="G9" s="1128"/>
      <c r="H9" s="1128"/>
      <c r="I9" s="1129"/>
      <c r="J9" s="1129"/>
      <c r="K9" s="1129"/>
      <c r="L9" s="1129"/>
      <c r="M9" s="1129"/>
      <c r="N9" s="942"/>
      <c r="O9" s="942"/>
      <c r="P9" s="1128"/>
      <c r="Q9" s="1128"/>
      <c r="R9" s="1128"/>
      <c r="S9" s="1128"/>
      <c r="T9" s="190"/>
      <c r="U9" s="190"/>
    </row>
    <row r="10" spans="1:21" x14ac:dyDescent="0.2">
      <c r="A10" s="195"/>
      <c r="B10" s="1127"/>
      <c r="C10" s="187"/>
      <c r="D10" s="187"/>
      <c r="E10" s="187"/>
      <c r="F10" s="187"/>
      <c r="G10" s="1128"/>
      <c r="H10" s="1128"/>
      <c r="I10" s="1129"/>
      <c r="J10" s="1129"/>
      <c r="K10" s="1129"/>
      <c r="L10" s="1129"/>
      <c r="M10" s="1129"/>
      <c r="N10" s="942"/>
      <c r="O10" s="942"/>
      <c r="P10" s="1128"/>
      <c r="Q10" s="1128"/>
      <c r="R10" s="1128"/>
      <c r="S10" s="1128"/>
      <c r="T10" s="190"/>
      <c r="U10" s="190"/>
    </row>
    <row r="11" spans="1:21" ht="28.5" customHeight="1" x14ac:dyDescent="0.2">
      <c r="A11" s="2621">
        <v>9</v>
      </c>
      <c r="B11" s="2880" t="s">
        <v>644</v>
      </c>
      <c r="C11" s="2837" t="s">
        <v>342</v>
      </c>
      <c r="D11" s="1121" t="s">
        <v>39</v>
      </c>
      <c r="E11" s="2837" t="s">
        <v>643</v>
      </c>
      <c r="F11" s="673">
        <v>1</v>
      </c>
      <c r="G11" s="825">
        <f>R5</f>
        <v>0.99482596819291602</v>
      </c>
      <c r="H11" s="803">
        <f>S5</f>
        <v>1.03887759621431</v>
      </c>
      <c r="I11" s="1297"/>
      <c r="J11" s="1298"/>
      <c r="K11" s="1298">
        <v>0.25</v>
      </c>
      <c r="L11" s="1298"/>
      <c r="M11" s="1298"/>
      <c r="N11" s="1299"/>
      <c r="O11" s="1300"/>
      <c r="P11" s="825">
        <f>0.153*I11+0.099*J11+0.077*K11+0.0495*L11+0.129*M11+0.308*N11+0.249*O11</f>
        <v>1.925E-2</v>
      </c>
      <c r="Q11" s="803">
        <f>0.076*I11+0.073*J11+0.077*K11+0.07*L11+0.037*M11+0.4*N11+0.4*O11</f>
        <v>1.925E-2</v>
      </c>
      <c r="R11" s="2231">
        <f>SQRT(P11^2+(G11+Q11)^2)</f>
        <v>1.0142586611739632</v>
      </c>
      <c r="S11" s="2232">
        <f>SQRT(P11^2+(H11+Q11)^2)</f>
        <v>1.0583026846655326</v>
      </c>
      <c r="T11" s="360">
        <f>6300/(SQRT(3)*R11)</f>
        <v>3586.1726748131564</v>
      </c>
      <c r="U11" s="160">
        <f>6300/(2*S11)</f>
        <v>2976.4641492859205</v>
      </c>
    </row>
    <row r="12" spans="1:21" ht="28.5" customHeight="1" x14ac:dyDescent="0.2">
      <c r="A12" s="2621"/>
      <c r="B12" s="2880"/>
      <c r="C12" s="2837"/>
      <c r="D12" s="1121" t="s">
        <v>39</v>
      </c>
      <c r="E12" s="2837"/>
      <c r="F12" s="673">
        <v>2</v>
      </c>
      <c r="G12" s="825">
        <f>R6</f>
        <v>0.9921645645658399</v>
      </c>
      <c r="H12" s="803">
        <f>S6</f>
        <v>1.0361992575583236</v>
      </c>
      <c r="I12" s="1297"/>
      <c r="J12" s="1298"/>
      <c r="K12" s="1298">
        <v>0.25</v>
      </c>
      <c r="L12" s="1298"/>
      <c r="M12" s="1298"/>
      <c r="N12" s="1299"/>
      <c r="O12" s="1300"/>
      <c r="P12" s="825">
        <f>0.153*I12+0.099*J12+0.077*K12+0.0495*L12+0.129*M12+0.308*N12+0.249*O12</f>
        <v>1.925E-2</v>
      </c>
      <c r="Q12" s="803">
        <f>0.076*I12+0.073*J12+0.077*K12+0.07*L12+0.037*M12+0.4*N12+0.4*O12</f>
        <v>1.925E-2</v>
      </c>
      <c r="R12" s="2231">
        <f>SQRT(P12^2+(G12+Q12)^2)</f>
        <v>1.0115977381923644</v>
      </c>
      <c r="S12" s="2232">
        <f>SQRT(P12^2+(H12+Q12)^2)</f>
        <v>1.0556247902452918</v>
      </c>
      <c r="T12" s="360">
        <f>6300/(SQRT(3)*R12)</f>
        <v>3595.6058011697291</v>
      </c>
      <c r="U12" s="160">
        <f>6300/(2*S12)</f>
        <v>2984.0148025209278</v>
      </c>
    </row>
    <row r="13" spans="1:21" x14ac:dyDescent="0.2">
      <c r="A13" s="195"/>
      <c r="B13" s="1127"/>
      <c r="C13" s="187"/>
      <c r="D13" s="187"/>
      <c r="E13" s="187"/>
      <c r="F13" s="187"/>
      <c r="G13" s="1128"/>
      <c r="H13" s="1128"/>
      <c r="I13" s="1129"/>
      <c r="J13" s="1129"/>
      <c r="K13" s="1129"/>
      <c r="L13" s="1129"/>
      <c r="M13" s="1129"/>
      <c r="N13" s="942"/>
      <c r="O13" s="942"/>
      <c r="P13" s="1128"/>
      <c r="Q13" s="1128"/>
      <c r="R13" s="1128"/>
      <c r="S13" s="1128"/>
      <c r="T13" s="190"/>
      <c r="U13" s="190"/>
    </row>
    <row r="14" spans="1:21" x14ac:dyDescent="0.2">
      <c r="A14" s="195"/>
      <c r="B14" s="1127"/>
      <c r="C14" s="187"/>
      <c r="D14" s="187"/>
      <c r="E14" s="187"/>
      <c r="F14" s="187"/>
      <c r="G14" s="1128"/>
      <c r="H14" s="1128"/>
      <c r="I14" s="1129"/>
      <c r="J14" s="1129"/>
      <c r="K14" s="1129"/>
      <c r="L14" s="1129"/>
      <c r="M14" s="1129"/>
      <c r="N14" s="942"/>
      <c r="O14" s="942"/>
      <c r="P14" s="1128"/>
      <c r="Q14" s="1128"/>
      <c r="R14" s="1128"/>
      <c r="S14" s="1128"/>
      <c r="T14" s="190"/>
      <c r="U14" s="190"/>
    </row>
    <row r="15" spans="1:21" x14ac:dyDescent="0.2">
      <c r="A15" s="195"/>
      <c r="B15" s="1127"/>
      <c r="C15" s="187"/>
      <c r="D15" s="187"/>
      <c r="E15" s="187"/>
      <c r="F15" s="187"/>
      <c r="G15" s="1128"/>
      <c r="H15" s="1128"/>
      <c r="I15" s="1129"/>
      <c r="J15" s="1129"/>
      <c r="K15" s="1129"/>
      <c r="L15" s="1129"/>
      <c r="M15" s="1129"/>
      <c r="N15" s="942"/>
      <c r="O15" s="942"/>
      <c r="P15" s="1128"/>
      <c r="Q15" s="1128"/>
      <c r="R15" s="1128"/>
      <c r="S15" s="1128"/>
      <c r="T15" s="190"/>
      <c r="U15" s="190"/>
    </row>
    <row r="16" spans="1:21" x14ac:dyDescent="0.2">
      <c r="A16" s="100"/>
      <c r="B16" s="185"/>
      <c r="C16" s="185"/>
      <c r="D16" s="186"/>
      <c r="E16" s="187"/>
      <c r="F16" s="187"/>
      <c r="G16" s="100"/>
      <c r="H16" s="100"/>
      <c r="I16" s="188"/>
      <c r="J16" s="188"/>
      <c r="K16" s="188"/>
      <c r="L16" s="188"/>
      <c r="M16" s="188"/>
      <c r="N16" s="189"/>
      <c r="O16" s="189"/>
      <c r="P16" s="188"/>
      <c r="Q16" s="186"/>
      <c r="R16" s="100"/>
      <c r="S16" s="100"/>
      <c r="T16" s="190"/>
      <c r="U16" s="190"/>
    </row>
    <row r="17" spans="1:21" ht="15.75" x14ac:dyDescent="0.2">
      <c r="A17" s="100"/>
      <c r="B17" s="192" t="s">
        <v>158</v>
      </c>
      <c r="C17" s="192"/>
      <c r="D17" s="2378">
        <v>43985</v>
      </c>
      <c r="E17" s="2378"/>
      <c r="F17" s="186"/>
      <c r="G17" s="100"/>
      <c r="H17" s="100"/>
      <c r="I17" s="188"/>
      <c r="J17" s="188"/>
      <c r="K17" s="188"/>
      <c r="L17" s="188"/>
      <c r="M17" s="188"/>
      <c r="N17" s="189"/>
      <c r="O17" s="189"/>
      <c r="P17" s="186"/>
      <c r="Q17" s="186"/>
      <c r="R17" s="100"/>
      <c r="S17" s="100"/>
      <c r="T17" s="190"/>
      <c r="U17" s="190"/>
    </row>
    <row r="18" spans="1:21" x14ac:dyDescent="0.2">
      <c r="A18" s="100"/>
      <c r="B18" s="185" t="s">
        <v>328</v>
      </c>
      <c r="C18" s="185"/>
      <c r="D18" s="2380" t="s">
        <v>530</v>
      </c>
      <c r="E18" s="2380"/>
      <c r="F18" s="100"/>
      <c r="G18" s="100"/>
      <c r="H18" s="100"/>
      <c r="I18" s="188"/>
      <c r="J18" s="188"/>
      <c r="K18" s="188"/>
      <c r="L18" s="188"/>
      <c r="M18" s="188"/>
      <c r="N18" s="189"/>
      <c r="O18" s="189"/>
      <c r="P18" s="186"/>
      <c r="Q18" s="186"/>
      <c r="R18" s="100"/>
      <c r="S18" s="100"/>
      <c r="T18" s="190"/>
      <c r="U18" s="190"/>
    </row>
  </sheetData>
  <mergeCells count="26">
    <mergeCell ref="A1:U1"/>
    <mergeCell ref="A2:A4"/>
    <mergeCell ref="B2:B4"/>
    <mergeCell ref="C2:C4"/>
    <mergeCell ref="D2:D4"/>
    <mergeCell ref="E2:E4"/>
    <mergeCell ref="F2:F4"/>
    <mergeCell ref="G2:H2"/>
    <mergeCell ref="I2:O2"/>
    <mergeCell ref="P2:Q3"/>
    <mergeCell ref="R2:S2"/>
    <mergeCell ref="T2:U2"/>
    <mergeCell ref="A5:A6"/>
    <mergeCell ref="B5:B6"/>
    <mergeCell ref="C5:C6"/>
    <mergeCell ref="E5:E6"/>
    <mergeCell ref="D17:E17"/>
    <mergeCell ref="D18:E18"/>
    <mergeCell ref="A7:A8"/>
    <mergeCell ref="B7:B8"/>
    <mergeCell ref="C7:C8"/>
    <mergeCell ref="E7:E8"/>
    <mergeCell ref="A11:A12"/>
    <mergeCell ref="B11:B12"/>
    <mergeCell ref="C11:C12"/>
    <mergeCell ref="E11:E12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FC01F-E43E-4471-B373-2562C837916F}">
  <sheetPr codeName="Лист27"/>
  <dimension ref="A1:U15"/>
  <sheetViews>
    <sheetView workbookViewId="0">
      <selection activeCell="G7" sqref="G7"/>
    </sheetView>
  </sheetViews>
  <sheetFormatPr defaultRowHeight="12.75" x14ac:dyDescent="0.2"/>
  <cols>
    <col min="5" max="5" width="12.140625" customWidth="1"/>
  </cols>
  <sheetData>
    <row r="1" spans="1:21" ht="24" thickBot="1" x14ac:dyDescent="0.25">
      <c r="A1" s="2302" t="s">
        <v>458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302"/>
    </row>
    <row r="2" spans="1:21" x14ac:dyDescent="0.2">
      <c r="A2" s="2303" t="s">
        <v>0</v>
      </c>
      <c r="B2" s="2306" t="s">
        <v>399</v>
      </c>
      <c r="C2" s="2306" t="s">
        <v>10</v>
      </c>
      <c r="D2" s="2881" t="s">
        <v>4</v>
      </c>
      <c r="E2" s="2891" t="s">
        <v>547</v>
      </c>
      <c r="F2" s="2306" t="s">
        <v>225</v>
      </c>
      <c r="G2" s="2883" t="s">
        <v>411</v>
      </c>
      <c r="H2" s="2876"/>
      <c r="I2" s="2320" t="s">
        <v>230</v>
      </c>
      <c r="J2" s="2321"/>
      <c r="K2" s="2321"/>
      <c r="L2" s="2321"/>
      <c r="M2" s="2321"/>
      <c r="N2" s="2321"/>
      <c r="O2" s="2322"/>
      <c r="P2" s="2536" t="s">
        <v>360</v>
      </c>
      <c r="Q2" s="2537"/>
      <c r="R2" s="2347" t="s">
        <v>232</v>
      </c>
      <c r="S2" s="2872"/>
      <c r="T2" s="2873" t="s">
        <v>231</v>
      </c>
      <c r="U2" s="2829"/>
    </row>
    <row r="3" spans="1:21" ht="27" x14ac:dyDescent="0.2">
      <c r="A3" s="2304"/>
      <c r="B3" s="2307"/>
      <c r="C3" s="2307"/>
      <c r="D3" s="2882"/>
      <c r="E3" s="2892"/>
      <c r="F3" s="2307"/>
      <c r="G3" s="831" t="s">
        <v>220</v>
      </c>
      <c r="H3" s="832" t="s">
        <v>29</v>
      </c>
      <c r="I3" s="611" t="s">
        <v>544</v>
      </c>
      <c r="J3" s="612" t="s">
        <v>295</v>
      </c>
      <c r="K3" s="612" t="s">
        <v>290</v>
      </c>
      <c r="L3" s="612" t="s">
        <v>296</v>
      </c>
      <c r="M3" s="612" t="s">
        <v>297</v>
      </c>
      <c r="N3" s="402" t="s">
        <v>286</v>
      </c>
      <c r="O3" s="403" t="s">
        <v>25</v>
      </c>
      <c r="P3" s="2884"/>
      <c r="Q3" s="2877"/>
      <c r="R3" s="107" t="s">
        <v>216</v>
      </c>
      <c r="S3" s="984" t="s">
        <v>217</v>
      </c>
      <c r="T3" s="985" t="s">
        <v>218</v>
      </c>
      <c r="U3" s="111" t="s">
        <v>219</v>
      </c>
    </row>
    <row r="4" spans="1:21" ht="40.5" customHeight="1" thickBot="1" x14ac:dyDescent="0.25">
      <c r="A4" s="2304"/>
      <c r="B4" s="2307"/>
      <c r="C4" s="2307"/>
      <c r="D4" s="2882"/>
      <c r="E4" s="2892"/>
      <c r="F4" s="2307"/>
      <c r="G4" s="1119" t="s">
        <v>30</v>
      </c>
      <c r="H4" s="1120" t="s">
        <v>30</v>
      </c>
      <c r="I4" s="1287" t="s">
        <v>31</v>
      </c>
      <c r="J4" s="1288" t="s">
        <v>31</v>
      </c>
      <c r="K4" s="1288" t="s">
        <v>31</v>
      </c>
      <c r="L4" s="1288" t="s">
        <v>31</v>
      </c>
      <c r="M4" s="1288" t="s">
        <v>31</v>
      </c>
      <c r="N4" s="822" t="s">
        <v>31</v>
      </c>
      <c r="O4" s="1289" t="s">
        <v>31</v>
      </c>
      <c r="P4" s="1292" t="s">
        <v>30</v>
      </c>
      <c r="Q4" s="1289" t="s">
        <v>30</v>
      </c>
      <c r="R4" s="613" t="s">
        <v>30</v>
      </c>
      <c r="S4" s="1293" t="s">
        <v>30</v>
      </c>
      <c r="T4" s="1296" t="s">
        <v>35</v>
      </c>
      <c r="U4" s="1089" t="s">
        <v>35</v>
      </c>
    </row>
    <row r="5" spans="1:21" x14ac:dyDescent="0.2">
      <c r="A5" s="2621">
        <v>10</v>
      </c>
      <c r="B5" s="2556" t="s">
        <v>235</v>
      </c>
      <c r="C5" s="2837" t="s">
        <v>342</v>
      </c>
      <c r="D5" s="1121" t="s">
        <v>39</v>
      </c>
      <c r="E5" s="2887" t="s">
        <v>546</v>
      </c>
      <c r="F5" s="673">
        <v>1</v>
      </c>
      <c r="G5" s="825">
        <v>0.27900000000000003</v>
      </c>
      <c r="H5" s="803">
        <v>0.32700000000000001</v>
      </c>
      <c r="I5" s="147"/>
      <c r="J5" s="1290"/>
      <c r="K5" s="1290">
        <v>0.41</v>
      </c>
      <c r="L5" s="1290"/>
      <c r="M5" s="1290"/>
      <c r="N5" s="149"/>
      <c r="O5" s="150"/>
      <c r="P5" s="825">
        <f>0.153*I5+0.099*J5+0.077*K5+0.05*L5+0.129*M5+0.308*N5+0.249*O5</f>
        <v>3.1570000000000001E-2</v>
      </c>
      <c r="Q5" s="803">
        <f>0.076*I5+0.073*J5+0.077*K5+0.037*L5+0.037*M5+0.4*N5+0.4*O5</f>
        <v>3.1570000000000001E-2</v>
      </c>
      <c r="R5" s="1125">
        <f t="shared" ref="R5:R10" si="0">SQRT(P5^2+(G5+Q5)^2)</f>
        <v>0.31217044991478615</v>
      </c>
      <c r="S5" s="637">
        <f t="shared" ref="S5:S10" si="1">SQRT(P5^2+(H5+Q5)^2)</f>
        <v>0.35995709438765061</v>
      </c>
      <c r="T5" s="360">
        <f t="shared" ref="T5:T10" si="2">6300/(SQRT(3)*R5)</f>
        <v>11651.668813904475</v>
      </c>
      <c r="U5" s="160">
        <f t="shared" ref="U5:U10" si="3">6300/(2*S5)</f>
        <v>8751.0429690480087</v>
      </c>
    </row>
    <row r="6" spans="1:21" x14ac:dyDescent="0.2">
      <c r="A6" s="2621"/>
      <c r="B6" s="2556"/>
      <c r="C6" s="2837"/>
      <c r="D6" s="1121" t="s">
        <v>39</v>
      </c>
      <c r="E6" s="2879"/>
      <c r="F6" s="673">
        <v>2</v>
      </c>
      <c r="G6" s="825">
        <v>0.27800000000000002</v>
      </c>
      <c r="H6" s="803">
        <v>0.32600000000000001</v>
      </c>
      <c r="I6" s="147"/>
      <c r="J6" s="1290"/>
      <c r="K6" s="1290">
        <v>0.41</v>
      </c>
      <c r="L6" s="1290"/>
      <c r="M6" s="1290"/>
      <c r="N6" s="149"/>
      <c r="O6" s="150"/>
      <c r="P6" s="825">
        <f>0.153*I6+0.099*J6+0.077*K6+0.05*L6+0.129*M6+0.308*N6+0.249*O6</f>
        <v>3.1570000000000001E-2</v>
      </c>
      <c r="Q6" s="803">
        <f>0.076*I6+0.073*J6+0.077*K6+0.037*L6+0.037*M6+0.4*N6+0.4*O6</f>
        <v>3.1570000000000001E-2</v>
      </c>
      <c r="R6" s="157">
        <f t="shared" si="0"/>
        <v>0.31117559319458205</v>
      </c>
      <c r="S6" s="1294">
        <f t="shared" si="1"/>
        <v>0.35896095860134986</v>
      </c>
      <c r="T6" s="360">
        <f t="shared" si="2"/>
        <v>11688.920260594437</v>
      </c>
      <c r="U6" s="160">
        <f t="shared" si="3"/>
        <v>8775.3275795607769</v>
      </c>
    </row>
    <row r="7" spans="1:21" s="1312" customFormat="1" x14ac:dyDescent="0.2">
      <c r="A7" s="2886">
        <v>10</v>
      </c>
      <c r="B7" s="2888" t="s">
        <v>48</v>
      </c>
      <c r="C7" s="2889" t="s">
        <v>352</v>
      </c>
      <c r="D7" s="1301" t="s">
        <v>39</v>
      </c>
      <c r="E7" s="2890" t="s">
        <v>546</v>
      </c>
      <c r="F7" s="1302">
        <v>1</v>
      </c>
      <c r="G7" s="1303">
        <v>0.27900000000000003</v>
      </c>
      <c r="H7" s="1304">
        <v>0.32700000000000001</v>
      </c>
      <c r="I7" s="1305"/>
      <c r="J7" s="1306"/>
      <c r="K7" s="1306">
        <v>0.44</v>
      </c>
      <c r="L7" s="1306"/>
      <c r="M7" s="1306"/>
      <c r="N7" s="1307"/>
      <c r="O7" s="1308"/>
      <c r="P7" s="1303">
        <f>0.153*I7+0.099*J7+0.077*K7+0.05*L7+0.129*M7+0.308*N7+0.249*O7</f>
        <v>3.388E-2</v>
      </c>
      <c r="Q7" s="1304">
        <f>0.076*I7+0.073*J7+0.077*K7+0.037*L7+0.037*M7+0.4*N7+0.4*O7</f>
        <v>3.388E-2</v>
      </c>
      <c r="R7" s="1303">
        <f t="shared" si="0"/>
        <v>0.31470899065644758</v>
      </c>
      <c r="S7" s="1309">
        <f t="shared" si="1"/>
        <v>0.36246686579603388</v>
      </c>
      <c r="T7" s="1310">
        <f t="shared" si="2"/>
        <v>11557.682824083384</v>
      </c>
      <c r="U7" s="1311">
        <f t="shared" si="3"/>
        <v>8690.4495203502465</v>
      </c>
    </row>
    <row r="8" spans="1:21" s="1312" customFormat="1" x14ac:dyDescent="0.2">
      <c r="A8" s="2886"/>
      <c r="B8" s="2888"/>
      <c r="C8" s="2889"/>
      <c r="D8" s="1301" t="s">
        <v>39</v>
      </c>
      <c r="E8" s="2890"/>
      <c r="F8" s="1302">
        <v>2</v>
      </c>
      <c r="G8" s="1303">
        <v>0.27800000000000002</v>
      </c>
      <c r="H8" s="1304">
        <v>0.32600000000000001</v>
      </c>
      <c r="I8" s="1305"/>
      <c r="J8" s="1306"/>
      <c r="K8" s="1306">
        <v>0.44</v>
      </c>
      <c r="L8" s="1306"/>
      <c r="M8" s="1306"/>
      <c r="N8" s="1307"/>
      <c r="O8" s="1308"/>
      <c r="P8" s="1303">
        <f>0.153*I8+0.099*J8+0.077*K8+0.05*L8+0.129*M8+0.308*N8+0.249*O8</f>
        <v>3.388E-2</v>
      </c>
      <c r="Q8" s="1304">
        <f>0.076*I8+0.073*J8+0.077*K8+0.037*L8+0.037*M8+0.4*N8+0.4*O8</f>
        <v>3.388E-2</v>
      </c>
      <c r="R8" s="1303">
        <f t="shared" si="0"/>
        <v>0.31371482081661367</v>
      </c>
      <c r="S8" s="1309">
        <f t="shared" si="1"/>
        <v>0.36147125584201029</v>
      </c>
      <c r="T8" s="1310">
        <f t="shared" si="2"/>
        <v>11594.309399940274</v>
      </c>
      <c r="U8" s="1311">
        <f t="shared" si="3"/>
        <v>8714.3858580467131</v>
      </c>
    </row>
    <row r="9" spans="1:21" x14ac:dyDescent="0.2">
      <c r="A9" s="2621">
        <v>10</v>
      </c>
      <c r="B9" s="2556" t="s">
        <v>277</v>
      </c>
      <c r="C9" s="2837" t="s">
        <v>342</v>
      </c>
      <c r="D9" s="1121" t="s">
        <v>39</v>
      </c>
      <c r="E9" s="2879" t="s">
        <v>543</v>
      </c>
      <c r="F9" s="673">
        <v>1</v>
      </c>
      <c r="G9" s="825">
        <v>0.73297985818686184</v>
      </c>
      <c r="H9" s="803">
        <v>0.77753510329950581</v>
      </c>
      <c r="I9" s="147">
        <v>1.05</v>
      </c>
      <c r="J9" s="1290"/>
      <c r="K9" s="1290"/>
      <c r="L9" s="1290"/>
      <c r="M9" s="1290"/>
      <c r="N9" s="149"/>
      <c r="O9" s="150"/>
      <c r="P9" s="825">
        <f>0.194*I9+0.099*J9+0.077*K9+0.05*L9+0.129*M9+0.308*N9+0.249*O9</f>
        <v>0.20370000000000002</v>
      </c>
      <c r="Q9" s="803">
        <f>0.078*I9+0.073*J9+0.077*K9+0.037*L9+0.037*M9+0.4*N9+0.4*O9</f>
        <v>8.1900000000000001E-2</v>
      </c>
      <c r="R9" s="1125">
        <f t="shared" si="0"/>
        <v>0.83995408998268473</v>
      </c>
      <c r="S9" s="637">
        <f t="shared" si="1"/>
        <v>0.88324537178715645</v>
      </c>
      <c r="T9" s="360">
        <f t="shared" si="2"/>
        <v>4330.3636940081142</v>
      </c>
      <c r="U9" s="160">
        <f t="shared" si="3"/>
        <v>3566.3928740733709</v>
      </c>
    </row>
    <row r="10" spans="1:21" ht="13.5" thickBot="1" x14ac:dyDescent="0.25">
      <c r="A10" s="2662"/>
      <c r="B10" s="2557"/>
      <c r="C10" s="2870"/>
      <c r="D10" s="1122" t="s">
        <v>39</v>
      </c>
      <c r="E10" s="2885"/>
      <c r="F10" s="830">
        <v>2</v>
      </c>
      <c r="G10" s="828">
        <v>0.73204058603589373</v>
      </c>
      <c r="H10" s="806">
        <v>0.77658871968975174</v>
      </c>
      <c r="I10" s="167">
        <v>1.05</v>
      </c>
      <c r="J10" s="1291"/>
      <c r="K10" s="1291"/>
      <c r="L10" s="1291"/>
      <c r="M10" s="1291"/>
      <c r="N10" s="169"/>
      <c r="O10" s="170"/>
      <c r="P10" s="828">
        <f>0.194*I10+0.099*J10+0.077*K10+0.05*L10+0.129*M10+0.308*N10+0.249*O10</f>
        <v>0.20370000000000002</v>
      </c>
      <c r="Q10" s="806">
        <f>0.078*I10+0.073*J10+0.077*K10+0.037*L10+0.037*M10+0.4*N10+0.4*O10</f>
        <v>8.1900000000000001E-2</v>
      </c>
      <c r="R10" s="175">
        <f t="shared" si="0"/>
        <v>0.83904288781709735</v>
      </c>
      <c r="S10" s="1295">
        <f t="shared" si="1"/>
        <v>0.88232452750365564</v>
      </c>
      <c r="T10" s="371">
        <f t="shared" si="2"/>
        <v>4335.0664771829133</v>
      </c>
      <c r="U10" s="178">
        <f t="shared" si="3"/>
        <v>3570.1149654223445</v>
      </c>
    </row>
    <row r="11" spans="1:21" x14ac:dyDescent="0.2">
      <c r="A11" s="195"/>
      <c r="B11" s="1127"/>
      <c r="C11" s="187"/>
      <c r="D11" s="187"/>
      <c r="E11" s="187"/>
      <c r="F11" s="187"/>
      <c r="G11" s="1128"/>
      <c r="H11" s="1128"/>
      <c r="I11" s="1129"/>
      <c r="J11" s="1129"/>
      <c r="K11" s="1129"/>
      <c r="L11" s="1129"/>
      <c r="M11" s="1129"/>
      <c r="N11" s="942"/>
      <c r="O11" s="942"/>
      <c r="P11" s="1128"/>
      <c r="Q11" s="1128"/>
      <c r="R11" s="1128"/>
      <c r="S11" s="1128"/>
      <c r="T11" s="190"/>
      <c r="U11" s="190"/>
    </row>
    <row r="12" spans="1:21" x14ac:dyDescent="0.2">
      <c r="A12" s="195"/>
      <c r="B12" s="1127"/>
      <c r="C12" s="187"/>
      <c r="D12" s="187"/>
      <c r="E12" s="187"/>
      <c r="F12" s="187"/>
      <c r="G12" s="1128"/>
      <c r="H12" s="1128"/>
      <c r="I12" s="1129"/>
      <c r="J12" s="1129"/>
      <c r="K12" s="1129"/>
      <c r="L12" s="1129"/>
      <c r="M12" s="1129"/>
      <c r="N12" s="942"/>
      <c r="O12" s="942"/>
      <c r="P12" s="1128"/>
      <c r="Q12" s="1128"/>
      <c r="R12" s="1128"/>
      <c r="S12" s="1128"/>
      <c r="T12" s="190"/>
      <c r="U12" s="190"/>
    </row>
    <row r="13" spans="1:21" x14ac:dyDescent="0.2">
      <c r="A13" s="100"/>
      <c r="B13" s="185"/>
      <c r="C13" s="185"/>
      <c r="D13" s="186"/>
      <c r="E13" s="187"/>
      <c r="F13" s="187"/>
      <c r="G13" s="100"/>
      <c r="H13" s="100"/>
      <c r="I13" s="188"/>
      <c r="J13" s="188"/>
      <c r="K13" s="188"/>
      <c r="L13" s="188"/>
      <c r="M13" s="188"/>
      <c r="N13" s="189"/>
      <c r="O13" s="189"/>
      <c r="P13" s="188"/>
      <c r="Q13" s="186"/>
      <c r="R13" s="100"/>
      <c r="S13" s="100"/>
      <c r="T13" s="190"/>
      <c r="U13" s="190"/>
    </row>
    <row r="14" spans="1:21" ht="15.75" x14ac:dyDescent="0.2">
      <c r="A14" s="100"/>
      <c r="B14" s="192" t="s">
        <v>158</v>
      </c>
      <c r="C14" s="192"/>
      <c r="D14" s="2378">
        <v>43819</v>
      </c>
      <c r="E14" s="2378"/>
      <c r="F14" s="186"/>
      <c r="G14" s="100"/>
      <c r="H14" s="100"/>
      <c r="I14" s="188"/>
      <c r="J14" s="188"/>
      <c r="K14" s="188"/>
      <c r="L14" s="188"/>
      <c r="M14" s="188"/>
      <c r="N14" s="189"/>
      <c r="O14" s="189"/>
      <c r="P14" s="186"/>
      <c r="Q14" s="186"/>
      <c r="R14" s="100"/>
      <c r="S14" s="100"/>
      <c r="T14" s="190"/>
      <c r="U14" s="190"/>
    </row>
    <row r="15" spans="1:21" x14ac:dyDescent="0.2">
      <c r="A15" s="100"/>
      <c r="B15" s="185" t="s">
        <v>328</v>
      </c>
      <c r="C15" s="185"/>
      <c r="D15" s="2380" t="s">
        <v>459</v>
      </c>
      <c r="E15" s="2380"/>
      <c r="F15" s="100"/>
      <c r="G15" s="100"/>
      <c r="H15" s="100"/>
      <c r="I15" s="188"/>
      <c r="J15" s="188"/>
      <c r="K15" s="188"/>
      <c r="L15" s="188"/>
      <c r="M15" s="188"/>
      <c r="N15" s="189"/>
      <c r="O15" s="189"/>
      <c r="P15" s="186"/>
      <c r="Q15" s="186"/>
      <c r="R15" s="100"/>
      <c r="S15" s="100"/>
      <c r="T15" s="190"/>
      <c r="U15" s="190"/>
    </row>
  </sheetData>
  <mergeCells count="26">
    <mergeCell ref="A1:U1"/>
    <mergeCell ref="A2:A4"/>
    <mergeCell ref="B2:B4"/>
    <mergeCell ref="C2:C4"/>
    <mergeCell ref="D2:D4"/>
    <mergeCell ref="E2:E4"/>
    <mergeCell ref="F2:F4"/>
    <mergeCell ref="G2:H2"/>
    <mergeCell ref="I2:O2"/>
    <mergeCell ref="P2:Q3"/>
    <mergeCell ref="D14:E14"/>
    <mergeCell ref="D15:E15"/>
    <mergeCell ref="R2:S2"/>
    <mergeCell ref="T2:U2"/>
    <mergeCell ref="B5:B6"/>
    <mergeCell ref="C5:C6"/>
    <mergeCell ref="E5:E6"/>
    <mergeCell ref="B7:B8"/>
    <mergeCell ref="C7:C8"/>
    <mergeCell ref="E7:E8"/>
    <mergeCell ref="B9:B10"/>
    <mergeCell ref="C9:C10"/>
    <mergeCell ref="E9:E10"/>
    <mergeCell ref="A5:A6"/>
    <mergeCell ref="A7:A8"/>
    <mergeCell ref="A9:A10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50AB4-DB59-486C-A80B-3AA2B242F6B5}">
  <sheetPr codeName="Лист28"/>
  <dimension ref="A1:AQ94"/>
  <sheetViews>
    <sheetView zoomScaleNormal="100" workbookViewId="0">
      <selection activeCell="J21" sqref="J21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2" width="5.5703125" style="188" customWidth="1"/>
    <col min="13" max="14" width="5.5703125" style="189" customWidth="1"/>
    <col min="15" max="16" width="6.7109375" style="186" customWidth="1"/>
    <col min="17" max="18" width="6.7109375" style="100" customWidth="1"/>
    <col min="19" max="20" width="6.7109375" style="190" customWidth="1"/>
    <col min="21" max="16384" width="9.140625" style="100"/>
  </cols>
  <sheetData>
    <row r="1" spans="1:43" ht="36.75" customHeight="1" thickBot="1" x14ac:dyDescent="0.25">
      <c r="A1" s="2302" t="s">
        <v>376</v>
      </c>
      <c r="B1" s="2302"/>
      <c r="C1" s="2302"/>
      <c r="D1" s="2302"/>
      <c r="E1" s="2302"/>
      <c r="F1" s="2302"/>
      <c r="G1" s="2302"/>
      <c r="H1" s="2302"/>
      <c r="I1" s="2302"/>
      <c r="J1" s="2302"/>
      <c r="K1" s="2302"/>
      <c r="L1" s="2302"/>
      <c r="M1" s="2302"/>
      <c r="N1" s="2302"/>
      <c r="O1" s="2302"/>
      <c r="P1" s="2302"/>
      <c r="Q1" s="2302"/>
      <c r="R1" s="2302"/>
      <c r="S1" s="2302"/>
      <c r="T1" s="2302"/>
      <c r="U1" s="269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  <c r="AP1" s="269"/>
      <c r="AQ1" s="269"/>
    </row>
    <row r="2" spans="1:43" s="101" customFormat="1" ht="69.75" customHeight="1" x14ac:dyDescent="0.2">
      <c r="A2" s="2894" t="s">
        <v>0</v>
      </c>
      <c r="B2" s="2306" t="s">
        <v>399</v>
      </c>
      <c r="C2" s="2306" t="s">
        <v>10</v>
      </c>
      <c r="D2" s="2897" t="s">
        <v>4</v>
      </c>
      <c r="E2" s="2900" t="s">
        <v>410</v>
      </c>
      <c r="F2" s="2875" t="s">
        <v>225</v>
      </c>
      <c r="G2" s="2883" t="s">
        <v>411</v>
      </c>
      <c r="H2" s="2876"/>
      <c r="I2" s="2320" t="s">
        <v>230</v>
      </c>
      <c r="J2" s="2321"/>
      <c r="K2" s="2321"/>
      <c r="L2" s="2321"/>
      <c r="M2" s="2321"/>
      <c r="N2" s="2322"/>
      <c r="O2" s="2323" t="s">
        <v>360</v>
      </c>
      <c r="P2" s="2323"/>
      <c r="Q2" s="2347" t="s">
        <v>232</v>
      </c>
      <c r="R2" s="2348"/>
      <c r="S2" s="2893" t="s">
        <v>231</v>
      </c>
      <c r="T2" s="2829"/>
    </row>
    <row r="3" spans="1:43" s="101" customFormat="1" ht="36" customHeight="1" x14ac:dyDescent="0.2">
      <c r="A3" s="2895"/>
      <c r="B3" s="2307"/>
      <c r="C3" s="2307"/>
      <c r="D3" s="2898"/>
      <c r="E3" s="2901"/>
      <c r="F3" s="2874"/>
      <c r="G3" s="831" t="s">
        <v>220</v>
      </c>
      <c r="H3" s="832" t="s">
        <v>29</v>
      </c>
      <c r="I3" s="611" t="s">
        <v>294</v>
      </c>
      <c r="J3" s="612" t="s">
        <v>295</v>
      </c>
      <c r="K3" s="612" t="s">
        <v>296</v>
      </c>
      <c r="L3" s="612" t="s">
        <v>297</v>
      </c>
      <c r="M3" s="402" t="s">
        <v>286</v>
      </c>
      <c r="N3" s="403" t="s">
        <v>25</v>
      </c>
      <c r="O3" s="2325"/>
      <c r="P3" s="2325"/>
      <c r="Q3" s="107" t="s">
        <v>216</v>
      </c>
      <c r="R3" s="108" t="s">
        <v>217</v>
      </c>
      <c r="S3" s="109" t="s">
        <v>218</v>
      </c>
      <c r="T3" s="111" t="s">
        <v>219</v>
      </c>
    </row>
    <row r="4" spans="1:43" s="101" customFormat="1" ht="13.5" thickBot="1" x14ac:dyDescent="0.25">
      <c r="A4" s="2896"/>
      <c r="B4" s="2308"/>
      <c r="C4" s="2307"/>
      <c r="D4" s="2899"/>
      <c r="E4" s="2902"/>
      <c r="F4" s="2869"/>
      <c r="G4" s="833" t="s">
        <v>30</v>
      </c>
      <c r="H4" s="834" t="s">
        <v>30</v>
      </c>
      <c r="I4" s="114" t="s">
        <v>31</v>
      </c>
      <c r="J4" s="115" t="s">
        <v>31</v>
      </c>
      <c r="K4" s="115" t="s">
        <v>31</v>
      </c>
      <c r="L4" s="115" t="s">
        <v>31</v>
      </c>
      <c r="M4" s="116" t="s">
        <v>31</v>
      </c>
      <c r="N4" s="117" t="s">
        <v>31</v>
      </c>
      <c r="O4" s="118" t="s">
        <v>30</v>
      </c>
      <c r="P4" s="122" t="s">
        <v>30</v>
      </c>
      <c r="Q4" s="613" t="s">
        <v>30</v>
      </c>
      <c r="R4" s="614" t="s">
        <v>30</v>
      </c>
      <c r="S4" s="125" t="s">
        <v>35</v>
      </c>
      <c r="T4" s="126" t="s">
        <v>35</v>
      </c>
    </row>
    <row r="5" spans="1:43" ht="12.75" customHeight="1" x14ac:dyDescent="0.2">
      <c r="A5" s="835">
        <v>11</v>
      </c>
      <c r="B5" s="2309" t="s">
        <v>59</v>
      </c>
      <c r="C5" s="2836" t="s">
        <v>342</v>
      </c>
      <c r="D5" s="128" t="s">
        <v>39</v>
      </c>
      <c r="E5" s="2903" t="s">
        <v>292</v>
      </c>
      <c r="F5" s="836">
        <v>1</v>
      </c>
      <c r="G5" s="804">
        <f>СР3!AH5</f>
        <v>0.61815337880392096</v>
      </c>
      <c r="H5" s="837">
        <f>СР3!AI5</f>
        <v>0.73064308785681653</v>
      </c>
      <c r="I5" s="131"/>
      <c r="J5" s="659"/>
      <c r="K5" s="659">
        <v>0.54</v>
      </c>
      <c r="L5" s="659"/>
      <c r="M5" s="133"/>
      <c r="N5" s="134"/>
      <c r="O5" s="620">
        <f>0.153*I5+0.099*J5+0.05*K5+0.129*L5+0.308*M5+0.249*N5</f>
        <v>2.7000000000000003E-2</v>
      </c>
      <c r="P5" s="616">
        <f>0.076*I5+0.073*J5+0.037*K5+0.037*L5+0.4*M5+0.4*N5</f>
        <v>1.9980000000000001E-2</v>
      </c>
      <c r="Q5" s="617">
        <f t="shared" ref="Q5:Q16" si="0">SQRT(O5^2+(G5+P5)^2)</f>
        <v>0.63870432059264204</v>
      </c>
      <c r="R5" s="140">
        <f t="shared" ref="R5:R16" si="1">SQRT(O5^2+(H5+P5)^2)</f>
        <v>0.75110852746038115</v>
      </c>
      <c r="S5" s="519">
        <f>6300/(SQRT(3)*Q5)</f>
        <v>5694.8208719171535</v>
      </c>
      <c r="T5" s="618">
        <f>6300/(2*R5)</f>
        <v>4193.8014079678433</v>
      </c>
    </row>
    <row r="6" spans="1:43" ht="12.75" customHeight="1" x14ac:dyDescent="0.2">
      <c r="A6" s="365">
        <v>11</v>
      </c>
      <c r="B6" s="2830"/>
      <c r="C6" s="2837"/>
      <c r="D6" s="145" t="s">
        <v>39</v>
      </c>
      <c r="E6" s="2904"/>
      <c r="F6" s="684">
        <v>2</v>
      </c>
      <c r="G6" s="825">
        <f>СР3!AH6</f>
        <v>0.61815337880392096</v>
      </c>
      <c r="H6" s="803">
        <f>СР3!AI6</f>
        <v>0.73064308785681653</v>
      </c>
      <c r="I6" s="147"/>
      <c r="J6" s="660"/>
      <c r="K6" s="660">
        <v>0.54</v>
      </c>
      <c r="L6" s="660"/>
      <c r="M6" s="149"/>
      <c r="N6" s="150"/>
      <c r="O6" s="620">
        <f t="shared" ref="O6:O16" si="2">0.153*I6+0.099*J6+0.05*K6+0.129*L6+0.308*M6+0.249*N6</f>
        <v>2.7000000000000003E-2</v>
      </c>
      <c r="P6" s="616">
        <f t="shared" ref="P6:P16" si="3">0.076*I6+0.073*J6+0.037*K6+0.037*L6+0.4*M6+0.4*N6</f>
        <v>1.9980000000000001E-2</v>
      </c>
      <c r="Q6" s="157">
        <f t="shared" si="0"/>
        <v>0.63870432059264204</v>
      </c>
      <c r="R6" s="158">
        <f t="shared" si="1"/>
        <v>0.75110852746038115</v>
      </c>
      <c r="S6" s="141">
        <f t="shared" ref="S6:S16" si="4">6300/(SQRT(3)*Q6)</f>
        <v>5694.8208719171535</v>
      </c>
      <c r="T6" s="619">
        <f t="shared" ref="T6:T16" si="5">6300/(2*R6)</f>
        <v>4193.8014079678433</v>
      </c>
    </row>
    <row r="7" spans="1:43" ht="12.75" customHeight="1" x14ac:dyDescent="0.2">
      <c r="A7" s="359">
        <v>11</v>
      </c>
      <c r="B7" s="2831" t="s">
        <v>235</v>
      </c>
      <c r="C7" s="2837" t="s">
        <v>352</v>
      </c>
      <c r="D7" s="145" t="s">
        <v>39</v>
      </c>
      <c r="E7" s="2905" t="s">
        <v>293</v>
      </c>
      <c r="F7" s="684">
        <v>1</v>
      </c>
      <c r="G7" s="825">
        <f>СР3!AH9</f>
        <v>1.0704843564816515</v>
      </c>
      <c r="H7" s="803">
        <f>СР3!AI9</f>
        <v>1.2268289538178074</v>
      </c>
      <c r="I7" s="147"/>
      <c r="J7" s="660"/>
      <c r="K7" s="660"/>
      <c r="L7" s="660">
        <v>4.4999999999999998E-2</v>
      </c>
      <c r="M7" s="149">
        <v>2.9</v>
      </c>
      <c r="N7" s="150"/>
      <c r="O7" s="620">
        <f t="shared" si="2"/>
        <v>0.89900499999999994</v>
      </c>
      <c r="P7" s="616">
        <f t="shared" si="3"/>
        <v>1.1616649999999999</v>
      </c>
      <c r="Q7" s="157">
        <f t="shared" si="0"/>
        <v>2.4063874874314091</v>
      </c>
      <c r="R7" s="158">
        <f t="shared" si="1"/>
        <v>2.5520802020017364</v>
      </c>
      <c r="S7" s="141">
        <f t="shared" si="4"/>
        <v>1511.5216127462179</v>
      </c>
      <c r="T7" s="619">
        <f t="shared" si="5"/>
        <v>1234.2872287200389</v>
      </c>
    </row>
    <row r="8" spans="1:43" ht="12.75" customHeight="1" x14ac:dyDescent="0.2">
      <c r="A8" s="359">
        <v>11</v>
      </c>
      <c r="B8" s="2830"/>
      <c r="C8" s="2837"/>
      <c r="D8" s="145" t="s">
        <v>39</v>
      </c>
      <c r="E8" s="2904"/>
      <c r="F8" s="684">
        <v>2</v>
      </c>
      <c r="G8" s="825">
        <f>СР3!AH10</f>
        <v>1.0704843564816515</v>
      </c>
      <c r="H8" s="803">
        <f>СР3!AI10</f>
        <v>1.2268289538178074</v>
      </c>
      <c r="I8" s="147"/>
      <c r="J8" s="660"/>
      <c r="K8" s="660"/>
      <c r="L8" s="660">
        <v>4.4999999999999998E-2</v>
      </c>
      <c r="M8" s="149">
        <v>2.9</v>
      </c>
      <c r="N8" s="150"/>
      <c r="O8" s="620">
        <f t="shared" si="2"/>
        <v>0.89900499999999994</v>
      </c>
      <c r="P8" s="616">
        <f t="shared" si="3"/>
        <v>1.1616649999999999</v>
      </c>
      <c r="Q8" s="157">
        <f t="shared" si="0"/>
        <v>2.4063874874314091</v>
      </c>
      <c r="R8" s="158">
        <f t="shared" si="1"/>
        <v>2.5520802020017364</v>
      </c>
      <c r="S8" s="141">
        <f t="shared" si="4"/>
        <v>1511.5216127462179</v>
      </c>
      <c r="T8" s="619">
        <f t="shared" si="5"/>
        <v>1234.2872287200389</v>
      </c>
    </row>
    <row r="9" spans="1:43" ht="12.75" customHeight="1" x14ac:dyDescent="0.2">
      <c r="A9" s="359">
        <v>11</v>
      </c>
      <c r="B9" s="2831" t="s">
        <v>48</v>
      </c>
      <c r="C9" s="2837" t="s">
        <v>342</v>
      </c>
      <c r="D9" s="145" t="s">
        <v>39</v>
      </c>
      <c r="E9" s="2905" t="s">
        <v>293</v>
      </c>
      <c r="F9" s="684">
        <v>1</v>
      </c>
      <c r="G9" s="825">
        <f>СР3!AH9</f>
        <v>1.0704843564816515</v>
      </c>
      <c r="H9" s="803">
        <f>СР3!AI9</f>
        <v>1.2268289538178074</v>
      </c>
      <c r="I9" s="147">
        <v>0.09</v>
      </c>
      <c r="J9" s="660">
        <v>0.03</v>
      </c>
      <c r="K9" s="660"/>
      <c r="L9" s="660"/>
      <c r="M9" s="149"/>
      <c r="N9" s="150">
        <v>2.7</v>
      </c>
      <c r="O9" s="620">
        <f t="shared" si="2"/>
        <v>0.68903999999999999</v>
      </c>
      <c r="P9" s="616">
        <f t="shared" si="3"/>
        <v>1.0890300000000002</v>
      </c>
      <c r="Q9" s="157">
        <f t="shared" si="0"/>
        <v>2.2667770903753115</v>
      </c>
      <c r="R9" s="158">
        <f t="shared" si="1"/>
        <v>2.4161909724974366</v>
      </c>
      <c r="S9" s="141">
        <f t="shared" si="4"/>
        <v>1604.6159595218123</v>
      </c>
      <c r="T9" s="619">
        <f t="shared" si="5"/>
        <v>1303.7048957864781</v>
      </c>
    </row>
    <row r="10" spans="1:43" ht="12.75" customHeight="1" thickBot="1" x14ac:dyDescent="0.25">
      <c r="A10" s="365">
        <v>11</v>
      </c>
      <c r="B10" s="2311"/>
      <c r="C10" s="2870"/>
      <c r="D10" s="281" t="s">
        <v>39</v>
      </c>
      <c r="E10" s="2906"/>
      <c r="F10" s="839">
        <v>2</v>
      </c>
      <c r="G10" s="840">
        <f>СР3!AH10</f>
        <v>1.0704843564816515</v>
      </c>
      <c r="H10" s="841">
        <f>СР3!AI10</f>
        <v>1.2268289538178074</v>
      </c>
      <c r="I10" s="410">
        <v>6.5000000000000002E-2</v>
      </c>
      <c r="J10" s="661">
        <v>0.05</v>
      </c>
      <c r="K10" s="661"/>
      <c r="L10" s="661"/>
      <c r="M10" s="624"/>
      <c r="N10" s="625">
        <v>2.7</v>
      </c>
      <c r="O10" s="626">
        <f t="shared" si="2"/>
        <v>0.687195</v>
      </c>
      <c r="P10" s="627">
        <f t="shared" si="3"/>
        <v>1.0885900000000002</v>
      </c>
      <c r="Q10" s="181">
        <f t="shared" si="0"/>
        <v>2.2657976619375479</v>
      </c>
      <c r="R10" s="182">
        <f t="shared" si="1"/>
        <v>2.4152436522478951</v>
      </c>
      <c r="S10" s="842">
        <f t="shared" si="4"/>
        <v>1605.3095812554941</v>
      </c>
      <c r="T10" s="663">
        <f t="shared" si="5"/>
        <v>1304.2162421452836</v>
      </c>
    </row>
    <row r="11" spans="1:43" ht="12.75" customHeight="1" x14ac:dyDescent="0.2">
      <c r="A11" s="843">
        <v>11</v>
      </c>
      <c r="B11" s="2832" t="s">
        <v>59</v>
      </c>
      <c r="C11" s="2372" t="s">
        <v>342</v>
      </c>
      <c r="D11" s="860" t="s">
        <v>35</v>
      </c>
      <c r="E11" s="2907" t="s">
        <v>292</v>
      </c>
      <c r="F11" s="844">
        <v>1</v>
      </c>
      <c r="G11" s="845">
        <f>СР3!AH11</f>
        <v>0.86720727444844681</v>
      </c>
      <c r="H11" s="846">
        <f>СР3!AI11</f>
        <v>0.87137868822613729</v>
      </c>
      <c r="I11" s="847"/>
      <c r="J11" s="848"/>
      <c r="K11" s="848">
        <v>0.54</v>
      </c>
      <c r="L11" s="848"/>
      <c r="M11" s="849"/>
      <c r="N11" s="850"/>
      <c r="O11" s="567">
        <f>0.153*I11+0.099*J11+0.05*K11+0.129*L11+0.308*M11+0.249*N11</f>
        <v>2.7000000000000003E-2</v>
      </c>
      <c r="P11" s="682">
        <f>0.076*I11+0.073*J11+0.037*K11+0.037*L11+0.4*M11+0.4*N11</f>
        <v>1.9980000000000001E-2</v>
      </c>
      <c r="Q11" s="139">
        <f>SQRT(O11^2+(G11+P11)^2)</f>
        <v>0.88759802835701684</v>
      </c>
      <c r="R11" s="140">
        <f>SQRT(O11^2+(H11+P11)^2)</f>
        <v>0.89176752075651433</v>
      </c>
      <c r="S11" s="356">
        <f>6300/(SQRT(3)*Q11)</f>
        <v>4097.9211080802625</v>
      </c>
      <c r="T11" s="358">
        <f>6300/(2*R11)</f>
        <v>3532.3107499225316</v>
      </c>
    </row>
    <row r="12" spans="1:43" ht="12.75" customHeight="1" x14ac:dyDescent="0.2">
      <c r="A12" s="381">
        <v>11</v>
      </c>
      <c r="B12" s="2833"/>
      <c r="C12" s="2840"/>
      <c r="D12" s="500" t="s">
        <v>35</v>
      </c>
      <c r="E12" s="2908"/>
      <c r="F12" s="852">
        <v>2</v>
      </c>
      <c r="G12" s="568">
        <f>СР3!AH12</f>
        <v>0.86720727444844681</v>
      </c>
      <c r="H12" s="309">
        <f>СР3!AI12</f>
        <v>0.87137868822613729</v>
      </c>
      <c r="I12" s="213"/>
      <c r="J12" s="853"/>
      <c r="K12" s="853">
        <v>0.54</v>
      </c>
      <c r="L12" s="853"/>
      <c r="M12" s="215"/>
      <c r="N12" s="689"/>
      <c r="O12" s="568">
        <f>0.153*I12+0.099*J12+0.05*K12+0.129*L12+0.308*M12+0.249*N12</f>
        <v>2.7000000000000003E-2</v>
      </c>
      <c r="P12" s="309">
        <f>0.076*I12+0.073*J12+0.037*K12+0.037*L12+0.4*M12+0.4*N12</f>
        <v>1.9980000000000001E-2</v>
      </c>
      <c r="Q12" s="157">
        <f>SQRT(O12^2+(G12+P12)^2)</f>
        <v>0.88759802835701684</v>
      </c>
      <c r="R12" s="158">
        <f>SQRT(O12^2+(H12+P12)^2)</f>
        <v>0.89176752075651433</v>
      </c>
      <c r="S12" s="360">
        <f>6300/(SQRT(3)*Q12)</f>
        <v>4097.9211080802625</v>
      </c>
      <c r="T12" s="160">
        <f>6300/(2*R12)</f>
        <v>3532.3107499225316</v>
      </c>
    </row>
    <row r="13" spans="1:43" ht="12.75" customHeight="1" x14ac:dyDescent="0.2">
      <c r="A13" s="854">
        <v>11</v>
      </c>
      <c r="B13" s="2834" t="s">
        <v>235</v>
      </c>
      <c r="C13" s="2840" t="s">
        <v>352</v>
      </c>
      <c r="D13" s="644" t="s">
        <v>35</v>
      </c>
      <c r="E13" s="2909" t="s">
        <v>293</v>
      </c>
      <c r="F13" s="855">
        <v>1</v>
      </c>
      <c r="G13" s="678">
        <f>СР3!AH15</f>
        <v>1.1813371954263523</v>
      </c>
      <c r="H13" s="814">
        <f>СР3!AI15</f>
        <v>1.2736049542488599</v>
      </c>
      <c r="I13" s="200"/>
      <c r="J13" s="856"/>
      <c r="K13" s="856"/>
      <c r="L13" s="856">
        <v>4.4999999999999998E-2</v>
      </c>
      <c r="M13" s="202">
        <v>2.9</v>
      </c>
      <c r="N13" s="691"/>
      <c r="O13" s="678">
        <v>0.89900499999999994</v>
      </c>
      <c r="P13" s="814">
        <v>1.1616649999999999</v>
      </c>
      <c r="Q13" s="157">
        <f>SQRT(O13^2+(G13+P13)^2)</f>
        <v>2.5095555936854055</v>
      </c>
      <c r="R13" s="158">
        <f>SQRT(O13^2+(H13+P13)^2)</f>
        <v>2.5959101949205108</v>
      </c>
      <c r="S13" s="360">
        <f>6300/(SQRT(3)*Q13)</f>
        <v>1449.3827931315436</v>
      </c>
      <c r="T13" s="160">
        <f>6300/(2*R13)</f>
        <v>1213.4472163804787</v>
      </c>
    </row>
    <row r="14" spans="1:43" ht="12.75" customHeight="1" x14ac:dyDescent="0.2">
      <c r="A14" s="857">
        <v>11</v>
      </c>
      <c r="B14" s="2833"/>
      <c r="C14" s="2840"/>
      <c r="D14" s="644" t="s">
        <v>35</v>
      </c>
      <c r="E14" s="2908"/>
      <c r="F14" s="852">
        <v>2</v>
      </c>
      <c r="G14" s="568">
        <f>СР3!AH16</f>
        <v>1.1813371954263523</v>
      </c>
      <c r="H14" s="309">
        <f>СР3!AI16</f>
        <v>1.2736049542488599</v>
      </c>
      <c r="I14" s="213"/>
      <c r="J14" s="666"/>
      <c r="K14" s="666"/>
      <c r="L14" s="666">
        <v>4.4999999999999998E-2</v>
      </c>
      <c r="M14" s="215">
        <v>2.9</v>
      </c>
      <c r="N14" s="689"/>
      <c r="O14" s="678">
        <f t="shared" si="2"/>
        <v>0.89900499999999994</v>
      </c>
      <c r="P14" s="814">
        <f t="shared" si="3"/>
        <v>1.1616649999999999</v>
      </c>
      <c r="Q14" s="157">
        <f>SQRT(O14^2+(G14+P14)^2)</f>
        <v>2.5095555936854055</v>
      </c>
      <c r="R14" s="158">
        <f>SQRT(O14^2+(H14+P14)^2)</f>
        <v>2.5959101949205108</v>
      </c>
      <c r="S14" s="360">
        <f>6300/(SQRT(3)*Q14)</f>
        <v>1449.3827931315436</v>
      </c>
      <c r="T14" s="160">
        <f>6300/(2*R14)</f>
        <v>1213.4472163804787</v>
      </c>
    </row>
    <row r="15" spans="1:43" ht="12.75" customHeight="1" x14ac:dyDescent="0.2">
      <c r="A15" s="381">
        <v>11</v>
      </c>
      <c r="B15" s="2834" t="s">
        <v>48</v>
      </c>
      <c r="C15" s="2840" t="s">
        <v>342</v>
      </c>
      <c r="D15" s="644" t="s">
        <v>35</v>
      </c>
      <c r="E15" s="2909" t="s">
        <v>293</v>
      </c>
      <c r="F15" s="852">
        <v>1</v>
      </c>
      <c r="G15" s="568">
        <f>СР3!AH15</f>
        <v>1.1813371954263523</v>
      </c>
      <c r="H15" s="309">
        <f>СР3!AI15</f>
        <v>1.2736049542488599</v>
      </c>
      <c r="I15" s="213">
        <v>0.09</v>
      </c>
      <c r="J15" s="666">
        <v>0.03</v>
      </c>
      <c r="K15" s="666"/>
      <c r="L15" s="666"/>
      <c r="M15" s="215"/>
      <c r="N15" s="689">
        <v>2.7</v>
      </c>
      <c r="O15" s="678">
        <f t="shared" si="2"/>
        <v>0.68903999999999999</v>
      </c>
      <c r="P15" s="814">
        <f t="shared" si="3"/>
        <v>1.0890300000000002</v>
      </c>
      <c r="Q15" s="157">
        <f t="shared" si="0"/>
        <v>2.3726237214670434</v>
      </c>
      <c r="R15" s="158">
        <f t="shared" si="1"/>
        <v>2.4610607567954337</v>
      </c>
      <c r="S15" s="360">
        <f>6300/(SQRT(3)*Q15)</f>
        <v>1533.0314128553091</v>
      </c>
      <c r="T15" s="619">
        <f t="shared" si="5"/>
        <v>1279.9358940254849</v>
      </c>
    </row>
    <row r="16" spans="1:43" ht="12.75" customHeight="1" thickBot="1" x14ac:dyDescent="0.25">
      <c r="A16" s="393">
        <v>11</v>
      </c>
      <c r="B16" s="2835"/>
      <c r="C16" s="2841"/>
      <c r="D16" s="645" t="s">
        <v>35</v>
      </c>
      <c r="E16" s="2910"/>
      <c r="F16" s="858">
        <v>2</v>
      </c>
      <c r="G16" s="859">
        <f>СР3!AH16</f>
        <v>1.1813371954263523</v>
      </c>
      <c r="H16" s="683">
        <f>СР3!AI16</f>
        <v>1.2736049542488599</v>
      </c>
      <c r="I16" s="242">
        <v>6.5000000000000002E-2</v>
      </c>
      <c r="J16" s="668">
        <v>0.05</v>
      </c>
      <c r="K16" s="668"/>
      <c r="L16" s="668"/>
      <c r="M16" s="244"/>
      <c r="N16" s="690">
        <v>2.7</v>
      </c>
      <c r="O16" s="680">
        <f t="shared" si="2"/>
        <v>0.687195</v>
      </c>
      <c r="P16" s="815">
        <f t="shared" si="3"/>
        <v>1.0885900000000002</v>
      </c>
      <c r="Q16" s="175">
        <f t="shared" si="0"/>
        <v>2.3716674388626129</v>
      </c>
      <c r="R16" s="176">
        <f t="shared" si="1"/>
        <v>2.4601223485639436</v>
      </c>
      <c r="S16" s="628">
        <f t="shared" si="4"/>
        <v>1533.6495481166598</v>
      </c>
      <c r="T16" s="629">
        <f t="shared" si="5"/>
        <v>1280.4241227428226</v>
      </c>
    </row>
    <row r="17" spans="2:16" x14ac:dyDescent="0.2">
      <c r="E17" s="187"/>
      <c r="F17" s="187"/>
      <c r="O17" s="188"/>
    </row>
    <row r="18" spans="2:16" ht="15.75" x14ac:dyDescent="0.2">
      <c r="B18" s="192" t="s">
        <v>158</v>
      </c>
      <c r="C18" s="192"/>
      <c r="D18" s="2378">
        <v>42648</v>
      </c>
      <c r="E18" s="2378"/>
      <c r="F18" s="186"/>
    </row>
    <row r="19" spans="2:16" x14ac:dyDescent="0.2">
      <c r="B19" s="185" t="s">
        <v>328</v>
      </c>
      <c r="D19" s="2380" t="s">
        <v>189</v>
      </c>
      <c r="E19" s="2380"/>
    </row>
    <row r="23" spans="2:16" x14ac:dyDescent="0.2">
      <c r="N23" s="100"/>
      <c r="O23" s="100"/>
      <c r="P23" s="100"/>
    </row>
    <row r="91" spans="1:1" x14ac:dyDescent="0.2">
      <c r="A91" s="195"/>
    </row>
    <row r="92" spans="1:1" x14ac:dyDescent="0.2">
      <c r="A92" s="195"/>
    </row>
    <row r="93" spans="1:1" x14ac:dyDescent="0.2">
      <c r="A93" s="195"/>
    </row>
    <row r="94" spans="1:1" x14ac:dyDescent="0.2">
      <c r="A94" s="195"/>
    </row>
  </sheetData>
  <mergeCells count="32">
    <mergeCell ref="B9:B10"/>
    <mergeCell ref="B11:B12"/>
    <mergeCell ref="B13:B14"/>
    <mergeCell ref="B15:B16"/>
    <mergeCell ref="E9:E10"/>
    <mergeCell ref="E11:E12"/>
    <mergeCell ref="E13:E14"/>
    <mergeCell ref="E15:E16"/>
    <mergeCell ref="C9:C10"/>
    <mergeCell ref="C11:C12"/>
    <mergeCell ref="C13:C14"/>
    <mergeCell ref="C15:C16"/>
    <mergeCell ref="I2:N2"/>
    <mergeCell ref="O2:P3"/>
    <mergeCell ref="Q2:R2"/>
    <mergeCell ref="C2:C4"/>
    <mergeCell ref="S2:T2"/>
    <mergeCell ref="D18:E18"/>
    <mergeCell ref="D19:E19"/>
    <mergeCell ref="A1:T1"/>
    <mergeCell ref="A2:A4"/>
    <mergeCell ref="B2:B4"/>
    <mergeCell ref="D2:D4"/>
    <mergeCell ref="E2:E4"/>
    <mergeCell ref="F2:F4"/>
    <mergeCell ref="G2:H2"/>
    <mergeCell ref="B5:B6"/>
    <mergeCell ref="B7:B8"/>
    <mergeCell ref="C5:C6"/>
    <mergeCell ref="C7:C8"/>
    <mergeCell ref="E5:E6"/>
    <mergeCell ref="E7:E8"/>
  </mergeCells>
  <pageMargins left="0.59055118110236227" right="0.59055118110236227" top="0.39370078740157483" bottom="0.31496062992125984" header="0.35433070866141736" footer="0.15748031496062992"/>
  <pageSetup paperSize="9" orientation="landscape" r:id="rId1"/>
  <headerFooter>
    <oddFooter>&amp;L&amp;8&amp;Z&amp;F</oddFooter>
  </headerFooter>
  <ignoredErrors>
    <ignoredError sqref="G8:H8 G14:H14 G15:H15 G9:H9" formula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25A92-A83F-41D4-9A97-8CF2DD47843E}">
  <sheetPr codeName="Лист29">
    <tabColor rgb="FFFFFF00"/>
  </sheetPr>
  <dimension ref="A1:AO90"/>
  <sheetViews>
    <sheetView zoomScaleNormal="100" workbookViewId="0">
      <selection activeCell="T19" sqref="T19"/>
    </sheetView>
  </sheetViews>
  <sheetFormatPr defaultRowHeight="12.75" x14ac:dyDescent="0.2"/>
  <cols>
    <col min="1" max="1" width="2.85546875" style="100" customWidth="1"/>
    <col min="2" max="2" width="16.140625" style="185" customWidth="1"/>
    <col min="3" max="3" width="6.42578125" style="185" customWidth="1"/>
    <col min="4" max="4" width="3.140625" style="186" customWidth="1"/>
    <col min="5" max="5" width="15.7109375" style="100" customWidth="1"/>
    <col min="6" max="6" width="4" style="100" customWidth="1"/>
    <col min="7" max="8" width="7" style="100" customWidth="1"/>
    <col min="9" max="11" width="5.5703125" style="188" customWidth="1"/>
    <col min="12" max="12" width="5.5703125" style="189" customWidth="1"/>
    <col min="13" max="14" width="6.7109375" style="186" customWidth="1"/>
    <col min="15" max="16" width="6.7109375" style="100" customWidth="1"/>
    <col min="17" max="18" width="6.7109375" style="190" customWidth="1"/>
    <col min="19" max="16384" width="9.140625" style="100"/>
  </cols>
  <sheetData>
    <row r="1" spans="1:41" ht="36.75" customHeight="1" x14ac:dyDescent="0.2">
      <c r="A1" s="2916" t="s">
        <v>448</v>
      </c>
      <c r="B1" s="2916"/>
      <c r="C1" s="2916"/>
      <c r="D1" s="2916"/>
      <c r="E1" s="2916"/>
      <c r="F1" s="2916"/>
      <c r="G1" s="2916"/>
      <c r="H1" s="2916"/>
      <c r="I1" s="2916"/>
      <c r="J1" s="2916"/>
      <c r="K1" s="2916"/>
      <c r="L1" s="2916"/>
      <c r="M1" s="2916"/>
      <c r="N1" s="2916"/>
      <c r="O1" s="2916"/>
      <c r="P1" s="2916"/>
      <c r="Q1" s="2916"/>
      <c r="R1" s="2916"/>
      <c r="S1" s="269"/>
      <c r="T1" s="269"/>
      <c r="U1" s="269"/>
      <c r="V1" s="269"/>
      <c r="W1" s="269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  <c r="AL1" s="269"/>
      <c r="AM1" s="269"/>
      <c r="AN1" s="269"/>
      <c r="AO1" s="269"/>
    </row>
    <row r="2" spans="1:41" s="101" customFormat="1" ht="69.75" customHeight="1" x14ac:dyDescent="0.2">
      <c r="A2" s="2917" t="s">
        <v>0</v>
      </c>
      <c r="B2" s="2911" t="s">
        <v>406</v>
      </c>
      <c r="C2" s="2911" t="s">
        <v>10</v>
      </c>
      <c r="D2" s="2918" t="s">
        <v>4</v>
      </c>
      <c r="E2" s="2911" t="s">
        <v>407</v>
      </c>
      <c r="F2" s="2911" t="s">
        <v>225</v>
      </c>
      <c r="G2" s="2911" t="s">
        <v>415</v>
      </c>
      <c r="H2" s="2911"/>
      <c r="I2" s="2605" t="s">
        <v>230</v>
      </c>
      <c r="J2" s="2605"/>
      <c r="K2" s="2605"/>
      <c r="L2" s="2605"/>
      <c r="M2" s="2605" t="s">
        <v>360</v>
      </c>
      <c r="N2" s="2605"/>
      <c r="O2" s="2914" t="s">
        <v>232</v>
      </c>
      <c r="P2" s="2914"/>
      <c r="Q2" s="2915" t="s">
        <v>231</v>
      </c>
      <c r="R2" s="2915"/>
    </row>
    <row r="3" spans="1:41" s="101" customFormat="1" ht="36" customHeight="1" x14ac:dyDescent="0.2">
      <c r="A3" s="2917"/>
      <c r="B3" s="2911"/>
      <c r="C3" s="2911"/>
      <c r="D3" s="2918"/>
      <c r="E3" s="2911"/>
      <c r="F3" s="2911"/>
      <c r="G3" s="102" t="s">
        <v>220</v>
      </c>
      <c r="H3" s="102" t="s">
        <v>29</v>
      </c>
      <c r="I3" s="612" t="s">
        <v>450</v>
      </c>
      <c r="J3" s="612" t="s">
        <v>630</v>
      </c>
      <c r="K3" s="612" t="s">
        <v>229</v>
      </c>
      <c r="L3" s="612" t="s">
        <v>367</v>
      </c>
      <c r="M3" s="2605"/>
      <c r="N3" s="2605"/>
      <c r="O3" s="1988" t="s">
        <v>216</v>
      </c>
      <c r="P3" s="1988" t="s">
        <v>217</v>
      </c>
      <c r="Q3" s="105" t="s">
        <v>218</v>
      </c>
      <c r="R3" s="105" t="s">
        <v>219</v>
      </c>
    </row>
    <row r="4" spans="1:41" s="101" customFormat="1" x14ac:dyDescent="0.2">
      <c r="A4" s="2917"/>
      <c r="B4" s="2911"/>
      <c r="C4" s="2911"/>
      <c r="D4" s="2918"/>
      <c r="E4" s="2911"/>
      <c r="F4" s="2911"/>
      <c r="G4" s="102" t="s">
        <v>30</v>
      </c>
      <c r="H4" s="102" t="s">
        <v>30</v>
      </c>
      <c r="I4" s="1989" t="s">
        <v>31</v>
      </c>
      <c r="J4" s="1989"/>
      <c r="K4" s="1989"/>
      <c r="L4" s="104" t="s">
        <v>31</v>
      </c>
      <c r="M4" s="104" t="s">
        <v>30</v>
      </c>
      <c r="N4" s="104" t="s">
        <v>30</v>
      </c>
      <c r="O4" s="1988" t="s">
        <v>30</v>
      </c>
      <c r="P4" s="1988" t="s">
        <v>30</v>
      </c>
      <c r="Q4" s="105" t="s">
        <v>35</v>
      </c>
      <c r="R4" s="105" t="s">
        <v>35</v>
      </c>
    </row>
    <row r="5" spans="1:41" ht="12.75" customHeight="1" x14ac:dyDescent="0.2">
      <c r="A5" s="1987"/>
      <c r="B5" s="2911" t="s">
        <v>449</v>
      </c>
      <c r="C5" s="2912" t="s">
        <v>342</v>
      </c>
      <c r="D5" s="146" t="s">
        <v>39</v>
      </c>
      <c r="E5" s="2913" t="s">
        <v>326</v>
      </c>
      <c r="F5" s="146">
        <v>1</v>
      </c>
      <c r="G5" s="2154">
        <f>Чистинное!AG16</f>
        <v>0.61986275990185513</v>
      </c>
      <c r="H5" s="2154">
        <f>Чистинное!AH16</f>
        <v>0.61310936304829888</v>
      </c>
      <c r="I5" s="1290"/>
      <c r="J5" s="1290"/>
      <c r="K5" s="1290"/>
      <c r="L5" s="149"/>
      <c r="M5" s="275">
        <f t="shared" ref="M5:M10" si="0">0.061*I5+0.0385*L5</f>
        <v>0</v>
      </c>
      <c r="N5" s="275">
        <f t="shared" ref="N5:N10" si="1">0.037*I5+0.0355*L5</f>
        <v>0</v>
      </c>
      <c r="O5" s="1101">
        <f t="shared" ref="O5:O10" si="2">SQRT(M5^2+(G5+N5)^2)</f>
        <v>0.61986275990185513</v>
      </c>
      <c r="P5" s="1101">
        <f t="shared" ref="P5:P10" si="3">SQRT(M5^2+(H5+N5)^2)</f>
        <v>0.61310936304829888</v>
      </c>
      <c r="Q5" s="155">
        <f t="shared" ref="Q5:Q12" si="4">6300/(SQRT(3)*O5)</f>
        <v>5867.922597044786</v>
      </c>
      <c r="R5" s="155">
        <f t="shared" ref="R5:R12" si="5">6300/(2*P5)</f>
        <v>5137.7457103878096</v>
      </c>
    </row>
    <row r="6" spans="1:41" ht="12.75" customHeight="1" x14ac:dyDescent="0.2">
      <c r="A6" s="1987"/>
      <c r="B6" s="2911"/>
      <c r="C6" s="2912"/>
      <c r="D6" s="146" t="s">
        <v>39</v>
      </c>
      <c r="E6" s="2913"/>
      <c r="F6" s="146">
        <v>2</v>
      </c>
      <c r="G6" s="2154">
        <f>Чистинное!AG17</f>
        <v>0.62175141698741232</v>
      </c>
      <c r="H6" s="2154">
        <f>Чистинное!AH17</f>
        <v>0.61499739651516006</v>
      </c>
      <c r="I6" s="1290"/>
      <c r="J6" s="1290"/>
      <c r="K6" s="1290"/>
      <c r="L6" s="149"/>
      <c r="M6" s="275">
        <f t="shared" si="0"/>
        <v>0</v>
      </c>
      <c r="N6" s="275">
        <f t="shared" si="1"/>
        <v>0</v>
      </c>
      <c r="O6" s="1101">
        <f t="shared" si="2"/>
        <v>0.62175141698741232</v>
      </c>
      <c r="P6" s="1101">
        <f t="shared" si="3"/>
        <v>0.61499739651516006</v>
      </c>
      <c r="Q6" s="155">
        <f t="shared" si="4"/>
        <v>5850.0979595970612</v>
      </c>
      <c r="R6" s="155">
        <f t="shared" si="5"/>
        <v>5121.9729024045564</v>
      </c>
    </row>
    <row r="7" spans="1:41" ht="12.75" customHeight="1" x14ac:dyDescent="0.2">
      <c r="A7" s="1987"/>
      <c r="B7" s="2911" t="s">
        <v>48</v>
      </c>
      <c r="C7" s="2912" t="s">
        <v>352</v>
      </c>
      <c r="D7" s="146" t="s">
        <v>39</v>
      </c>
      <c r="E7" s="2913" t="s">
        <v>449</v>
      </c>
      <c r="F7" s="146">
        <v>1</v>
      </c>
      <c r="G7" s="2154">
        <f>O5</f>
        <v>0.61986275990185513</v>
      </c>
      <c r="H7" s="2154">
        <f>P5</f>
        <v>0.61310936304829888</v>
      </c>
      <c r="I7" s="1290">
        <v>0.65</v>
      </c>
      <c r="J7" s="1290"/>
      <c r="K7" s="1290"/>
      <c r="L7" s="149"/>
      <c r="M7" s="275">
        <f t="shared" si="0"/>
        <v>3.9649999999999998E-2</v>
      </c>
      <c r="N7" s="275">
        <f t="shared" si="1"/>
        <v>2.4049999999999998E-2</v>
      </c>
      <c r="O7" s="2241">
        <f t="shared" si="2"/>
        <v>0.64513236228267468</v>
      </c>
      <c r="P7" s="2241">
        <f t="shared" si="3"/>
        <v>0.6383918674451563</v>
      </c>
      <c r="Q7" s="155">
        <f t="shared" si="4"/>
        <v>5638.0781813901631</v>
      </c>
      <c r="R7" s="155">
        <f t="shared" si="5"/>
        <v>4934.2733838485401</v>
      </c>
    </row>
    <row r="8" spans="1:41" ht="12.75" customHeight="1" x14ac:dyDescent="0.2">
      <c r="A8" s="1987"/>
      <c r="B8" s="2911"/>
      <c r="C8" s="2912"/>
      <c r="D8" s="146" t="s">
        <v>39</v>
      </c>
      <c r="E8" s="2913"/>
      <c r="F8" s="146">
        <v>2</v>
      </c>
      <c r="G8" s="2154">
        <f>O6</f>
        <v>0.62175141698741232</v>
      </c>
      <c r="H8" s="2154">
        <f>P6</f>
        <v>0.61499739651516006</v>
      </c>
      <c r="I8" s="1290">
        <v>0.65</v>
      </c>
      <c r="J8" s="1290"/>
      <c r="K8" s="1290"/>
      <c r="L8" s="149"/>
      <c r="M8" s="275">
        <f t="shared" si="0"/>
        <v>3.9649999999999998E-2</v>
      </c>
      <c r="N8" s="275">
        <f t="shared" si="1"/>
        <v>2.4049999999999998E-2</v>
      </c>
      <c r="O8" s="2241">
        <f t="shared" si="2"/>
        <v>0.64701745933394228</v>
      </c>
      <c r="P8" s="2241">
        <f t="shared" si="3"/>
        <v>0.64027626653875291</v>
      </c>
      <c r="Q8" s="155">
        <f t="shared" si="4"/>
        <v>5621.6515387992577</v>
      </c>
      <c r="R8" s="155">
        <f t="shared" si="5"/>
        <v>4919.7513083351896</v>
      </c>
    </row>
    <row r="9" spans="1:41" ht="12.75" customHeight="1" x14ac:dyDescent="0.2">
      <c r="A9" s="1987"/>
      <c r="B9" s="2911" t="s">
        <v>451</v>
      </c>
      <c r="C9" s="2912" t="s">
        <v>342</v>
      </c>
      <c r="D9" s="146" t="s">
        <v>39</v>
      </c>
      <c r="E9" s="2913" t="s">
        <v>449</v>
      </c>
      <c r="F9" s="146">
        <v>1</v>
      </c>
      <c r="G9" s="2154">
        <f t="shared" ref="G9:H12" si="6">O5</f>
        <v>0.61986275990185513</v>
      </c>
      <c r="H9" s="2154">
        <f t="shared" si="6"/>
        <v>0.61310936304829888</v>
      </c>
      <c r="I9" s="1290"/>
      <c r="J9" s="1290"/>
      <c r="K9" s="1290"/>
      <c r="L9" s="149">
        <v>0.48</v>
      </c>
      <c r="M9" s="275">
        <f t="shared" si="0"/>
        <v>1.848E-2</v>
      </c>
      <c r="N9" s="275">
        <f t="shared" si="1"/>
        <v>1.7039999999999996E-2</v>
      </c>
      <c r="O9" s="1101">
        <f t="shared" si="2"/>
        <v>0.63717080596226316</v>
      </c>
      <c r="P9" s="1101">
        <f t="shared" si="3"/>
        <v>0.63042028056700139</v>
      </c>
      <c r="Q9" s="155">
        <f t="shared" si="4"/>
        <v>5708.5269159523668</v>
      </c>
      <c r="R9" s="155">
        <f t="shared" si="5"/>
        <v>4996.6666636531472</v>
      </c>
    </row>
    <row r="10" spans="1:41" ht="12.75" customHeight="1" x14ac:dyDescent="0.2">
      <c r="A10" s="1987"/>
      <c r="B10" s="2911"/>
      <c r="C10" s="2912"/>
      <c r="D10" s="146" t="s">
        <v>39</v>
      </c>
      <c r="E10" s="2913"/>
      <c r="F10" s="146">
        <v>2</v>
      </c>
      <c r="G10" s="2154">
        <f t="shared" si="6"/>
        <v>0.62175141698741232</v>
      </c>
      <c r="H10" s="2154">
        <f t="shared" si="6"/>
        <v>0.61499739651516006</v>
      </c>
      <c r="I10" s="1290"/>
      <c r="J10" s="1290"/>
      <c r="K10" s="1290"/>
      <c r="L10" s="149">
        <v>0.48</v>
      </c>
      <c r="M10" s="275">
        <f t="shared" si="0"/>
        <v>1.848E-2</v>
      </c>
      <c r="N10" s="275">
        <f t="shared" si="1"/>
        <v>1.7039999999999996E-2</v>
      </c>
      <c r="O10" s="1101">
        <f t="shared" si="2"/>
        <v>0.63905867087207735</v>
      </c>
      <c r="P10" s="1101">
        <f t="shared" si="3"/>
        <v>0.63230750509041223</v>
      </c>
      <c r="Q10" s="155">
        <f t="shared" si="4"/>
        <v>5691.6631628377281</v>
      </c>
      <c r="R10" s="155">
        <f t="shared" si="5"/>
        <v>4981.7532998435445</v>
      </c>
    </row>
    <row r="11" spans="1:41" ht="12.75" customHeight="1" x14ac:dyDescent="0.2">
      <c r="A11" s="1987"/>
      <c r="B11" s="2911" t="s">
        <v>302</v>
      </c>
      <c r="C11" s="2912" t="s">
        <v>629</v>
      </c>
      <c r="D11" s="146" t="s">
        <v>39</v>
      </c>
      <c r="E11" s="2912" t="s">
        <v>48</v>
      </c>
      <c r="F11" s="146">
        <v>1</v>
      </c>
      <c r="G11" s="2241">
        <f t="shared" si="6"/>
        <v>0.64513236228267468</v>
      </c>
      <c r="H11" s="2241">
        <f t="shared" si="6"/>
        <v>0.6383918674451563</v>
      </c>
      <c r="I11" s="1290"/>
      <c r="J11" s="1290">
        <v>0.06</v>
      </c>
      <c r="K11" s="1290">
        <v>0.55000000000000004</v>
      </c>
      <c r="L11" s="149">
        <v>0.04</v>
      </c>
      <c r="M11" s="275">
        <f>0.061*I11+0.0385*L11+J11*0.129+K11*0.249</f>
        <v>0.14623000000000003</v>
      </c>
      <c r="N11" s="275">
        <f>0.037*I11+0.0355*L11+J11*0.038+K11*0.4</f>
        <v>0.22370000000000004</v>
      </c>
      <c r="O11" s="1101">
        <f>SQRT(M11^2+(G11+N11)^2)</f>
        <v>0.88105214752005045</v>
      </c>
      <c r="P11" s="1101">
        <f>SQRT(M11^2+(H11+N11)^2)</f>
        <v>0.87440585589020214</v>
      </c>
      <c r="Q11" s="155">
        <f t="shared" si="4"/>
        <v>4128.3670962414481</v>
      </c>
      <c r="R11" s="155">
        <f t="shared" si="5"/>
        <v>3602.4461396053835</v>
      </c>
    </row>
    <row r="12" spans="1:41" ht="12.75" customHeight="1" x14ac:dyDescent="0.2">
      <c r="A12" s="1987"/>
      <c r="B12" s="2911"/>
      <c r="C12" s="2912"/>
      <c r="D12" s="146" t="s">
        <v>39</v>
      </c>
      <c r="E12" s="2912"/>
      <c r="F12" s="146">
        <v>2</v>
      </c>
      <c r="G12" s="2241">
        <f t="shared" si="6"/>
        <v>0.64701745933394228</v>
      </c>
      <c r="H12" s="2241">
        <f t="shared" si="6"/>
        <v>0.64027626653875291</v>
      </c>
      <c r="I12" s="1290"/>
      <c r="J12" s="1290">
        <v>0.06</v>
      </c>
      <c r="K12" s="1290">
        <v>0.55000000000000004</v>
      </c>
      <c r="L12" s="149">
        <v>0.04</v>
      </c>
      <c r="M12" s="275">
        <f>0.061*I12+0.0385*L12+J12*0.129+K12*0.249</f>
        <v>0.14623000000000003</v>
      </c>
      <c r="N12" s="275">
        <f>0.037*I12+0.0355*L12+J12*0.038+K12*0.4</f>
        <v>0.22370000000000004</v>
      </c>
      <c r="O12" s="1101">
        <f>SQRT(M12^2+(G12+N12)^2)</f>
        <v>0.88291115458405867</v>
      </c>
      <c r="P12" s="1101">
        <f>SQRT(M12^2+(H12+N12)^2)</f>
        <v>0.87626377423823831</v>
      </c>
      <c r="Q12" s="155">
        <f t="shared" si="4"/>
        <v>4119.6746433769831</v>
      </c>
      <c r="R12" s="155">
        <f t="shared" si="5"/>
        <v>3594.8079706232143</v>
      </c>
    </row>
    <row r="13" spans="1:41" x14ac:dyDescent="0.2">
      <c r="E13" s="187"/>
      <c r="F13" s="187"/>
      <c r="M13" s="188"/>
    </row>
    <row r="14" spans="1:41" ht="15.75" x14ac:dyDescent="0.2">
      <c r="B14" s="192" t="s">
        <v>158</v>
      </c>
      <c r="C14" s="192"/>
      <c r="D14" s="2378">
        <v>42648</v>
      </c>
      <c r="E14" s="2378"/>
      <c r="F14" s="186"/>
    </row>
    <row r="15" spans="1:41" x14ac:dyDescent="0.2">
      <c r="B15" s="185" t="s">
        <v>328</v>
      </c>
      <c r="D15" s="2380" t="s">
        <v>189</v>
      </c>
      <c r="E15" s="2380"/>
    </row>
    <row r="19" spans="12:14" x14ac:dyDescent="0.2">
      <c r="L19" s="100"/>
      <c r="M19" s="100"/>
      <c r="N19" s="100"/>
    </row>
    <row r="87" spans="1:1" x14ac:dyDescent="0.2">
      <c r="A87" s="195"/>
    </row>
    <row r="88" spans="1:1" x14ac:dyDescent="0.2">
      <c r="A88" s="195"/>
    </row>
    <row r="89" spans="1:1" x14ac:dyDescent="0.2">
      <c r="A89" s="195"/>
    </row>
    <row r="90" spans="1:1" x14ac:dyDescent="0.2">
      <c r="A90" s="195"/>
    </row>
  </sheetData>
  <mergeCells count="26">
    <mergeCell ref="A1:R1"/>
    <mergeCell ref="A2:A4"/>
    <mergeCell ref="B2:B4"/>
    <mergeCell ref="C2:C4"/>
    <mergeCell ref="D2:D4"/>
    <mergeCell ref="E2:E4"/>
    <mergeCell ref="F2:F4"/>
    <mergeCell ref="G2:H2"/>
    <mergeCell ref="I2:L2"/>
    <mergeCell ref="M2:N3"/>
    <mergeCell ref="O2:P2"/>
    <mergeCell ref="B11:B12"/>
    <mergeCell ref="C11:C12"/>
    <mergeCell ref="E11:E12"/>
    <mergeCell ref="Q2:R2"/>
    <mergeCell ref="B5:B6"/>
    <mergeCell ref="C5:C6"/>
    <mergeCell ref="E5:E6"/>
    <mergeCell ref="B9:B10"/>
    <mergeCell ref="C9:C10"/>
    <mergeCell ref="E9:E10"/>
    <mergeCell ref="D14:E14"/>
    <mergeCell ref="D15:E15"/>
    <mergeCell ref="B7:B8"/>
    <mergeCell ref="C7:C8"/>
    <mergeCell ref="E7:E8"/>
  </mergeCells>
  <pageMargins left="0.78740157480314965" right="0.78740157480314965" top="0.39370078740157483" bottom="0.31496062992125984" header="0.35433070866141736" footer="0.15748031496062992"/>
  <pageSetup paperSize="9" orientation="landscape" r:id="rId1"/>
  <headerFooter>
    <oddFooter>&amp;L&amp;8&amp;Z&amp;F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29</vt:i4>
      </vt:variant>
    </vt:vector>
  </HeadingPairs>
  <TitlesOfParts>
    <vt:vector size="29" baseType="lpstr">
      <vt:lpstr>Мартыновская</vt:lpstr>
      <vt:lpstr>СР1</vt:lpstr>
      <vt:lpstr>СР1 (М=Черногор)</vt:lpstr>
      <vt:lpstr>СР2</vt:lpstr>
      <vt:lpstr>СР1(1)</vt:lpstr>
      <vt:lpstr>СР4</vt:lpstr>
      <vt:lpstr>СР5</vt:lpstr>
      <vt:lpstr>СР6 сущ.схема</vt:lpstr>
      <vt:lpstr>СР6 перевод на Баграс</vt:lpstr>
      <vt:lpstr>СР7</vt:lpstr>
      <vt:lpstr>СР8</vt:lpstr>
      <vt:lpstr>СР9 </vt:lpstr>
      <vt:lpstr>СР10</vt:lpstr>
      <vt:lpstr>СР3</vt:lpstr>
      <vt:lpstr>Аригольская</vt:lpstr>
      <vt:lpstr>Чистинное</vt:lpstr>
      <vt:lpstr>СР1(РУ)</vt:lpstr>
      <vt:lpstr>СР2(РУ)</vt:lpstr>
      <vt:lpstr>СР3(РУ)</vt:lpstr>
      <vt:lpstr>СР4(РУ)</vt:lpstr>
      <vt:lpstr>СР5(РУ)</vt:lpstr>
      <vt:lpstr>СР6(РУ) сущ.схема</vt:lpstr>
      <vt:lpstr>СР6(РУ) перевод на Баграс</vt:lpstr>
      <vt:lpstr>СР7(РУ)</vt:lpstr>
      <vt:lpstr>СР8(РУ)</vt:lpstr>
      <vt:lpstr>СР 9 (РУ)</vt:lpstr>
      <vt:lpstr>СР10(РУ)</vt:lpstr>
      <vt:lpstr>СР11(РУ)</vt:lpstr>
      <vt:lpstr>Чистинное(РУ)</vt:lpstr>
    </vt:vector>
  </TitlesOfParts>
  <Company>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Kudinov</dc:creator>
  <cp:lastModifiedBy>Александр Набиоков</cp:lastModifiedBy>
  <cp:lastPrinted>2020-01-22T08:58:30Z</cp:lastPrinted>
  <dcterms:created xsi:type="dcterms:W3CDTF">2006-08-30T10:20:13Z</dcterms:created>
  <dcterms:modified xsi:type="dcterms:W3CDTF">2026-03-31T14:58:27Z</dcterms:modified>
</cp:coreProperties>
</file>